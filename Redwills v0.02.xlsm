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76932B24-BA63-4F1F-851C-3AC39D0C4C54}" xr6:coauthVersionLast="45" xr6:coauthVersionMax="45" xr10:uidLastSave="{00000000-0000-0000-0000-000000000000}"/>
  <bookViews>
    <workbookView xWindow="-120" yWindow="-120" windowWidth="20730" windowHeight="11160" tabRatio="500" firstSheet="5" activeTab="6" xr2:uid="{00000000-000D-0000-FFFF-FFFF00000000}"/>
  </bookViews>
  <sheets>
    <sheet name="Constants" sheetId="41" r:id="rId1"/>
    <sheet name="Controls" sheetId="9" r:id="rId2"/>
    <sheet name="Job Ref" sheetId="37" r:id="rId3"/>
    <sheet name="Schedules" sheetId="38" r:id="rId4"/>
    <sheet name="SchedulesRef" sheetId="36" r:id="rId5"/>
    <sheet name="Exceptions" sheetId="11" r:id="rId6"/>
    <sheet name="ReleaseNotes" sheetId="8" r:id="rId7"/>
    <sheet name="Lists" sheetId="39" r:id="rId8"/>
    <sheet name="Todo" sheetId="40" r:id="rId9"/>
  </sheets>
  <functionGroups builtInGroupCount="19"/>
  <externalReferences>
    <externalReference r:id="rId10"/>
  </externalReferences>
  <definedNames>
    <definedName name="BlockQuantity">Constants!$B$12</definedName>
    <definedName name="dnDeveloperMode" localSheetId="3">1</definedName>
    <definedName name="dnDeveloperMode">0</definedName>
    <definedName name="HeadClearance_mm">Constants!$B$6</definedName>
    <definedName name="LegQuantity">Constants!$B$4</definedName>
    <definedName name="MarginForHingeClearance_mm">Constants!$B$8</definedName>
    <definedName name="MeetingStyleClearance_mm">Constants!$B$7</definedName>
    <definedName name="oeFilename">"Redwills"</definedName>
    <definedName name="oeReleaseNumber">0.02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4">SchedulesRef!$E$9:$AB$26</definedName>
    <definedName name="StrappingQuantity">Constants!$B$11</definedName>
    <definedName name="StrappingThickness_mm">Constants!$B$10</definedName>
    <definedName name="StrappingWidth_mm">Constants!$B$9</definedName>
    <definedName name="ThresholdQuantity">Constants!$B$13</definedName>
    <definedName name="WidthClearance_mm">Constants!$B$5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<sst xmlns="http://schemas.openxmlformats.org/spreadsheetml/2006/main" count="2249" uniqueCount="495">
  <si>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</si>
  <si>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</si>
  <si>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</si>
  <si>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</si>
  <si>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</si>
  <si>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</si>
  <si>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</si>
  <si>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</si>
  <si>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</si>
  <si>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</si>
  <si>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</si>
  <si>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</si>
  <si>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</si>
  <si>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</si>
  <si>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</si>
  <si>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</si>
  <si>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</si>
  <si>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</si>
  <si>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</si>
  <si>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</si>
  <si>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</si>
  <si>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</si>
  <si>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</si>
  <si>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</si>
  <si>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</si>
  <si>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</si>
  <si>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</si>
  <si>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</si>
  <si>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</si>
  <si>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</si>
  <si>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</si>
  <si>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</si>
  <si>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</si>
  <si>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</si>
  <si>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</si>
  <si>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</si>
  <si>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</si>
  <si>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</si>
  <si>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</si>
  <si>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</si>
  <si>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</si>
  <si>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</si>
  <si>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</si>
  <si>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</si>
  <si>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</si>
  <si>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</si>
  <si>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</si>
  <si>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</si>
  <si>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</si>
  <si>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</si>
  <si>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</si>
  <si>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</si>
  <si>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</si>
  <si>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</si>
  <si>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</si>
  <si>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</si>
  <si>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</si>
  <si>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</si>
  <si>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</si>
  <si>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</si>
  <si>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</si>
  <si>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</si>
  <si>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</si>
  <si>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</si>
  <si>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</si>
  <si>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</si>
  <si>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</si>
  <si>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</si>
  <si>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</si>
  <si>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</si>
  <si>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</si>
  <si>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</si>
  <si>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</si>
  <si>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</si>
  <si>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</si>
  <si>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</si>
  <si>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</si>
  <si>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</si>
  <si>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</si>
  <si>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</si>
  <si>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</si>
  <si>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</si>
  <si>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</si>
  <si>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</si>
  <si>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</si>
  <si>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</si>
  <si>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</si>
  <si>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</si>
  <si>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</si>
  <si>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</si>
  <si>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</si>
  <si>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</si>
  <si>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</si>
  <si>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</si>
  <si>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</si>
  <si>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</si>
  <si>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</si>
  <si>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</si>
  <si>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</si>
  <si>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</si>
  <si>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</si>
  <si>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</si>
  <si>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</si>
  <si>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</si>
  <si>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</si>
  <si>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</si>
  <si>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</si>
  <si>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</si>
  <si>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</si>
  <si>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</si>
  <si>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</si>
  <si>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</si>
  <si>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</si>
  <si>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</si>
  <si>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</si>
  <si>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</si>
  <si>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</si>
  <si>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</si>
  <si>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</si>
  <si>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</si>
  <si>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</si>
  <si>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</si>
  <si>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</si>
  <si>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</si>
  <si>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</si>
  <si>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</si>
  <si>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</si>
  <si>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</si>
  <si>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</si>
  <si>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</si>
  <si>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</si>
  <si>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</si>
  <si>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</si>
  <si>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</si>
  <si>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</si>
  <si>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</si>
  <si>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</si>
  <si>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</si>
  <si>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</si>
  <si>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</si>
  <si>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</si>
  <si>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</si>
  <si>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</si>
  <si>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</si>
  <si>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</si>
  <si>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</si>
  <si>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</si>
  <si>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</si>
  <si>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</si>
  <si>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</si>
  <si>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</si>
  <si>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</si>
  <si>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</si>
  <si>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</si>
  <si>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</si>
  <si>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</si>
  <si>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</si>
  <si>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</si>
  <si>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</si>
  <si>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</si>
  <si>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</si>
  <si>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</si>
  <si>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</si>
  <si>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</si>
  <si>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</si>
  <si>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</si>
  <si>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</si>
  <si>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</si>
  <si>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</si>
  <si>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</si>
  <si>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</si>
  <si>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</si>
  <si>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</si>
  <si>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</si>
  <si>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</si>
  <si>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</si>
  <si>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</si>
  <si>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</si>
  <si>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</si>
  <si>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</si>
  <si>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</si>
  <si>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</si>
  <si>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</si>
  <si>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</si>
  <si>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</si>
  <si>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</si>
  <si>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</si>
  <si>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</si>
  <si>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</si>
  <si>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</si>
  <si>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</si>
  <si>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</si>
  <si>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</si>
  <si>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</si>
  <si>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</si>
  <si>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</si>
  <si>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</si>
  <si>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</si>
  <si>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</si>
  <si>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</si>
  <si>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</si>
  <si>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</si>
  <si>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</si>
  <si>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</si>
  <si>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</si>
  <si>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</si>
  <si>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</si>
  <si>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</si>
  <si>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</si>
  <si>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</si>
  <si>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</si>
  <si>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</si>
  <si>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</si>
  <si>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</si>
  <si>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</si>
  <si>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</si>
  <si>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</si>
  <si>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</si>
  <si>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</si>
  <si>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</si>
  <si>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</si>
  <si>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</si>
  <si>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</si>
  <si>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</si>
  <si>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</si>
  <si>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</si>
  <si>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</si>
  <si>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</si>
  <si>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</si>
  <si>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</si>
  <si>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</si>
  <si>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</si>
  <si>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</si>
  <si>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</si>
  <si>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</si>
  <si>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</si>
  <si>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</si>
  <si>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</si>
  <si>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</si>
  <si>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</si>
  <si>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</si>
  <si>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</si>
  <si>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</si>
  <si>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</si>
  <si>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</si>
  <si>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</si>
  <si>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</si>
  <si>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</si>
  <si>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</si>
  <si>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</si>
  <si>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</si>
  <si>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</si>
  <si>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</si>
  <si>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</si>
  <si>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</si>
  <si>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</si>
  <si>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</si>
  <si>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</si>
  <si>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</si>
  <si>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</si>
  <si>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</si>
  <si>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</si>
  <si>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</si>
  <si>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</si>
  <si>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</si>
  <si>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</si>
  <si>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</si>
  <si>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</si>
  <si>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</si>
  <si>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</si>
  <si>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</si>
  <si>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</si>
  <si>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</si>
  <si>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</si>
  <si>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</si>
  <si>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</si>
  <si>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</si>
  <si>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</si>
  <si>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</si>
  <si>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</si>
  <si>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</si>
  <si>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</si>
  <si>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</si>
  <si>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</si>
  <si>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</si>
  <si>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</si>
  <si>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</si>
  <si>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</si>
  <si>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</si>
  <si>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</si>
  <si>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</si>
  <si>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</si>
  <si>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</si>
  <si>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</si>
  <si>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</si>
  <si>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</si>
  <si>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</si>
  <si>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</si>
  <si>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</si>
  <si>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</si>
  <si>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</si>
  <si>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</si>
  <si>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</si>
  <si>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</si>
  <si>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</si>
  <si>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</si>
  <si>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</si>
  <si>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</si>
  <si>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</si>
  <si>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</si>
  <si>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</si>
  <si>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</si>
  <si>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</si>
  <si>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</si>
  <si>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</si>
  <si>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</si>
  <si>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</si>
  <si>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</si>
  <si>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</si>
  <si>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</si>
  <si>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</si>
  <si>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</si>
  <si>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</si>
  <si>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</si>
  <si>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</si>
  <si>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</si>
  <si>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</si>
  <si>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</si>
  <si>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</si>
  <si>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</si>
  <si>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</si>
  <si>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</si>
  <si>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</si>
  <si>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</si>
  <si>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</si>
  <si>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</si>
  <si>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</si>
  <si>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</si>
  <si>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</si>
  <si>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</si>
  <si>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</si>
  <si>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</si>
  <si>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</si>
  <si>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</si>
  <si>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</si>
  <si>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</si>
  <si>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</si>
  <si>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</si>
  <si>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</si>
  <si>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</si>
  <si>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</si>
  <si>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</si>
  <si>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</si>
  <si>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</si>
  <si>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</si>
  <si>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</si>
  <si>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</si>
  <si>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</si>
  <si>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</si>
  <si>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</si>
  <si>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</si>
  <si>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</si>
  <si>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</si>
  <si>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</si>
  <si>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</si>
  <si>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</si>
  <si>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</si>
  <si>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</si>
  <si>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</si>
  <si>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</si>
  <si>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</si>
  <si>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</si>
  <si>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</si>
  <si>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</si>
  <si>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</si>
  <si>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</si>
  <si>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</si>
  <si>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</si>
  <si>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</si>
  <si>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</si>
  <si>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</si>
  <si>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</si>
  <si>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</si>
  <si>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</si>
  <si>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</si>
  <si>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</si>
  <si>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</si>
  <si>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RPM: "whatever need to complete" e.g. latch or bathroom 5 lever.  Can be multiple?  Dropdown?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</si>
  <si>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</si>
  <si>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</si>
  <si>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</si>
  <si>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</si>
  <si>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</si>
  <si>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</si>
  <si>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</si>
  <si>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</si>
  <si>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</si>
  <si>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</si>
  <si>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</si>
  <si>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</si>
  <si>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</si>
  <si>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</si>
  <si>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</si>
  <si>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</si>
  <si>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</si>
  <si>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</si>
  <si>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</si>
  <si>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</si>
  <si>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</si>
  <si>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</si>
  <si>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</si>
  <si>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</si>
  <si>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</si>
  <si>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</si>
  <si>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</si>
  <si>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</si>
  <si>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</si>
  <si>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</si>
  <si>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</si>
  <si>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</si>
  <si>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N/A</t>
  </si>
  <si>
    <t>Meranti</t>
  </si>
  <si>
    <t>Sapele</t>
  </si>
  <si>
    <t>Oak</t>
  </si>
  <si>
    <t>Beech</t>
  </si>
  <si>
    <t>Walnut</t>
  </si>
  <si>
    <t>Column1</t>
  </si>
  <si>
    <t>0.02</t>
  </si>
  <si>
    <t>Minor update: 14-Sep-2020</t>
  </si>
  <si>
    <t>Done</t>
  </si>
  <si>
    <t>Constants</t>
  </si>
  <si>
    <t>Constant name</t>
  </si>
  <si>
    <t>Value</t>
  </si>
  <si>
    <t>Leg quantity</t>
  </si>
  <si>
    <t>Width clearance (mm)</t>
  </si>
  <si>
    <t>Head clearance (mm)</t>
  </si>
  <si>
    <t>Meeting style clearance (mm)</t>
  </si>
  <si>
    <t>Margin for hinge clearance (mm)</t>
  </si>
  <si>
    <t>Strapping width (mm)</t>
  </si>
  <si>
    <t>Strapping thickness (mm)</t>
  </si>
  <si>
    <t>Strapping quantity</t>
  </si>
  <si>
    <t>Block quantity</t>
  </si>
  <si>
    <t>Parameter name</t>
  </si>
  <si>
    <t>Min value</t>
  </si>
  <si>
    <t>Max value</t>
  </si>
  <si>
    <t>Lead door width (mm)</t>
  </si>
  <si>
    <t>Slave door width (mm)</t>
  </si>
  <si>
    <t>Door height (mm)</t>
  </si>
  <si>
    <t>Door thickness (mm)</t>
  </si>
  <si>
    <t>Base block thickness (mm)</t>
  </si>
  <si>
    <t>Threshold timber</t>
  </si>
  <si>
    <t>Threshold width (mm)</t>
  </si>
  <si>
    <t>Threshold length (mm)</t>
  </si>
  <si>
    <t xml:space="preserve">Threshold quantity </t>
  </si>
  <si>
    <t>Threshold quantity</t>
  </si>
  <si>
    <t>Base block height (mm)</t>
  </si>
  <si>
    <t>Base block width (mm)</t>
  </si>
  <si>
    <t>Facings depth (mm)</t>
  </si>
  <si>
    <t>Facings width (mm)</t>
  </si>
  <si>
    <t>Stop width (mm)</t>
  </si>
  <si>
    <t>Stop timber</t>
  </si>
  <si>
    <t>Lintol thickness (mm)</t>
  </si>
  <si>
    <t>Frame width (mm)</t>
  </si>
  <si>
    <t>Frame thickness (mm)</t>
  </si>
  <si>
    <t>Frame timber</t>
  </si>
  <si>
    <t>Stop thickness (mm)</t>
  </si>
  <si>
    <t>Facing timber</t>
  </si>
  <si>
    <t>Base blocks timber</t>
  </si>
  <si>
    <t>Threshold thickness (mm)</t>
  </si>
  <si>
    <t>RPM: This is set to "complete" or "in progress" (not incomplete so client can search for terms mutually exclusively)</t>
  </si>
  <si>
    <t>Door state</t>
  </si>
  <si>
    <t>Undercut (mm)</t>
  </si>
  <si>
    <t>Base blocks width (mm)</t>
  </si>
  <si>
    <t>Base blocks thickness (mm)</t>
  </si>
  <si>
    <t>Base blocks height (mm)</t>
  </si>
  <si>
    <t xml:space="preserve">     </t>
  </si>
  <si>
    <t>In progress</t>
  </si>
  <si>
    <t>Completed</t>
  </si>
  <si>
    <t>1000/1</t>
  </si>
  <si>
    <t>Plot 1</t>
  </si>
  <si>
    <t>Living room</t>
  </si>
  <si>
    <t>Hall</t>
  </si>
  <si>
    <t>Downstairs toilet</t>
  </si>
  <si>
    <t>RPM: Need wasted percentage as a value client can change</t>
  </si>
  <si>
    <t>RPM: Need fiddle factor for quote to allow for anything unusual that needs to be added</t>
  </si>
  <si>
    <t>RPM copy door in door manager</t>
  </si>
  <si>
    <t>RPM: delete door in door manager</t>
  </si>
  <si>
    <t>Plot 2</t>
  </si>
  <si>
    <t>Bedroom 1</t>
  </si>
  <si>
    <t>RPM: can client can change constants?  Constants on separate sheet so can protect table, but if client can change then may need to validate values</t>
  </si>
  <si>
    <t>RPM:  Validation for numeric fields: prevent non-numeric key presses</t>
  </si>
  <si>
    <t>RPM:  Validation for numeric fields: validate numeric ranges</t>
  </si>
  <si>
    <t>RPM: Create sheet for constants (values are named ranges)</t>
  </si>
  <si>
    <t>RPM: Create table on constants sheet for min/max values of numeric fields</t>
  </si>
  <si>
    <t>RPM: unsure about how "Number" is used in the schedule table.  If a door is deleted should other table numbers change or should there be a gap?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</si>
</sst>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00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65" fillId="0" borderId="0" xfId="0" applyFont="1" applyAlignment="1">
      <alignment horizontal="left" vertical="top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84">
    <dxf>
      <fill>
        <patternFill>
          <bgColor rgb="FFFFC000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83"/>
      <tableStyleElement type="secondSubtotalRow" dxfId="82"/>
      <tableStyleElement type="thirdSub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18A676-DF44-44BE-8A86-65AD2877C5A6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0</xdr:col>
      <xdr:colOff>1854200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D3B7FB-9F8B-4E1A-86E7-30EB513E23E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438150</xdr:colOff>
      <xdr:row>0</xdr:row>
      <xdr:rowOff>38100</xdr:rowOff>
    </xdr:from>
    <xdr:to>
      <xdr:col>1</xdr:col>
      <xdr:colOff>1327150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A2E30E-DF85-478C-8B47-6193EBE8042B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Manage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22225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60325</xdr:colOff>
      <xdr:row>0</xdr:row>
      <xdr:rowOff>38100</xdr:rowOff>
    </xdr:from>
    <xdr:to>
      <xdr:col>2</xdr:col>
      <xdr:colOff>56356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92869</xdr:colOff>
      <xdr:row>0</xdr:row>
      <xdr:rowOff>38100</xdr:rowOff>
    </xdr:from>
    <xdr:to>
      <xdr:col>4</xdr:col>
      <xdr:colOff>88900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E19FA3-3613-4EF7-8C8F-6F126375E161}" name="tblClientConstants" displayName="tblClientConstants" ref="A3:B13" totalsRowShown="0" headerRowDxfId="80" dataDxfId="79">
  <autoFilter ref="A3:B13" xr:uid="{46B05878-3C26-48D2-BABD-E80EB00EAFDE}"/>
  <tableColumns count="2">
    <tableColumn id="1" xr3:uid="{C1DD83A2-653E-4627-8930-ACBCCE77789E}" name="Constant name" dataDxfId="78"/>
    <tableColumn id="2" xr3:uid="{A9145533-B66B-47C9-A95D-53EB03D79361}" name="Value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2C1D924-DED9-4AB5-8DFE-EFE16CF80079}" name="tblValidationRanges" displayName="tblValidationRanges" ref="E3:G21" totalsRowShown="0">
  <autoFilter ref="E3:G21" xr:uid="{22FE94DD-EC5F-45DB-AD02-8FDA277419AC}"/>
  <tableColumns count="3">
    <tableColumn id="1" xr3:uid="{D0208553-BBEA-4A4F-B8AC-7CA2AF1D40DB}" name="Parameter name" dataDxfId="76"/>
    <tableColumn id="2" xr3:uid="{BED941E5-7859-4651-A92E-CF7FE339ADB2}" name="Min value"/>
    <tableColumn id="3" xr3:uid="{C800AEEE-58AF-41A3-B1B1-22F42D271B23}" name="Max 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Q12" totalsRowShown="0" headerRowDxfId="75" dataDxfId="2" headerRowBorderDxfId="74" tableBorderDxfId="73" headerRowCellStyle="Normal 2" dataCellStyle="Normal 2">
  <autoFilter ref="A4:AQ12" xr:uid="{E0A57D43-DA91-4AB8-A4DE-D1B75DCB7DE9}"/>
  <tableColumns count="43">
    <tableColumn id="63" xr3:uid="{EE02FA41-B767-4EDA-8A42-16775A1CE61D}" name="Number" dataDxfId="45" dataCellStyle="Normal 2"/>
    <tableColumn id="1" xr3:uid="{C2547AE1-A085-4B64-A835-5930DF641EFF}" name="Flat / plot" dataDxfId="44" dataCellStyle="Normal 2"/>
    <tableColumn id="2" xr3:uid="{5E685CB6-772D-43F5-947F-8F004694B5D8}" name="Door spec" dataDxfId="43" dataCellStyle="Normal 2"/>
    <tableColumn id="3" xr3:uid="{DA6E3C03-A706-4B73-8852-6750B4D70BA0}" name="Location" dataDxfId="42" dataCellStyle="Normal 2"/>
    <tableColumn id="4" xr3:uid="{0C4D87F5-5C2B-466D-9A4E-1F3B3731B622}" name="Door ref/number" dataDxfId="41" dataCellStyle="Normal 2"/>
    <tableColumn id="5" xr3:uid="{C2DF3D45-E4A7-461C-9D39-335EDF5260F8}" name="Fire Rating" dataDxfId="40" dataCellStyle="Normal 2"/>
    <tableColumn id="6" xr3:uid="{2C999091-B956-44CC-822F-AB4EDFD7E332}" name="Instrument strip" dataDxfId="39" dataCellStyle="Normal 2"/>
    <tableColumn id="7" xr3:uid="{B064A130-78DC-431E-9521-58512D72A4DC}" name="Flipper colour" dataDxfId="38" dataCellStyle="Normal 2"/>
    <tableColumn id="8" xr3:uid="{3B94FCCB-CC65-47C5-8377-A8CC723E2C77}" name="Doorset layout" dataDxfId="37" dataCellStyle="Normal 2"/>
    <tableColumn id="64" xr3:uid="{3822204B-AB43-4164-BD78-7DB1A9CEA471}" name="Handing" dataDxfId="36" dataCellStyle="Normal 2"/>
    <tableColumn id="9" xr3:uid="{648CC17C-1403-4838-9C11-DCE9FE411B0C}" name="Lead door width (mm)" dataDxfId="35" dataCellStyle="Normal 2"/>
    <tableColumn id="10" xr3:uid="{6B663A8E-A3E3-4365-B5A0-635C3DC26C51}" name="Slave door width (mm)" dataDxfId="34" dataCellStyle="Normal 2"/>
    <tableColumn id="11" xr3:uid="{DC51496B-E561-4AB0-912D-42DE11D3FD11}" name="Door height (mm)" dataDxfId="33" dataCellStyle="Normal 2"/>
    <tableColumn id="12" xr3:uid="{A91C5037-F37B-4806-92A5-7C8F8E02DF77}" name="Door thickness (mm)" dataDxfId="32" dataCellStyle="Normal 2"/>
    <tableColumn id="13" xr3:uid="{811715EE-8154-491E-853B-04119F5D1B3C}" name="Aperture fire rating" dataDxfId="31" dataCellStyle="Normal 2"/>
    <tableColumn id="14" xr3:uid="{D5527189-CEBA-49D3-B4D4-411F61006300}" name="Aperture quantity" dataDxfId="30" dataCellStyle="Normal 2"/>
    <tableColumn id="16" xr3:uid="{61B44BE8-7015-4DA9-B8FC-8E3AED49F8A8}" name="Hinge type" dataDxfId="29" dataCellStyle="Normal 2"/>
    <tableColumn id="17" xr3:uid="{BFEB86BD-1D6F-4779-A2E0-6F771B7275F3}" name="Hinge quantity" dataDxfId="28" dataCellStyle="Normal 2"/>
    <tableColumn id="18" xr3:uid="{2B44A9FC-919B-42B5-8270-212A48A74DBF}" name="Ironmongery" dataDxfId="27" dataCellStyle="Normal 2"/>
    <tableColumn id="19" xr3:uid="{D0325A9D-6F8B-43AA-BA29-613A006ED5AD}" name="Flush bolt quantity " dataDxfId="26" dataCellStyle="Normal 2"/>
    <tableColumn id="20" xr3:uid="{64A84D9A-0E9B-44A9-8B8D-21722651638C}" name="Roller catch quantity" dataDxfId="25" dataCellStyle="Normal 2"/>
    <tableColumn id="21" xr3:uid="{BF743E01-BC3C-4C71-8C45-A44A4E19D021}" name="Frame timber" dataDxfId="24" dataCellStyle="Normal 2"/>
    <tableColumn id="22" xr3:uid="{85E42A7A-6DE8-4DC6-88A0-FECE51C842E1}" name="Frame thickness (mm)" dataDxfId="23" dataCellStyle="Normal 2"/>
    <tableColumn id="23" xr3:uid="{F5C26954-B720-489D-8F32-7EA10C8532B8}" name="Frame width (mm)" dataDxfId="22" dataCellStyle="Normal 2"/>
    <tableColumn id="24" xr3:uid="{02CB49B1-90B8-4CEC-9E34-7844CF63B008}" name="Lintol thickness (mm)" dataDxfId="21" dataCellStyle="Normal 2"/>
    <tableColumn id="25" xr3:uid="{08F24E03-6DF2-48DC-88E7-7EEF8460001D}" name="Stop timber" dataDxfId="20" dataCellStyle="Normal 2"/>
    <tableColumn id="26" xr3:uid="{73748A60-7FED-45DC-B4F3-0C5D10635A35}" name="Stop thickness (mm)" dataDxfId="19" dataCellStyle="Normal 2"/>
    <tableColumn id="27" xr3:uid="{92495BFC-5E5E-428F-B5DC-E22977F1228D}" name="Stop width (mm)" dataDxfId="18" dataCellStyle="Normal 2"/>
    <tableColumn id="28" xr3:uid="{41E3299C-E614-4A4C-BF04-DB83D466CF8F}" name="Undercut" dataDxfId="17" dataCellStyle="Normal 2"/>
    <tableColumn id="38" xr3:uid="{CE9DF7B3-E259-433F-8EE2-870DD96BAFD8}" name="Facing timber" dataDxfId="16" dataCellStyle="Normal 2"/>
    <tableColumn id="39" xr3:uid="{130FB667-CC1E-4063-AAE5-8999783296B1}" name="Facings width (mm)" dataDxfId="15" dataCellStyle="Normal 2"/>
    <tableColumn id="40" xr3:uid="{C212C7BC-E011-4BDE-8EF9-8CE19C37DC7C}" name="Facings depth (mm)" dataDxfId="14" dataCellStyle="Normal 2"/>
    <tableColumn id="53" xr3:uid="{AA3A7732-0599-41A9-9469-87DEB2005E18}" name="Base blocks timber" dataDxfId="13" dataCellStyle="Normal 2"/>
    <tableColumn id="54" xr3:uid="{99E2F268-6497-4453-BB53-CA7498EB1C54}" name="Base block width (mm)" dataDxfId="12" dataCellStyle="Normal 2"/>
    <tableColumn id="55" xr3:uid="{07E735BC-053B-4BA3-B976-58661EEB43C1}" name="Base block thickness (mm)" dataDxfId="11" dataCellStyle="Normal 2"/>
    <tableColumn id="56" xr3:uid="{00DDC031-77F6-4E6E-B630-DF2C6F62015B}" name="Base block height (mm)" dataDxfId="10" dataCellStyle="Normal 2"/>
    <tableColumn id="58" xr3:uid="{EC09E856-2FFB-4D2D-87FB-695D7DB56EDC}" name="Threshold timber" dataDxfId="9" dataCellStyle="Normal 2"/>
    <tableColumn id="59" xr3:uid="{5AF331AE-019F-406E-B557-AAB3DBD57A85}" name="Threshold thickness (mm)" dataDxfId="8" dataCellStyle="Normal 2"/>
    <tableColumn id="60" xr3:uid="{440F6002-C5D6-4D89-8806-CBA2507D6FB7}" name="Threshold width (mm)" dataDxfId="7" dataCellStyle="Normal 2"/>
    <tableColumn id="61" xr3:uid="{6C5F4C8F-327E-4782-A6C0-9F38838FED62}" name="Threshold length (mm)" dataDxfId="6" dataCellStyle="Normal 2"/>
    <tableColumn id="29" xr3:uid="{8EBAD418-4E2E-4DA4-8C81-54B0E36882F6}" name="Door state" dataDxfId="5" dataCellStyle="Normal 2"/>
    <tableColumn id="15" xr3:uid="{0EB0D639-A9EB-417E-BE92-F064D2B73B6D}" name="Column1" dataDxfId="4" dataCellStyle="Normal 2"/>
    <tableColumn id="62" xr3:uid="{D3A130B6-009A-47C5-9707-D6032CF1F2EB}" name="Threshold quantity " dataDxfId="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6" totalsRowShown="0" headerRowDxfId="72" dataDxfId="71">
  <autoFilter ref="C3:C6" xr:uid="{0902FF45-95D7-4CB3-B877-36956C4D8363}"/>
  <tableColumns count="1">
    <tableColumn id="1" xr3:uid="{50D2381B-209A-4F94-BAC9-AD26CCC2B599}" name="Fire rating" dataDxfId="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69" dataDxfId="68" tableBorderDxfId="67">
  <autoFilter ref="E3:E9" xr:uid="{00B1724C-3B19-4B0D-8442-AA99743F92FF}"/>
  <tableColumns count="1">
    <tableColumn id="1" xr3:uid="{C9F49D4B-53E2-488D-9EB3-647AEE3F192C}" name="Instrument strip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65" dataDxfId="64">
  <autoFilter ref="I3:I5" xr:uid="{E68C8121-B1C7-4F44-88A0-4760005BA04B}"/>
  <tableColumns count="1">
    <tableColumn id="1" xr3:uid="{EF3492D1-961F-4120-9E07-95AC7765D076}" name="Doorset Layout" data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62" dataDxfId="61">
  <autoFilter ref="A3:A6" xr:uid="{46B05878-3C26-48D2-BABD-E80EB00EAFDE}"/>
  <tableColumns count="1">
    <tableColumn id="1" xr3:uid="{1A4F6AEC-2F7E-4A56-B69B-4522423F94AB}" name="Door spec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59" dataDxfId="58" tableBorderDxfId="57">
  <autoFilter ref="G3:G6" xr:uid="{4748AB34-0A5E-4AAC-837B-1180BBF3B96F}"/>
  <tableColumns count="1">
    <tableColumn id="1" xr3:uid="{56FB0A26-AE6B-450B-ADE8-560BDC50B014}" name="Flipper colour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55">
  <autoFilter ref="M3:M14" xr:uid="{D0000841-D9B1-4F52-8B4F-5D8B780DC3CC}"/>
  <tableColumns count="1">
    <tableColumn id="1" xr3:uid="{2AD5D4B7-75C8-4A37-8B37-4764C7662513}" name="Aperture quantity" dataDxfId="5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53">
  <autoFilter ref="Q3:Q14" xr:uid="{16BC64D3-E8F0-40DB-BC03-23BC06B38158}"/>
  <tableColumns count="1">
    <tableColumn id="1" xr3:uid="{8FC30FDF-F578-4F23-B254-BCD94615C606}" name="Hinge quantity" dataDxfId="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U3:U14" totalsRowShown="0" dataDxfId="51">
  <autoFilter ref="U3:U14" xr:uid="{5186BBEE-A296-4090-A40C-CAEE5313AC17}"/>
  <tableColumns count="1">
    <tableColumn id="1" xr3:uid="{3B933C82-CABA-418F-A60A-5DDB1C654177}" name="Flush bolt quantity" dataDxfId="5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W3:W14" totalsRowShown="0" dataDxfId="49">
  <autoFilter ref="W3:W14" xr:uid="{8F440D9B-3CA6-4D3E-9DAB-600BAB5F6854}"/>
  <tableColumns count="1">
    <tableColumn id="1" xr3:uid="{C73BC335-20CE-4047-AC9D-1CC97D9AEAB5}" name="Roller catch quantity" dataDxfId="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Y3:Y10" totalsRowShown="0" dataDxfId="47">
  <autoFilter ref="Y3:Y10" xr:uid="{EFB736B9-D117-475E-8752-3686B271059F}"/>
  <tableColumns count="1">
    <tableColumn id="1" xr3:uid="{16B15BCE-3840-43C0-8270-35D72856772F}" name="Timber" dataDxf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9DF1-520B-4BED-ABD5-551270879AA1}">
  <sheetPr codeName="Sheet10"/>
  <dimension ref="A1:Y202"/>
  <sheetViews>
    <sheetView showGridLines="0" zoomScaleNormal="100" workbookViewId="0">
      <pane ySplit="2" topLeftCell="A3" activePane="bottomLeft" state="frozen"/>
      <selection pane="bottomLeft" activeCell="A23" sqref="A23"/>
    </sheetView>
  </sheetViews>
  <sheetFormatPr defaultColWidth="9" defaultRowHeight="12" x14ac:dyDescent="0.2"/>
  <cols>
    <col min="1" max="1" width="41.6640625" style="14" customWidth="1"/>
    <col min="2" max="2" width="26.1640625" customWidth="1"/>
    <col min="3" max="3" width="26.6640625" style="43" bestFit="1" customWidth="1"/>
    <col min="4" max="4" width="3.6640625" style="43" customWidth="1"/>
    <col min="5" max="5" width="27" style="15" bestFit="1" customWidth="1"/>
    <col min="6" max="6" width="11.83203125" customWidth="1"/>
    <col min="7" max="7" width="12.33203125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430</v>
      </c>
      <c r="C2" s="3"/>
      <c r="D2" s="3"/>
      <c r="E2" s="19"/>
    </row>
    <row r="3" spans="1:25" ht="12" customHeight="1" x14ac:dyDescent="0.2">
      <c r="A3" s="14" t="s">
        <v>431</v>
      </c>
      <c r="B3" s="185" t="s">
        <v>432</v>
      </c>
      <c r="C3" s="14"/>
      <c r="D3"/>
      <c r="E3" t="s">
        <v>442</v>
      </c>
      <c r="F3" t="s">
        <v>443</v>
      </c>
      <c r="G3" t="s">
        <v>444</v>
      </c>
      <c r="H3" s="165"/>
      <c r="J3" s="165"/>
      <c r="L3" s="165"/>
    </row>
    <row r="4" spans="1:25" ht="12" customHeight="1" x14ac:dyDescent="0.2">
      <c r="A4" s="14" t="s">
        <v>433</v>
      </c>
      <c r="B4" s="193">
        <v>2</v>
      </c>
      <c r="C4" s="191"/>
      <c r="D4"/>
      <c r="E4" s="185" t="s">
        <v>445</v>
      </c>
      <c r="F4">
        <v>300</v>
      </c>
      <c r="G4">
        <v>2000</v>
      </c>
      <c r="H4" s="185"/>
      <c r="I4" s="43"/>
      <c r="J4" s="185"/>
      <c r="L4" s="185"/>
      <c r="M4" s="189"/>
      <c r="Q4" s="189"/>
      <c r="U4" s="189"/>
      <c r="W4" s="189"/>
      <c r="Y4" s="5"/>
    </row>
    <row r="5" spans="1:25" ht="12" customHeight="1" x14ac:dyDescent="0.2">
      <c r="A5" s="14" t="s">
        <v>434</v>
      </c>
      <c r="B5" s="193">
        <v>6</v>
      </c>
      <c r="C5" s="191"/>
      <c r="D5"/>
      <c r="E5" s="14" t="s">
        <v>446</v>
      </c>
      <c r="F5">
        <v>400</v>
      </c>
      <c r="G5">
        <v>2500</v>
      </c>
      <c r="H5" s="14"/>
      <c r="I5" s="43"/>
      <c r="J5" s="14"/>
      <c r="L5" s="14"/>
      <c r="M5" s="189"/>
      <c r="Q5" s="189"/>
      <c r="U5" s="189"/>
      <c r="W5" s="189"/>
      <c r="Y5" s="5"/>
    </row>
    <row r="6" spans="1:25" ht="12" customHeight="1" x14ac:dyDescent="0.2">
      <c r="A6" s="14" t="s">
        <v>435</v>
      </c>
      <c r="B6" s="193">
        <v>3</v>
      </c>
      <c r="C6" s="191"/>
      <c r="D6"/>
      <c r="E6" s="185" t="s">
        <v>447</v>
      </c>
      <c r="F6">
        <v>1500</v>
      </c>
      <c r="G6">
        <v>3000</v>
      </c>
      <c r="H6" s="43"/>
      <c r="I6" s="43"/>
      <c r="J6" s="185"/>
      <c r="L6" s="185"/>
      <c r="M6" s="189"/>
      <c r="O6" s="43"/>
      <c r="Q6" s="189"/>
      <c r="U6" s="189"/>
      <c r="W6" s="189"/>
      <c r="Y6" s="5"/>
    </row>
    <row r="7" spans="1:25" ht="12" customHeight="1" x14ac:dyDescent="0.2">
      <c r="A7" s="185" t="s">
        <v>436</v>
      </c>
      <c r="B7" s="193">
        <v>3</v>
      </c>
      <c r="C7" s="185"/>
      <c r="D7"/>
      <c r="E7" s="14" t="s">
        <v>448</v>
      </c>
      <c r="F7">
        <v>20</v>
      </c>
      <c r="G7">
        <v>60</v>
      </c>
      <c r="H7" s="43"/>
      <c r="I7" s="43"/>
      <c r="J7" s="14"/>
      <c r="L7" s="14"/>
      <c r="M7" s="189"/>
      <c r="O7" s="43"/>
      <c r="Q7" s="189"/>
      <c r="U7" s="189"/>
      <c r="W7" s="189"/>
      <c r="Y7" s="5"/>
    </row>
    <row r="8" spans="1:25" ht="12" customHeight="1" x14ac:dyDescent="0.2">
      <c r="A8" s="185" t="s">
        <v>437</v>
      </c>
      <c r="B8" s="193">
        <v>8</v>
      </c>
      <c r="C8"/>
      <c r="D8"/>
      <c r="E8" s="185" t="s">
        <v>463</v>
      </c>
      <c r="F8">
        <v>5</v>
      </c>
      <c r="G8">
        <v>30</v>
      </c>
      <c r="H8" s="43"/>
      <c r="J8" s="185"/>
      <c r="L8" s="185"/>
      <c r="M8" s="189"/>
      <c r="O8" s="43"/>
      <c r="Q8" s="189"/>
      <c r="U8" s="189"/>
      <c r="W8" s="189"/>
      <c r="Y8" s="5"/>
    </row>
    <row r="9" spans="1:25" ht="12" customHeight="1" x14ac:dyDescent="0.2">
      <c r="A9" s="185" t="s">
        <v>438</v>
      </c>
      <c r="B9" s="193">
        <v>38</v>
      </c>
      <c r="C9"/>
      <c r="D9"/>
      <c r="E9" s="185" t="s">
        <v>462</v>
      </c>
      <c r="F9">
        <v>50</v>
      </c>
      <c r="G9">
        <v>150</v>
      </c>
      <c r="H9" s="43"/>
      <c r="I9" s="43"/>
      <c r="J9" s="185"/>
      <c r="L9" s="185"/>
      <c r="M9" s="189"/>
      <c r="O9" s="43"/>
      <c r="Q9" s="189"/>
      <c r="S9" s="43"/>
      <c r="U9" s="189"/>
      <c r="W9" s="189"/>
      <c r="Y9" s="5"/>
    </row>
    <row r="10" spans="1:25" ht="12" customHeight="1" x14ac:dyDescent="0.2">
      <c r="A10" s="185" t="s">
        <v>439</v>
      </c>
      <c r="B10" s="193">
        <v>22</v>
      </c>
      <c r="C10"/>
      <c r="D10"/>
      <c r="E10" s="185" t="s">
        <v>461</v>
      </c>
      <c r="F10">
        <v>20</v>
      </c>
      <c r="G10">
        <v>60</v>
      </c>
      <c r="H10" s="43"/>
      <c r="I10" s="43"/>
      <c r="J10" s="43"/>
      <c r="K10" s="43"/>
      <c r="L10" s="43"/>
      <c r="M10" s="189"/>
      <c r="N10" s="43"/>
      <c r="O10" s="43"/>
      <c r="P10" s="15"/>
      <c r="Q10" s="190"/>
      <c r="R10" s="43"/>
      <c r="S10" s="43"/>
      <c r="U10" s="190"/>
      <c r="W10" s="190"/>
      <c r="Y10" s="5"/>
    </row>
    <row r="11" spans="1:25" x14ac:dyDescent="0.2">
      <c r="A11" s="185" t="s">
        <v>440</v>
      </c>
      <c r="B11" s="193">
        <v>2</v>
      </c>
      <c r="C11"/>
      <c r="D11"/>
      <c r="E11" s="185" t="s">
        <v>465</v>
      </c>
      <c r="F11">
        <v>25</v>
      </c>
      <c r="G11">
        <v>70</v>
      </c>
      <c r="H11" s="43"/>
      <c r="I11" s="43"/>
      <c r="J11" s="43"/>
      <c r="K11" s="43"/>
      <c r="L11" s="43"/>
      <c r="M11" s="190"/>
      <c r="N11" s="43"/>
      <c r="O11" s="43"/>
      <c r="P11" s="15"/>
      <c r="Q11" s="190"/>
      <c r="R11" s="43"/>
      <c r="S11" s="43"/>
      <c r="U11" s="190"/>
      <c r="W11" s="190"/>
    </row>
    <row r="12" spans="1:25" x14ac:dyDescent="0.2">
      <c r="A12" s="185" t="s">
        <v>441</v>
      </c>
      <c r="B12" s="193">
        <v>4</v>
      </c>
      <c r="C12"/>
      <c r="D12"/>
      <c r="E12" s="185" t="s">
        <v>459</v>
      </c>
      <c r="F12">
        <v>50</v>
      </c>
      <c r="G12">
        <v>150</v>
      </c>
      <c r="H12" s="43"/>
      <c r="I12" s="43"/>
      <c r="J12" s="43"/>
      <c r="K12" s="43"/>
      <c r="L12" s="43"/>
      <c r="M12" s="190"/>
      <c r="N12" s="43"/>
      <c r="O12" s="43"/>
      <c r="P12" s="15"/>
      <c r="Q12" s="190"/>
      <c r="R12" s="43"/>
      <c r="S12" s="43"/>
      <c r="U12" s="190"/>
      <c r="W12" s="190"/>
      <c r="Y12" s="43"/>
    </row>
    <row r="13" spans="1:25" x14ac:dyDescent="0.2">
      <c r="A13" s="185" t="s">
        <v>454</v>
      </c>
      <c r="B13" s="193">
        <v>1</v>
      </c>
      <c r="C13"/>
      <c r="D13"/>
      <c r="E13" s="185" t="s">
        <v>471</v>
      </c>
      <c r="F13">
        <v>0</v>
      </c>
      <c r="G13">
        <v>10</v>
      </c>
      <c r="H13" s="43"/>
      <c r="I13" s="43"/>
      <c r="J13" s="43"/>
      <c r="K13" s="43"/>
      <c r="L13" s="43"/>
      <c r="M13" s="190"/>
      <c r="N13" s="43"/>
      <c r="O13" s="43"/>
      <c r="P13" s="15"/>
      <c r="Q13" s="190"/>
      <c r="R13" s="43"/>
      <c r="S13" s="43"/>
      <c r="U13" s="190"/>
      <c r="W13" s="190"/>
      <c r="Y13" s="43"/>
    </row>
    <row r="14" spans="1:25" x14ac:dyDescent="0.2">
      <c r="A14" s="43"/>
      <c r="C14"/>
      <c r="D14"/>
      <c r="E14" s="185" t="s">
        <v>458</v>
      </c>
      <c r="F14">
        <v>1</v>
      </c>
      <c r="G14">
        <v>11</v>
      </c>
      <c r="H14" s="43"/>
      <c r="I14" s="43"/>
      <c r="J14" s="43"/>
      <c r="K14" s="43"/>
      <c r="L14" s="43"/>
      <c r="M14" s="190"/>
      <c r="N14" s="43"/>
      <c r="O14" s="43"/>
      <c r="P14" s="15"/>
      <c r="Q14" s="190"/>
      <c r="R14" s="43"/>
      <c r="S14" s="43"/>
      <c r="U14" s="190"/>
      <c r="W14" s="190"/>
      <c r="Y14" s="43"/>
    </row>
    <row r="15" spans="1:25" x14ac:dyDescent="0.2">
      <c r="A15" s="43"/>
      <c r="D15"/>
      <c r="E15" s="185" t="s">
        <v>457</v>
      </c>
      <c r="F15">
        <v>2</v>
      </c>
      <c r="G15">
        <v>12</v>
      </c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85" t="s">
        <v>472</v>
      </c>
      <c r="F16">
        <v>100</v>
      </c>
      <c r="G16">
        <v>500</v>
      </c>
      <c r="H16"/>
      <c r="P16" s="15"/>
      <c r="Q16"/>
      <c r="R16"/>
    </row>
    <row r="17" spans="1:16" s="43" customFormat="1" x14ac:dyDescent="0.2">
      <c r="E17" s="185" t="s">
        <v>473</v>
      </c>
      <c r="F17">
        <v>200</v>
      </c>
      <c r="G17">
        <v>600</v>
      </c>
      <c r="P17" s="15"/>
    </row>
    <row r="18" spans="1:16" s="43" customFormat="1" x14ac:dyDescent="0.2">
      <c r="E18" s="185" t="s">
        <v>474</v>
      </c>
      <c r="F18">
        <v>300</v>
      </c>
      <c r="G18">
        <v>700</v>
      </c>
      <c r="P18" s="15"/>
    </row>
    <row r="19" spans="1:16" s="43" customFormat="1" x14ac:dyDescent="0.2">
      <c r="E19" s="185" t="s">
        <v>468</v>
      </c>
      <c r="F19">
        <v>400</v>
      </c>
      <c r="G19">
        <v>800</v>
      </c>
      <c r="P19" s="15"/>
    </row>
    <row r="20" spans="1:16" s="43" customFormat="1" x14ac:dyDescent="0.2">
      <c r="A20" s="14"/>
      <c r="E20" s="185" t="s">
        <v>451</v>
      </c>
      <c r="F20">
        <v>500</v>
      </c>
      <c r="G20">
        <v>900</v>
      </c>
      <c r="P20" s="15"/>
    </row>
    <row r="21" spans="1:16" s="43" customFormat="1" x14ac:dyDescent="0.2">
      <c r="A21" s="14"/>
      <c r="E21" s="185" t="s">
        <v>452</v>
      </c>
      <c r="F21">
        <v>600</v>
      </c>
      <c r="G21">
        <v>1000</v>
      </c>
      <c r="I21" s="43" t="s">
        <v>475</v>
      </c>
      <c r="P21" s="15"/>
    </row>
    <row r="22" spans="1:16" s="43" customFormat="1" x14ac:dyDescent="0.2">
      <c r="A22" s="14"/>
      <c r="E22" s="14"/>
      <c r="F22"/>
      <c r="G22"/>
    </row>
    <row r="23" spans="1:16" s="43" customFormat="1" x14ac:dyDescent="0.2">
      <c r="A23" s="14"/>
      <c r="E23" s="14"/>
      <c r="F23"/>
      <c r="G23"/>
    </row>
    <row r="24" spans="1:16" s="43" customFormat="1" x14ac:dyDescent="0.2">
      <c r="A24" s="14"/>
      <c r="E24" s="14"/>
      <c r="F24"/>
      <c r="G24"/>
    </row>
    <row r="25" spans="1:16" s="43" customFormat="1" x14ac:dyDescent="0.2">
      <c r="A25" s="14"/>
      <c r="E25" s="15"/>
      <c r="F25"/>
      <c r="G25"/>
    </row>
    <row r="26" spans="1:16" s="43" customFormat="1" x14ac:dyDescent="0.2">
      <c r="A26" s="14"/>
      <c r="E26" s="15"/>
      <c r="F26"/>
      <c r="G26"/>
    </row>
    <row r="27" spans="1:16" s="43" customFormat="1" x14ac:dyDescent="0.2">
      <c r="A27" s="14"/>
      <c r="F27"/>
      <c r="G27"/>
    </row>
    <row r="28" spans="1:16" s="43" customFormat="1" x14ac:dyDescent="0.2">
      <c r="A28" s="14"/>
      <c r="F28"/>
      <c r="G28"/>
    </row>
    <row r="29" spans="1:16" s="43" customFormat="1" x14ac:dyDescent="0.2">
      <c r="A29" s="14"/>
      <c r="F29"/>
      <c r="G29"/>
    </row>
    <row r="30" spans="1:16" s="43" customFormat="1" x14ac:dyDescent="0.2">
      <c r="A30" s="14"/>
      <c r="F30"/>
      <c r="G30"/>
    </row>
    <row r="31" spans="1:16" s="43" customFormat="1" x14ac:dyDescent="0.2">
      <c r="A31" s="14"/>
      <c r="F31"/>
      <c r="G31"/>
    </row>
    <row r="32" spans="1:16" s="43" customFormat="1" x14ac:dyDescent="0.2">
      <c r="A32" s="14"/>
      <c r="F32"/>
      <c r="G32"/>
    </row>
    <row r="33" spans="1:7" s="43" customFormat="1" x14ac:dyDescent="0.2">
      <c r="A33" s="14"/>
      <c r="F33"/>
      <c r="G33"/>
    </row>
    <row r="34" spans="1:7" s="43" customFormat="1" x14ac:dyDescent="0.2">
      <c r="A34" s="14"/>
      <c r="F34"/>
      <c r="G34"/>
    </row>
    <row r="35" spans="1:7" s="43" customFormat="1" x14ac:dyDescent="0.2">
      <c r="A35" s="14"/>
      <c r="F35"/>
      <c r="G35"/>
    </row>
    <row r="36" spans="1:7" s="43" customFormat="1" x14ac:dyDescent="0.2">
      <c r="A36" s="14"/>
      <c r="F36"/>
      <c r="G36"/>
    </row>
    <row r="37" spans="1:7" s="43" customFormat="1" x14ac:dyDescent="0.2">
      <c r="A37" s="14"/>
      <c r="F37"/>
      <c r="G37"/>
    </row>
    <row r="38" spans="1:7" s="43" customFormat="1" x14ac:dyDescent="0.2">
      <c r="A38" s="14"/>
      <c r="F38"/>
      <c r="G38"/>
    </row>
    <row r="39" spans="1:7" s="43" customFormat="1" x14ac:dyDescent="0.2">
      <c r="A39" s="14"/>
    </row>
    <row r="40" spans="1:7" s="43" customFormat="1" x14ac:dyDescent="0.2">
      <c r="A40" s="14"/>
    </row>
    <row r="41" spans="1:7" s="43" customFormat="1" x14ac:dyDescent="0.2">
      <c r="A41" s="14"/>
    </row>
    <row r="42" spans="1:7" s="43" customFormat="1" x14ac:dyDescent="0.2">
      <c r="A42" s="14"/>
    </row>
    <row r="43" spans="1:7" s="43" customFormat="1" x14ac:dyDescent="0.2">
      <c r="A43" s="14"/>
      <c r="B43" s="44"/>
    </row>
    <row r="44" spans="1:7" s="43" customFormat="1" x14ac:dyDescent="0.2">
      <c r="A44" s="14"/>
      <c r="B44" s="44"/>
    </row>
    <row r="45" spans="1:7" s="43" customFormat="1" x14ac:dyDescent="0.2">
      <c r="A45" s="14"/>
      <c r="B45" s="44"/>
    </row>
    <row r="46" spans="1:7" s="43" customFormat="1" x14ac:dyDescent="0.2">
      <c r="A46" s="14"/>
      <c r="B46" s="44"/>
    </row>
    <row r="47" spans="1:7" s="43" customFormat="1" x14ac:dyDescent="0.2">
      <c r="A47" s="14"/>
      <c r="B47" s="44"/>
    </row>
    <row r="48" spans="1:7" s="43" customFormat="1" x14ac:dyDescent="0.2">
      <c r="A48" s="14"/>
      <c r="B48" s="44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I101"/>
      <c r="M101"/>
      <c r="O101"/>
      <c r="S101"/>
      <c r="Y101"/>
    </row>
    <row r="102" spans="1:25" s="43" customFormat="1" x14ac:dyDescent="0.2">
      <c r="A102" s="14"/>
      <c r="B102" s="44"/>
      <c r="E102" s="15"/>
      <c r="H102"/>
      <c r="I102"/>
      <c r="M102"/>
      <c r="N102"/>
      <c r="O102"/>
      <c r="S102"/>
      <c r="Y102"/>
    </row>
    <row r="103" spans="1:25" x14ac:dyDescent="0.2">
      <c r="F103" s="43"/>
      <c r="G103" s="43"/>
      <c r="J103" s="43"/>
      <c r="K103" s="43"/>
      <c r="L103" s="43"/>
      <c r="Q103" s="43"/>
      <c r="R103" s="43"/>
    </row>
    <row r="104" spans="1:25" x14ac:dyDescent="0.2">
      <c r="F104" s="43"/>
      <c r="G104" s="43"/>
      <c r="J104" s="43"/>
      <c r="K104" s="43"/>
      <c r="L104" s="43"/>
    </row>
    <row r="105" spans="1:25" x14ac:dyDescent="0.2">
      <c r="F105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  <c r="I197" s="9"/>
    </row>
    <row r="198" spans="1:25" x14ac:dyDescent="0.2">
      <c r="N198" s="9"/>
    </row>
    <row r="199" spans="1:25" s="9" customFormat="1" x14ac:dyDescent="0.2">
      <c r="A199" s="14"/>
      <c r="B199"/>
      <c r="C199" s="43"/>
      <c r="D199" s="43"/>
      <c r="E199" s="15"/>
      <c r="F199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G201" s="9"/>
      <c r="J201" s="9"/>
      <c r="K201" s="9"/>
      <c r="L201" s="9"/>
    </row>
    <row r="202" spans="1:25" x14ac:dyDescent="0.2">
      <c r="F202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7" sqref="C7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336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1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347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343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344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345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346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44090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348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M588"/>
  <sheetViews>
    <sheetView showGridLines="0" topLeftCell="A4" zoomScale="80" zoomScaleNormal="80" workbookViewId="0">
      <selection activeCell="C28" sqref="C28"/>
    </sheetView>
  </sheetViews>
  <sheetFormatPr defaultColWidth="9.33203125" defaultRowHeight="12" x14ac:dyDescent="0.2"/>
  <cols>
    <col min="1" max="1" width="15.83203125" style="172" bestFit="1" customWidth="1"/>
    <col min="2" max="2" width="15.6640625" style="180" bestFit="1" customWidth="1"/>
    <col min="3" max="3" width="16.1640625" style="162" bestFit="1" customWidth="1"/>
    <col min="4" max="4" width="15.6640625" style="162" bestFit="1" customWidth="1"/>
    <col min="5" max="5" width="22.83203125" style="162" bestFit="1" customWidth="1"/>
    <col min="6" max="6" width="16.83203125" style="162" bestFit="1" customWidth="1"/>
    <col min="7" max="7" width="22" style="162" bestFit="1" customWidth="1"/>
    <col min="8" max="8" width="28.5" style="162" bestFit="1" customWidth="1"/>
    <col min="9" max="9" width="21.1640625" style="162" bestFit="1" customWidth="1"/>
    <col min="10" max="10" width="13.6640625" style="163" bestFit="1" customWidth="1"/>
    <col min="11" max="11" width="28.33203125" style="162" bestFit="1" customWidth="1"/>
    <col min="12" max="12" width="29.1640625" style="162" bestFit="1" customWidth="1"/>
    <col min="13" max="13" width="24" style="162" bestFit="1" customWidth="1"/>
    <col min="14" max="14" width="27.83203125" style="162" bestFit="1" customWidth="1"/>
    <col min="15" max="15" width="25.6640625" style="163" bestFit="1" customWidth="1"/>
    <col min="16" max="16" width="23.5" style="162" bestFit="1" customWidth="1"/>
    <col min="17" max="17" width="16.1640625" style="162" bestFit="1" customWidth="1"/>
    <col min="18" max="18" width="20.33203125" style="162" bestFit="1" customWidth="1"/>
    <col min="19" max="19" width="18.33203125" style="162" bestFit="1" customWidth="1"/>
    <col min="20" max="20" width="25.83203125" style="162" bestFit="1" customWidth="1"/>
    <col min="21" max="21" width="27.5" style="162" bestFit="1" customWidth="1"/>
    <col min="22" max="22" width="19.1640625" style="162" bestFit="1" customWidth="1"/>
    <col min="23" max="23" width="29.1640625" style="162" bestFit="1" customWidth="1"/>
    <col min="24" max="24" width="24.1640625" style="162" bestFit="1" customWidth="1"/>
    <col min="25" max="25" width="28.5" style="162" bestFit="1" customWidth="1"/>
    <col min="26" max="26" width="17.5" style="162" bestFit="1" customWidth="1"/>
    <col min="27" max="27" width="27.5" style="162" bestFit="1" customWidth="1"/>
    <col min="28" max="28" width="22.5" style="162" bestFit="1" customWidth="1"/>
    <col min="29" max="29" width="14.5" style="162" bestFit="1" customWidth="1"/>
    <col min="30" max="30" width="19.5" style="162" bestFit="1" customWidth="1"/>
    <col min="31" max="31" width="26" style="162" bestFit="1" customWidth="1"/>
    <col min="32" max="32" width="26.5" style="162" bestFit="1" customWidth="1"/>
    <col min="33" max="33" width="26" style="162" bestFit="1" customWidth="1"/>
    <col min="34" max="34" width="29.5" style="162" bestFit="1" customWidth="1"/>
    <col min="35" max="35" width="34.5" style="162" bestFit="1" customWidth="1"/>
    <col min="36" max="36" width="26.1640625" style="162" bestFit="1" customWidth="1"/>
    <col min="37" max="37" width="20.33203125" style="162" bestFit="1" customWidth="1"/>
    <col min="38" max="38" width="13.5" style="162" bestFit="1" customWidth="1"/>
    <col min="39" max="39" width="25" style="162" bestFit="1" customWidth="1"/>
    <col min="40" max="40" width="25.6640625" style="162" bestFit="1" customWidth="1"/>
    <col min="41" max="41" width="25.6640625" style="162" customWidth="1"/>
    <col min="42" max="42" width="12" style="162" bestFit="1" customWidth="1"/>
    <col min="43" max="43" width="22" style="162" bestFit="1" customWidth="1"/>
    <col min="44" max="44" width="15" style="162" bestFit="1" customWidth="1"/>
    <col min="45" max="45" width="10.6640625" style="162" bestFit="1" customWidth="1"/>
    <col min="46" max="46" width="19.6640625" style="162" bestFit="1" customWidth="1"/>
    <col min="47" max="47" width="17.83203125" style="162" bestFit="1" customWidth="1"/>
    <col min="48" max="48" width="25.33203125" style="162" bestFit="1" customWidth="1"/>
    <col min="49" max="49" width="10.1640625" style="162" bestFit="1" customWidth="1"/>
    <col min="50" max="50" width="10.6640625" style="162" bestFit="1" customWidth="1"/>
    <col min="51" max="52" width="12.33203125" style="162" bestFit="1" customWidth="1"/>
    <col min="53" max="53" width="27" style="162" bestFit="1" customWidth="1"/>
    <col min="54" max="54" width="22.83203125" style="162" bestFit="1" customWidth="1"/>
    <col min="55" max="55" width="23.33203125" style="162" bestFit="1" customWidth="1"/>
    <col min="56" max="56" width="31.1640625" style="162" bestFit="1" customWidth="1"/>
    <col min="57" max="57" width="27" style="162" bestFit="1" customWidth="1"/>
    <col min="58" max="58" width="28.6640625" style="162" bestFit="1" customWidth="1"/>
    <col min="59" max="59" width="31.1640625" style="162" bestFit="1" customWidth="1"/>
    <col min="60" max="60" width="19.5" style="162" bestFit="1" customWidth="1"/>
    <col min="61" max="61" width="19" style="162" bestFit="1" customWidth="1"/>
    <col min="62" max="62" width="20.5" style="162" bestFit="1" customWidth="1"/>
    <col min="63" max="63" width="19" style="162" bestFit="1" customWidth="1"/>
    <col min="64" max="64" width="17.5" style="162" bestFit="1" customWidth="1"/>
    <col min="65" max="65" width="11" style="162" bestFit="1" customWidth="1"/>
    <col min="66" max="16384" width="9.33203125" style="162"/>
  </cols>
  <sheetData>
    <row r="1" spans="1:65" s="159" customFormat="1" ht="63.95" customHeight="1" x14ac:dyDescent="0.2">
      <c r="A1" s="169"/>
      <c r="B1" s="177"/>
      <c r="J1" s="160"/>
      <c r="O1" s="160"/>
    </row>
    <row r="2" spans="1:65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H2" s="159" t="s">
        <v>34</v>
      </c>
    </row>
    <row r="3" spans="1:65" s="159" customFormat="1" ht="204" x14ac:dyDescent="0.2">
      <c r="A3" s="170"/>
      <c r="B3" s="184" t="s">
        <v>349</v>
      </c>
      <c r="C3" s="183" t="s">
        <v>350</v>
      </c>
      <c r="D3" s="183" t="s">
        <v>392</v>
      </c>
      <c r="E3" s="184" t="s">
        <v>349</v>
      </c>
      <c r="F3" s="184" t="s">
        <v>351</v>
      </c>
      <c r="G3" s="184" t="s">
        <v>353</v>
      </c>
      <c r="H3" s="183" t="s">
        <v>352</v>
      </c>
      <c r="I3" s="183" t="s">
        <v>372</v>
      </c>
      <c r="J3" s="183" t="s">
        <v>358</v>
      </c>
      <c r="K3" s="183" t="s">
        <v>355</v>
      </c>
      <c r="L3" s="183" t="s">
        <v>354</v>
      </c>
      <c r="M3" s="183" t="s">
        <v>355</v>
      </c>
      <c r="N3" s="183" t="s">
        <v>355</v>
      </c>
      <c r="O3" s="183" t="s">
        <v>356</v>
      </c>
      <c r="P3" s="183" t="s">
        <v>357</v>
      </c>
      <c r="Q3" s="183" t="s">
        <v>359</v>
      </c>
      <c r="R3" s="183" t="s">
        <v>360</v>
      </c>
      <c r="S3" s="183" t="s">
        <v>387</v>
      </c>
      <c r="T3" s="183" t="s">
        <v>361</v>
      </c>
      <c r="U3" s="183" t="s">
        <v>362</v>
      </c>
      <c r="V3" s="183" t="s">
        <v>363</v>
      </c>
      <c r="W3" s="183" t="s">
        <v>355</v>
      </c>
      <c r="X3" s="183" t="s">
        <v>355</v>
      </c>
      <c r="Y3" s="183" t="s">
        <v>381</v>
      </c>
      <c r="Z3" s="183" t="s">
        <v>364</v>
      </c>
      <c r="AA3" s="183" t="s">
        <v>355</v>
      </c>
      <c r="AB3" s="183" t="s">
        <v>355</v>
      </c>
      <c r="AC3" s="183" t="s">
        <v>355</v>
      </c>
      <c r="AD3" s="183" t="s">
        <v>369</v>
      </c>
      <c r="AE3" s="183" t="s">
        <v>355</v>
      </c>
      <c r="AF3" s="183" t="s">
        <v>355</v>
      </c>
      <c r="AG3" s="183" t="s">
        <v>373</v>
      </c>
      <c r="AH3" s="183" t="s">
        <v>374</v>
      </c>
      <c r="AI3" s="183" t="s">
        <v>375</v>
      </c>
      <c r="AJ3" s="183" t="s">
        <v>376</v>
      </c>
      <c r="AK3" s="183" t="s">
        <v>373</v>
      </c>
      <c r="AL3" s="183" t="s">
        <v>378</v>
      </c>
      <c r="AM3" s="183" t="s">
        <v>379</v>
      </c>
      <c r="AN3" s="183" t="s">
        <v>380</v>
      </c>
      <c r="AO3" s="183" t="s">
        <v>469</v>
      </c>
      <c r="AP3" s="183"/>
      <c r="AQ3" s="183" t="s">
        <v>377</v>
      </c>
      <c r="AS3" s="183" t="s">
        <v>382</v>
      </c>
      <c r="AT3" s="183" t="s">
        <v>366</v>
      </c>
      <c r="AU3" s="183" t="s">
        <v>367</v>
      </c>
      <c r="AV3" s="183" t="s">
        <v>368</v>
      </c>
      <c r="AW3" s="183" t="s">
        <v>365</v>
      </c>
      <c r="AX3" s="183" t="s">
        <v>365</v>
      </c>
      <c r="AY3" s="183" t="s">
        <v>365</v>
      </c>
      <c r="AZ3" s="183" t="s">
        <v>365</v>
      </c>
      <c r="BA3" s="159" t="s">
        <v>371</v>
      </c>
      <c r="BB3" s="183" t="s">
        <v>370</v>
      </c>
      <c r="BC3" s="183" t="s">
        <v>370</v>
      </c>
      <c r="BD3" s="183" t="s">
        <v>370</v>
      </c>
      <c r="BE3" s="183" t="s">
        <v>370</v>
      </c>
      <c r="BF3" s="183" t="s">
        <v>370</v>
      </c>
      <c r="BG3" s="183" t="s">
        <v>370</v>
      </c>
      <c r="BI3" s="183" t="s">
        <v>383</v>
      </c>
      <c r="BJ3" s="183" t="s">
        <v>384</v>
      </c>
      <c r="BK3" s="183" t="s">
        <v>385</v>
      </c>
      <c r="BL3" s="183" t="s">
        <v>386</v>
      </c>
      <c r="BM3" s="183" t="s">
        <v>377</v>
      </c>
    </row>
    <row r="4" spans="1:65" s="161" customFormat="1" x14ac:dyDescent="0.2">
      <c r="A4" s="171" t="s">
        <v>318</v>
      </c>
      <c r="B4" s="178" t="s">
        <v>403</v>
      </c>
      <c r="C4" s="168" t="s">
        <v>388</v>
      </c>
      <c r="D4" s="168" t="s">
        <v>4</v>
      </c>
      <c r="E4" s="168" t="s">
        <v>404</v>
      </c>
      <c r="F4" s="168" t="s">
        <v>28</v>
      </c>
      <c r="G4" s="168" t="s">
        <v>402</v>
      </c>
      <c r="H4" s="168" t="s">
        <v>399</v>
      </c>
      <c r="I4" s="168" t="s">
        <v>405</v>
      </c>
      <c r="J4" s="168" t="s">
        <v>46</v>
      </c>
      <c r="K4" s="168" t="s">
        <v>445</v>
      </c>
      <c r="L4" s="168" t="s">
        <v>446</v>
      </c>
      <c r="M4" s="168" t="s">
        <v>447</v>
      </c>
      <c r="N4" s="168" t="s">
        <v>448</v>
      </c>
      <c r="O4" s="168" t="s">
        <v>408</v>
      </c>
      <c r="P4" s="168" t="s">
        <v>409</v>
      </c>
      <c r="Q4" s="168" t="s">
        <v>416</v>
      </c>
      <c r="R4" s="168" t="s">
        <v>412</v>
      </c>
      <c r="S4" s="168" t="s">
        <v>31</v>
      </c>
      <c r="T4" s="168" t="s">
        <v>417</v>
      </c>
      <c r="U4" s="168" t="s">
        <v>415</v>
      </c>
      <c r="V4" s="168" t="s">
        <v>464</v>
      </c>
      <c r="W4" s="168" t="s">
        <v>463</v>
      </c>
      <c r="X4" s="168" t="s">
        <v>462</v>
      </c>
      <c r="Y4" s="168" t="s">
        <v>461</v>
      </c>
      <c r="Z4" s="168" t="s">
        <v>460</v>
      </c>
      <c r="AA4" s="168" t="s">
        <v>465</v>
      </c>
      <c r="AB4" s="168" t="s">
        <v>459</v>
      </c>
      <c r="AC4" s="168" t="s">
        <v>58</v>
      </c>
      <c r="AD4" s="168" t="s">
        <v>466</v>
      </c>
      <c r="AE4" s="168" t="s">
        <v>458</v>
      </c>
      <c r="AF4" s="168" t="s">
        <v>457</v>
      </c>
      <c r="AG4" s="168" t="s">
        <v>467</v>
      </c>
      <c r="AH4" s="168" t="s">
        <v>456</v>
      </c>
      <c r="AI4" s="168" t="s">
        <v>449</v>
      </c>
      <c r="AJ4" s="168" t="s">
        <v>455</v>
      </c>
      <c r="AK4" s="168" t="s">
        <v>450</v>
      </c>
      <c r="AL4" s="168" t="s">
        <v>468</v>
      </c>
      <c r="AM4" s="168" t="s">
        <v>451</v>
      </c>
      <c r="AN4" s="168" t="s">
        <v>452</v>
      </c>
      <c r="AO4" s="168" t="s">
        <v>470</v>
      </c>
      <c r="AP4" s="168" t="s">
        <v>426</v>
      </c>
      <c r="AQ4" s="168" t="s">
        <v>453</v>
      </c>
      <c r="AR4" s="168" t="s">
        <v>59</v>
      </c>
      <c r="AS4" s="168" t="s">
        <v>60</v>
      </c>
      <c r="AT4" s="168" t="s">
        <v>61</v>
      </c>
      <c r="AU4" s="168" t="s">
        <v>62</v>
      </c>
      <c r="AV4" s="168" t="s">
        <v>63</v>
      </c>
      <c r="AW4" s="168" t="s">
        <v>64</v>
      </c>
      <c r="AX4" s="168" t="s">
        <v>65</v>
      </c>
      <c r="AY4" s="168" t="s">
        <v>66</v>
      </c>
      <c r="AZ4" s="168" t="s">
        <v>67</v>
      </c>
      <c r="BA4" s="168" t="s">
        <v>71</v>
      </c>
      <c r="BB4" s="168" t="s">
        <v>72</v>
      </c>
      <c r="BC4" s="168" t="s">
        <v>73</v>
      </c>
      <c r="BD4" s="168" t="s">
        <v>74</v>
      </c>
      <c r="BE4" s="168" t="s">
        <v>75</v>
      </c>
      <c r="BF4" s="168" t="s">
        <v>76</v>
      </c>
      <c r="BG4" s="168" t="s">
        <v>77</v>
      </c>
      <c r="BH4" s="168" t="s">
        <v>78</v>
      </c>
      <c r="BI4" s="168" t="s">
        <v>79</v>
      </c>
      <c r="BJ4" s="168" t="s">
        <v>80</v>
      </c>
      <c r="BK4" s="168" t="s">
        <v>81</v>
      </c>
      <c r="BL4" s="168" t="s">
        <v>82</v>
      </c>
      <c r="BM4" s="168" t="s">
        <v>87</v>
      </c>
    </row>
    <row r="5" spans="1:65" s="176" customFormat="1" x14ac:dyDescent="0.2">
      <c r="A5" s="173">
        <v>1</v>
      </c>
      <c r="B5" s="179" t="s">
        <v>479</v>
      </c>
      <c r="C5" s="174" t="s">
        <v>390</v>
      </c>
      <c r="D5" s="174" t="s">
        <v>480</v>
      </c>
      <c r="E5" s="174" t="s">
        <v>478</v>
      </c>
      <c r="F5" s="188" t="s">
        <v>94</v>
      </c>
      <c r="G5" s="174" t="s">
        <v>393</v>
      </c>
      <c r="H5" s="174" t="s">
        <v>420</v>
      </c>
      <c r="I5" s="174" t="s">
        <v>96</v>
      </c>
      <c r="J5" s="186" t="s">
        <v>315</v>
      </c>
      <c r="K5" s="174">
        <v>400</v>
      </c>
      <c r="L5" s="174">
        <v>600</v>
      </c>
      <c r="M5" s="174">
        <v>1600</v>
      </c>
      <c r="N5" s="174">
        <v>34</v>
      </c>
      <c r="O5" s="174" t="s">
        <v>400</v>
      </c>
      <c r="P5" s="192">
        <v>2</v>
      </c>
      <c r="Q5" s="175" t="s">
        <v>410</v>
      </c>
      <c r="R5" s="192">
        <v>3</v>
      </c>
      <c r="S5" s="174" t="s">
        <v>104</v>
      </c>
      <c r="T5" s="174">
        <v>4</v>
      </c>
      <c r="U5" s="174">
        <v>0</v>
      </c>
      <c r="V5" s="174" t="s">
        <v>107</v>
      </c>
      <c r="W5" s="174">
        <v>30</v>
      </c>
      <c r="X5" s="174">
        <v>50</v>
      </c>
      <c r="Y5" s="174">
        <v>24</v>
      </c>
      <c r="Z5" s="187" t="s">
        <v>421</v>
      </c>
      <c r="AA5" s="187">
        <v>36</v>
      </c>
      <c r="AB5" s="192">
        <v>55</v>
      </c>
      <c r="AC5" s="174">
        <v>0</v>
      </c>
      <c r="AD5" s="174" t="s">
        <v>421</v>
      </c>
      <c r="AE5" s="174">
        <v>8</v>
      </c>
      <c r="AF5" s="174">
        <v>9</v>
      </c>
      <c r="AG5" s="174" t="s">
        <v>423</v>
      </c>
      <c r="AH5" s="174">
        <v>200</v>
      </c>
      <c r="AI5" s="174">
        <v>300</v>
      </c>
      <c r="AJ5" s="174">
        <v>340</v>
      </c>
      <c r="AK5" s="174" t="s">
        <v>425</v>
      </c>
      <c r="AL5" s="174">
        <v>400</v>
      </c>
      <c r="AM5" s="174">
        <v>500</v>
      </c>
      <c r="AN5" s="174">
        <v>600</v>
      </c>
      <c r="AO5" s="186" t="s">
        <v>477</v>
      </c>
      <c r="AP5" s="186"/>
      <c r="AQ5" s="174"/>
      <c r="AR5" s="187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  <c r="BL5" s="174"/>
      <c r="BM5" s="174"/>
    </row>
    <row r="6" spans="1:65" s="176" customFormat="1" x14ac:dyDescent="0.2">
      <c r="A6" s="173">
        <v>2</v>
      </c>
      <c r="B6" s="179" t="s">
        <v>479</v>
      </c>
      <c r="C6" s="174" t="s">
        <v>390</v>
      </c>
      <c r="D6" s="174" t="s">
        <v>481</v>
      </c>
      <c r="E6" s="174" t="s">
        <v>478</v>
      </c>
      <c r="F6" s="188" t="s">
        <v>94</v>
      </c>
      <c r="G6" s="174" t="s">
        <v>393</v>
      </c>
      <c r="H6" s="174" t="s">
        <v>420</v>
      </c>
      <c r="I6" s="174" t="s">
        <v>96</v>
      </c>
      <c r="J6" s="186" t="s">
        <v>315</v>
      </c>
      <c r="K6" s="174">
        <v>400</v>
      </c>
      <c r="L6" s="174">
        <v>600</v>
      </c>
      <c r="M6" s="174">
        <v>1600</v>
      </c>
      <c r="N6" s="174">
        <v>34</v>
      </c>
      <c r="O6" s="174" t="s">
        <v>400</v>
      </c>
      <c r="P6" s="192">
        <v>2</v>
      </c>
      <c r="Q6" s="175" t="s">
        <v>410</v>
      </c>
      <c r="R6" s="192">
        <v>3</v>
      </c>
      <c r="S6" s="174" t="s">
        <v>104</v>
      </c>
      <c r="T6" s="174">
        <v>4</v>
      </c>
      <c r="U6" s="174">
        <v>0</v>
      </c>
      <c r="V6" s="174" t="s">
        <v>107</v>
      </c>
      <c r="W6" s="174">
        <v>30</v>
      </c>
      <c r="X6" s="174">
        <v>50</v>
      </c>
      <c r="Y6" s="174">
        <v>24</v>
      </c>
      <c r="Z6" s="187" t="s">
        <v>421</v>
      </c>
      <c r="AA6" s="187">
        <v>36</v>
      </c>
      <c r="AB6" s="192">
        <v>55</v>
      </c>
      <c r="AC6" s="174">
        <v>0</v>
      </c>
      <c r="AD6" s="174" t="s">
        <v>421</v>
      </c>
      <c r="AE6" s="174">
        <v>8</v>
      </c>
      <c r="AF6" s="174">
        <v>9</v>
      </c>
      <c r="AG6" s="174" t="s">
        <v>423</v>
      </c>
      <c r="AH6" s="174">
        <v>200</v>
      </c>
      <c r="AI6" s="174">
        <v>300</v>
      </c>
      <c r="AJ6" s="174">
        <v>340</v>
      </c>
      <c r="AK6" s="174" t="s">
        <v>425</v>
      </c>
      <c r="AL6" s="174">
        <v>400</v>
      </c>
      <c r="AM6" s="174">
        <v>500</v>
      </c>
      <c r="AN6" s="174">
        <v>600</v>
      </c>
      <c r="AO6" s="186" t="s">
        <v>477</v>
      </c>
      <c r="AP6" s="186"/>
      <c r="AQ6" s="174"/>
      <c r="AR6" s="187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  <c r="BL6" s="174"/>
      <c r="BM6" s="174"/>
    </row>
    <row r="7" spans="1:65" s="176" customFormat="1" x14ac:dyDescent="0.2">
      <c r="A7" s="173">
        <v>3</v>
      </c>
      <c r="B7" s="179" t="s">
        <v>479</v>
      </c>
      <c r="C7" s="174" t="s">
        <v>391</v>
      </c>
      <c r="D7" s="174" t="s">
        <v>488</v>
      </c>
      <c r="E7" s="174" t="s">
        <v>478</v>
      </c>
      <c r="F7" s="188" t="s">
        <v>94</v>
      </c>
      <c r="G7" s="174" t="s">
        <v>393</v>
      </c>
      <c r="H7" s="174" t="s">
        <v>420</v>
      </c>
      <c r="I7" s="174" t="s">
        <v>96</v>
      </c>
      <c r="J7" s="186" t="s">
        <v>315</v>
      </c>
      <c r="K7" s="174">
        <v>400</v>
      </c>
      <c r="L7" s="174">
        <v>600</v>
      </c>
      <c r="M7" s="174">
        <v>1600</v>
      </c>
      <c r="N7" s="174">
        <v>34</v>
      </c>
      <c r="O7" s="174" t="s">
        <v>400</v>
      </c>
      <c r="P7" s="192">
        <v>2</v>
      </c>
      <c r="Q7" s="175" t="s">
        <v>410</v>
      </c>
      <c r="R7" s="192">
        <v>3</v>
      </c>
      <c r="S7" s="174" t="s">
        <v>104</v>
      </c>
      <c r="T7" s="174">
        <v>4</v>
      </c>
      <c r="U7" s="174">
        <v>0</v>
      </c>
      <c r="V7" s="174" t="s">
        <v>107</v>
      </c>
      <c r="W7" s="174">
        <v>30</v>
      </c>
      <c r="X7" s="174">
        <v>50</v>
      </c>
      <c r="Y7" s="174">
        <v>24</v>
      </c>
      <c r="Z7" s="187" t="s">
        <v>421</v>
      </c>
      <c r="AA7" s="187">
        <v>36</v>
      </c>
      <c r="AB7" s="192">
        <v>55</v>
      </c>
      <c r="AC7" s="174">
        <v>0</v>
      </c>
      <c r="AD7" s="174" t="s">
        <v>421</v>
      </c>
      <c r="AE7" s="174">
        <v>8</v>
      </c>
      <c r="AF7" s="174">
        <v>9</v>
      </c>
      <c r="AG7" s="174" t="s">
        <v>423</v>
      </c>
      <c r="AH7" s="174">
        <v>200</v>
      </c>
      <c r="AI7" s="174">
        <v>300</v>
      </c>
      <c r="AJ7" s="174">
        <v>340</v>
      </c>
      <c r="AK7" s="174" t="s">
        <v>425</v>
      </c>
      <c r="AL7" s="174">
        <v>400</v>
      </c>
      <c r="AM7" s="174">
        <v>500</v>
      </c>
      <c r="AN7" s="174">
        <v>600</v>
      </c>
      <c r="AO7" s="186" t="s">
        <v>477</v>
      </c>
      <c r="AP7" s="186"/>
      <c r="AQ7" s="174"/>
      <c r="AR7" s="187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  <c r="BL7" s="174"/>
      <c r="BM7" s="174"/>
    </row>
    <row r="8" spans="1:65" x14ac:dyDescent="0.2">
      <c r="A8" s="173">
        <v>4</v>
      </c>
      <c r="B8" s="179" t="s">
        <v>479</v>
      </c>
      <c r="C8" s="174" t="s">
        <v>390</v>
      </c>
      <c r="D8" s="174" t="s">
        <v>482</v>
      </c>
      <c r="E8" s="174" t="s">
        <v>478</v>
      </c>
      <c r="F8" s="188" t="s">
        <v>94</v>
      </c>
      <c r="G8" s="174" t="s">
        <v>393</v>
      </c>
      <c r="H8" s="174" t="s">
        <v>420</v>
      </c>
      <c r="I8" s="174" t="s">
        <v>96</v>
      </c>
      <c r="J8" s="186" t="s">
        <v>315</v>
      </c>
      <c r="K8" s="174">
        <v>400</v>
      </c>
      <c r="L8" s="174">
        <v>600</v>
      </c>
      <c r="M8" s="174">
        <v>1600</v>
      </c>
      <c r="N8" s="174">
        <v>34</v>
      </c>
      <c r="O8" s="174" t="s">
        <v>400</v>
      </c>
      <c r="P8" s="192">
        <v>2</v>
      </c>
      <c r="Q8" s="175" t="s">
        <v>410</v>
      </c>
      <c r="R8" s="192">
        <v>3</v>
      </c>
      <c r="S8" s="174" t="s">
        <v>104</v>
      </c>
      <c r="T8" s="174">
        <v>4</v>
      </c>
      <c r="U8" s="174">
        <v>0</v>
      </c>
      <c r="V8" s="174" t="s">
        <v>107</v>
      </c>
      <c r="W8" s="174">
        <v>30</v>
      </c>
      <c r="X8" s="174">
        <v>50</v>
      </c>
      <c r="Y8" s="174">
        <v>24</v>
      </c>
      <c r="Z8" s="187" t="s">
        <v>421</v>
      </c>
      <c r="AA8" s="187">
        <v>36</v>
      </c>
      <c r="AB8" s="192">
        <v>55</v>
      </c>
      <c r="AC8" s="174">
        <v>0</v>
      </c>
      <c r="AD8" s="174" t="s">
        <v>421</v>
      </c>
      <c r="AE8" s="174">
        <v>8</v>
      </c>
      <c r="AF8" s="174">
        <v>9</v>
      </c>
      <c r="AG8" s="174" t="s">
        <v>423</v>
      </c>
      <c r="AH8" s="174">
        <v>200</v>
      </c>
      <c r="AI8" s="174">
        <v>300</v>
      </c>
      <c r="AJ8" s="174">
        <v>340</v>
      </c>
      <c r="AK8" s="174" t="s">
        <v>425</v>
      </c>
      <c r="AL8" s="174">
        <v>400</v>
      </c>
      <c r="AM8" s="174">
        <v>500</v>
      </c>
      <c r="AN8" s="174">
        <v>600</v>
      </c>
      <c r="AO8" s="186" t="s">
        <v>477</v>
      </c>
      <c r="AP8" s="186"/>
      <c r="AQ8" s="174"/>
    </row>
    <row r="9" spans="1:65" x14ac:dyDescent="0.2">
      <c r="A9" s="173">
        <v>5</v>
      </c>
      <c r="B9" s="179" t="s">
        <v>479</v>
      </c>
      <c r="C9" s="174" t="s">
        <v>391</v>
      </c>
      <c r="D9" s="174" t="s">
        <v>488</v>
      </c>
      <c r="E9" s="174" t="s">
        <v>478</v>
      </c>
      <c r="F9" s="188" t="s">
        <v>94</v>
      </c>
      <c r="G9" s="174" t="s">
        <v>393</v>
      </c>
      <c r="H9" s="174" t="s">
        <v>420</v>
      </c>
      <c r="I9" s="174" t="s">
        <v>96</v>
      </c>
      <c r="J9" s="186" t="s">
        <v>315</v>
      </c>
      <c r="K9" s="174">
        <v>400</v>
      </c>
      <c r="L9" s="174">
        <v>600</v>
      </c>
      <c r="M9" s="174">
        <v>1600</v>
      </c>
      <c r="N9" s="174">
        <v>34</v>
      </c>
      <c r="O9" s="174" t="s">
        <v>400</v>
      </c>
      <c r="P9" s="192">
        <v>2</v>
      </c>
      <c r="Q9" s="175" t="s">
        <v>410</v>
      </c>
      <c r="R9" s="192">
        <v>3</v>
      </c>
      <c r="S9" s="174" t="s">
        <v>104</v>
      </c>
      <c r="T9" s="174">
        <v>4</v>
      </c>
      <c r="U9" s="174">
        <v>0</v>
      </c>
      <c r="V9" s="174" t="s">
        <v>107</v>
      </c>
      <c r="W9" s="174">
        <v>30</v>
      </c>
      <c r="X9" s="174">
        <v>50</v>
      </c>
      <c r="Y9" s="174">
        <v>24</v>
      </c>
      <c r="Z9" s="187" t="s">
        <v>421</v>
      </c>
      <c r="AA9" s="187">
        <v>36</v>
      </c>
      <c r="AB9" s="192">
        <v>55</v>
      </c>
      <c r="AC9" s="174">
        <v>0</v>
      </c>
      <c r="AD9" s="174" t="s">
        <v>421</v>
      </c>
      <c r="AE9" s="174">
        <v>8</v>
      </c>
      <c r="AF9" s="174">
        <v>9</v>
      </c>
      <c r="AG9" s="174" t="s">
        <v>423</v>
      </c>
      <c r="AH9" s="174">
        <v>200</v>
      </c>
      <c r="AI9" s="174">
        <v>300</v>
      </c>
      <c r="AJ9" s="174">
        <v>340</v>
      </c>
      <c r="AK9" s="174" t="s">
        <v>425</v>
      </c>
      <c r="AL9" s="174">
        <v>400</v>
      </c>
      <c r="AM9" s="174">
        <v>500</v>
      </c>
      <c r="AN9" s="174">
        <v>600</v>
      </c>
      <c r="AO9" s="186" t="s">
        <v>477</v>
      </c>
      <c r="AP9" s="186"/>
      <c r="AQ9" s="174"/>
    </row>
    <row r="10" spans="1:65" x14ac:dyDescent="0.2">
      <c r="A10" s="173">
        <v>6</v>
      </c>
      <c r="B10" s="179" t="s">
        <v>479</v>
      </c>
      <c r="C10" s="174" t="s">
        <v>390</v>
      </c>
      <c r="D10" s="174" t="s">
        <v>480</v>
      </c>
      <c r="E10" s="174" t="s">
        <v>478</v>
      </c>
      <c r="F10" s="188" t="s">
        <v>94</v>
      </c>
      <c r="G10" s="174" t="s">
        <v>393</v>
      </c>
      <c r="H10" s="174" t="s">
        <v>420</v>
      </c>
      <c r="I10" s="174" t="s">
        <v>96</v>
      </c>
      <c r="J10" s="186" t="s">
        <v>315</v>
      </c>
      <c r="K10" s="174">
        <v>400</v>
      </c>
      <c r="L10" s="174">
        <v>600</v>
      </c>
      <c r="M10" s="174">
        <v>1600</v>
      </c>
      <c r="N10" s="174">
        <v>34</v>
      </c>
      <c r="O10" s="174" t="s">
        <v>400</v>
      </c>
      <c r="P10" s="192">
        <v>2</v>
      </c>
      <c r="Q10" s="175" t="s">
        <v>410</v>
      </c>
      <c r="R10" s="192">
        <v>3</v>
      </c>
      <c r="S10" s="174" t="s">
        <v>104</v>
      </c>
      <c r="T10" s="174">
        <v>4</v>
      </c>
      <c r="U10" s="174">
        <v>0</v>
      </c>
      <c r="V10" s="174" t="s">
        <v>107</v>
      </c>
      <c r="W10" s="174">
        <v>30</v>
      </c>
      <c r="X10" s="174">
        <v>50</v>
      </c>
      <c r="Y10" s="174">
        <v>24</v>
      </c>
      <c r="Z10" s="187" t="s">
        <v>421</v>
      </c>
      <c r="AA10" s="187">
        <v>36</v>
      </c>
      <c r="AB10" s="192">
        <v>55</v>
      </c>
      <c r="AC10" s="174">
        <v>0</v>
      </c>
      <c r="AD10" s="174" t="s">
        <v>421</v>
      </c>
      <c r="AE10" s="174">
        <v>8</v>
      </c>
      <c r="AF10" s="174">
        <v>9</v>
      </c>
      <c r="AG10" s="174" t="s">
        <v>423</v>
      </c>
      <c r="AH10" s="174">
        <v>200</v>
      </c>
      <c r="AI10" s="174">
        <v>300</v>
      </c>
      <c r="AJ10" s="174">
        <v>340</v>
      </c>
      <c r="AK10" s="174" t="s">
        <v>425</v>
      </c>
      <c r="AL10" s="174">
        <v>400</v>
      </c>
      <c r="AM10" s="174">
        <v>500</v>
      </c>
      <c r="AN10" s="174">
        <v>600</v>
      </c>
      <c r="AO10" s="186" t="s">
        <v>477</v>
      </c>
      <c r="AP10" s="186"/>
      <c r="AQ10" s="174"/>
    </row>
    <row r="11" spans="1:65" x14ac:dyDescent="0.2">
      <c r="A11" s="173">
        <v>7</v>
      </c>
      <c r="B11" s="179" t="s">
        <v>479</v>
      </c>
      <c r="C11" s="174" t="s">
        <v>391</v>
      </c>
      <c r="D11" s="174" t="s">
        <v>488</v>
      </c>
      <c r="E11" s="174" t="s">
        <v>478</v>
      </c>
      <c r="F11" s="188" t="s">
        <v>94</v>
      </c>
      <c r="G11" s="174" t="s">
        <v>393</v>
      </c>
      <c r="H11" s="174" t="s">
        <v>420</v>
      </c>
      <c r="I11" s="174" t="s">
        <v>96</v>
      </c>
      <c r="J11" s="186" t="s">
        <v>315</v>
      </c>
      <c r="K11" s="174">
        <v>400</v>
      </c>
      <c r="L11" s="174">
        <v>600</v>
      </c>
      <c r="M11" s="174">
        <v>1600</v>
      </c>
      <c r="N11" s="174">
        <v>34</v>
      </c>
      <c r="O11" s="174" t="s">
        <v>400</v>
      </c>
      <c r="P11" s="192">
        <v>2</v>
      </c>
      <c r="Q11" s="175" t="s">
        <v>410</v>
      </c>
      <c r="R11" s="192">
        <v>3</v>
      </c>
      <c r="S11" s="174" t="s">
        <v>104</v>
      </c>
      <c r="T11" s="174">
        <v>4</v>
      </c>
      <c r="U11" s="174">
        <v>0</v>
      </c>
      <c r="V11" s="174" t="s">
        <v>107</v>
      </c>
      <c r="W11" s="174">
        <v>30</v>
      </c>
      <c r="X11" s="174">
        <v>50</v>
      </c>
      <c r="Y11" s="174">
        <v>24</v>
      </c>
      <c r="Z11" s="187" t="s">
        <v>421</v>
      </c>
      <c r="AA11" s="187">
        <v>36</v>
      </c>
      <c r="AB11" s="192">
        <v>55</v>
      </c>
      <c r="AC11" s="174">
        <v>0</v>
      </c>
      <c r="AD11" s="174" t="s">
        <v>421</v>
      </c>
      <c r="AE11" s="174">
        <v>8</v>
      </c>
      <c r="AF11" s="174">
        <v>9</v>
      </c>
      <c r="AG11" s="174" t="s">
        <v>423</v>
      </c>
      <c r="AH11" s="174">
        <v>200</v>
      </c>
      <c r="AI11" s="174">
        <v>300</v>
      </c>
      <c r="AJ11" s="174">
        <v>340</v>
      </c>
      <c r="AK11" s="174" t="s">
        <v>425</v>
      </c>
      <c r="AL11" s="174">
        <v>400</v>
      </c>
      <c r="AM11" s="174">
        <v>500</v>
      </c>
      <c r="AN11" s="174">
        <v>600</v>
      </c>
      <c r="AO11" s="186" t="s">
        <v>477</v>
      </c>
      <c r="AP11" s="186"/>
      <c r="AQ11" s="174"/>
    </row>
    <row r="12" spans="1:65" x14ac:dyDescent="0.2">
      <c r="A12" s="173">
        <v>8</v>
      </c>
      <c r="B12" s="179" t="s">
        <v>487</v>
      </c>
      <c r="C12" s="174"/>
      <c r="D12" s="174" t="s">
        <v>480</v>
      </c>
      <c r="E12" s="174" t="s">
        <v>478</v>
      </c>
      <c r="F12" s="188"/>
      <c r="G12" s="174"/>
      <c r="H12" s="174"/>
      <c r="I12" s="174"/>
      <c r="J12" s="186"/>
      <c r="K12" s="174"/>
      <c r="L12" s="174"/>
      <c r="M12" s="174"/>
      <c r="N12" s="174"/>
      <c r="O12" s="174"/>
      <c r="P12" s="192"/>
      <c r="Q12" s="175"/>
      <c r="R12" s="192"/>
      <c r="S12" s="174"/>
      <c r="T12" s="174"/>
      <c r="U12" s="174"/>
      <c r="V12" s="174"/>
      <c r="W12" s="174"/>
      <c r="X12" s="174"/>
      <c r="Y12" s="174"/>
      <c r="Z12" s="187"/>
      <c r="AA12" s="187"/>
      <c r="AB12" s="192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86" t="s">
        <v>476</v>
      </c>
      <c r="AP12" s="186"/>
      <c r="AQ12" s="17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  <c r="AC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  <c r="AC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</row>
    <row r="343" spans="25:29" x14ac:dyDescent="0.2">
      <c r="Y343" s="164"/>
      <c r="Z343" s="164"/>
      <c r="AA343" s="164"/>
    </row>
    <row r="344" spans="25:29" x14ac:dyDescent="0.2">
      <c r="Y344" s="164"/>
      <c r="Z344" s="164"/>
      <c r="AA344" s="164"/>
    </row>
    <row r="345" spans="25:29" x14ac:dyDescent="0.2">
      <c r="Y345" s="164"/>
      <c r="Z345" s="164"/>
      <c r="AA345" s="164"/>
    </row>
    <row r="346" spans="25:29" x14ac:dyDescent="0.2">
      <c r="Y346" s="164"/>
      <c r="Z346" s="164"/>
      <c r="AA346" s="164"/>
    </row>
    <row r="347" spans="25:29" x14ac:dyDescent="0.2">
      <c r="Y347" s="164"/>
      <c r="Z347" s="164"/>
      <c r="AA347" s="164"/>
    </row>
    <row r="348" spans="25:29" x14ac:dyDescent="0.2">
      <c r="Y348" s="164"/>
      <c r="Z348" s="164"/>
      <c r="AA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  <c r="AC350" s="164"/>
    </row>
    <row r="351" spans="25:29" x14ac:dyDescent="0.2">
      <c r="Y351" s="164"/>
      <c r="Z351" s="164"/>
      <c r="AA351" s="164"/>
      <c r="AC351" s="164"/>
    </row>
    <row r="352" spans="25:29" x14ac:dyDescent="0.2">
      <c r="Y352" s="164"/>
      <c r="Z352" s="164"/>
      <c r="AA352" s="164"/>
      <c r="AC352" s="164"/>
    </row>
    <row r="353" spans="25:29" x14ac:dyDescent="0.2">
      <c r="Y353" s="164"/>
      <c r="Z353" s="164"/>
      <c r="AA353" s="164"/>
      <c r="AC353" s="164"/>
    </row>
    <row r="354" spans="25:29" x14ac:dyDescent="0.2">
      <c r="Y354" s="164"/>
      <c r="Z354" s="164"/>
      <c r="AA354" s="164"/>
      <c r="AC354" s="164"/>
    </row>
    <row r="355" spans="25:29" x14ac:dyDescent="0.2">
      <c r="Y355" s="164"/>
      <c r="Z355" s="164"/>
      <c r="AA355" s="164"/>
      <c r="AC355" s="164"/>
    </row>
    <row r="356" spans="25:29" x14ac:dyDescent="0.2">
      <c r="Y356" s="164"/>
      <c r="Z356" s="164"/>
      <c r="AA356" s="164"/>
      <c r="AC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</row>
    <row r="423" spans="25:29" x14ac:dyDescent="0.2">
      <c r="Y423" s="164"/>
      <c r="Z423" s="164"/>
      <c r="AA423" s="164"/>
    </row>
    <row r="424" spans="25:29" x14ac:dyDescent="0.2">
      <c r="Y424" s="164"/>
      <c r="Z424" s="164"/>
      <c r="AA424" s="164"/>
    </row>
    <row r="425" spans="25:29" x14ac:dyDescent="0.2">
      <c r="Y425" s="164"/>
      <c r="Z425" s="164"/>
      <c r="AA425" s="164"/>
      <c r="AC425" s="164"/>
    </row>
    <row r="426" spans="25:29" x14ac:dyDescent="0.2">
      <c r="Y426" s="164"/>
      <c r="Z426" s="164"/>
      <c r="AA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  <c r="AC429" s="164"/>
    </row>
    <row r="430" spans="25:29" x14ac:dyDescent="0.2">
      <c r="Y430" s="164"/>
      <c r="Z430" s="164"/>
      <c r="AA430" s="164"/>
      <c r="AC430" s="164"/>
    </row>
    <row r="431" spans="25:29" x14ac:dyDescent="0.2">
      <c r="Y431" s="164"/>
      <c r="Z431" s="164"/>
      <c r="AA431" s="164"/>
      <c r="AC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  <c r="AC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  <c r="AC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  <c r="AC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50" x14ac:dyDescent="0.2">
      <c r="Y497" s="164"/>
      <c r="Z497" s="164"/>
      <c r="AA497" s="164"/>
      <c r="AC497" s="164"/>
      <c r="AR497" s="162" t="s">
        <v>182</v>
      </c>
      <c r="AS497" s="162">
        <v>875</v>
      </c>
      <c r="AT497" s="162" t="s">
        <v>138</v>
      </c>
      <c r="AV497" s="162" t="s">
        <v>129</v>
      </c>
      <c r="AW497" s="162">
        <v>6703.88</v>
      </c>
      <c r="AX497" s="162">
        <v>6703.88</v>
      </c>
    </row>
    <row r="498" spans="25:50" x14ac:dyDescent="0.2">
      <c r="Y498" s="164"/>
      <c r="Z498" s="164"/>
      <c r="AA498" s="164"/>
      <c r="AC498" s="164"/>
      <c r="AR498" s="162" t="s">
        <v>180</v>
      </c>
      <c r="AS498" s="162">
        <v>875</v>
      </c>
      <c r="AT498" s="162" t="s">
        <v>138</v>
      </c>
      <c r="AV498" s="162" t="s">
        <v>129</v>
      </c>
      <c r="AW498" s="162">
        <v>4020.19</v>
      </c>
      <c r="AX498" s="162">
        <v>4020.19</v>
      </c>
    </row>
    <row r="499" spans="25:50" x14ac:dyDescent="0.2">
      <c r="Y499" s="164"/>
      <c r="Z499" s="164"/>
      <c r="AA499" s="164"/>
      <c r="AC499" s="164"/>
      <c r="AR499" s="162" t="s">
        <v>179</v>
      </c>
      <c r="AS499" s="162">
        <v>875</v>
      </c>
      <c r="AT499" s="162" t="s">
        <v>138</v>
      </c>
      <c r="AV499" s="162" t="s">
        <v>129</v>
      </c>
      <c r="AW499" s="162">
        <v>548.21</v>
      </c>
      <c r="AX499" s="162">
        <v>548.21</v>
      </c>
    </row>
    <row r="500" spans="25:50" x14ac:dyDescent="0.2">
      <c r="Y500" s="164"/>
      <c r="Z500" s="164"/>
      <c r="AA500" s="164"/>
      <c r="AR500" s="162" t="s">
        <v>145</v>
      </c>
      <c r="AS500" s="162">
        <v>875</v>
      </c>
      <c r="AT500" s="162" t="s">
        <v>138</v>
      </c>
      <c r="AV500" s="162" t="s">
        <v>129</v>
      </c>
      <c r="AW500" s="162">
        <v>31218.75</v>
      </c>
      <c r="AX500" s="162">
        <v>31218.75</v>
      </c>
    </row>
    <row r="501" spans="25:50" x14ac:dyDescent="0.2">
      <c r="Y501" s="164"/>
      <c r="Z501" s="164"/>
      <c r="AA501" s="164"/>
      <c r="AC501" s="164"/>
      <c r="AR501" s="162" t="s">
        <v>165</v>
      </c>
      <c r="AS501" s="162">
        <v>875</v>
      </c>
      <c r="AT501" s="162" t="s">
        <v>138</v>
      </c>
      <c r="AV501" s="162" t="s">
        <v>129</v>
      </c>
      <c r="AW501" s="162">
        <v>1149.9100000000001</v>
      </c>
      <c r="AX501" s="162">
        <v>1149.9100000000001</v>
      </c>
    </row>
    <row r="502" spans="25:50" x14ac:dyDescent="0.2">
      <c r="Y502" s="164"/>
      <c r="Z502" s="164"/>
      <c r="AA502" s="164"/>
      <c r="AC502" s="164"/>
      <c r="AR502" s="162" t="s">
        <v>195</v>
      </c>
      <c r="AS502" s="162">
        <v>875</v>
      </c>
      <c r="AT502" s="162" t="s">
        <v>138</v>
      </c>
      <c r="AV502" s="162" t="s">
        <v>129</v>
      </c>
      <c r="AW502" s="162">
        <v>10614.37</v>
      </c>
      <c r="AX502" s="162">
        <v>10614.37</v>
      </c>
    </row>
    <row r="503" spans="25:50" x14ac:dyDescent="0.2">
      <c r="Y503" s="164"/>
      <c r="Z503" s="164"/>
      <c r="AA503" s="164"/>
      <c r="AC503" s="164"/>
      <c r="AR503" s="162" t="s">
        <v>191</v>
      </c>
      <c r="AS503" s="162">
        <v>875</v>
      </c>
      <c r="AT503" s="162" t="s">
        <v>138</v>
      </c>
      <c r="AV503" s="162" t="s">
        <v>129</v>
      </c>
      <c r="AW503" s="162">
        <v>10518.75</v>
      </c>
      <c r="AX503" s="162">
        <v>10518.75</v>
      </c>
    </row>
    <row r="504" spans="25:50" x14ac:dyDescent="0.2">
      <c r="Y504" s="164"/>
      <c r="Z504" s="164"/>
      <c r="AA504" s="164"/>
      <c r="AC504" s="164"/>
      <c r="AR504" s="162" t="s">
        <v>193</v>
      </c>
      <c r="AS504" s="162">
        <v>875</v>
      </c>
      <c r="AT504" s="162" t="s">
        <v>138</v>
      </c>
      <c r="AV504" s="162" t="s">
        <v>129</v>
      </c>
      <c r="AW504" s="162">
        <v>10040.620000000001</v>
      </c>
      <c r="AX504" s="162">
        <v>10040.620000000001</v>
      </c>
    </row>
    <row r="505" spans="25:50" x14ac:dyDescent="0.2">
      <c r="Y505" s="164"/>
      <c r="Z505" s="164"/>
      <c r="AA505" s="164"/>
      <c r="AC505" s="164"/>
      <c r="AR505" s="162" t="s">
        <v>155</v>
      </c>
      <c r="AS505" s="162">
        <v>875</v>
      </c>
      <c r="AT505" s="162" t="s">
        <v>138</v>
      </c>
      <c r="AV505" s="162" t="s">
        <v>129</v>
      </c>
      <c r="AW505" s="162">
        <v>16098.75</v>
      </c>
      <c r="AX505" s="162">
        <v>16098.75</v>
      </c>
    </row>
    <row r="506" spans="25:50" x14ac:dyDescent="0.2">
      <c r="Y506" s="164"/>
      <c r="Z506" s="164"/>
      <c r="AA506" s="164"/>
      <c r="AC506" s="164"/>
      <c r="AR506" s="162" t="s">
        <v>158</v>
      </c>
      <c r="AS506" s="162">
        <v>875</v>
      </c>
      <c r="AT506" s="162" t="s">
        <v>138</v>
      </c>
      <c r="AV506" s="162" t="s">
        <v>129</v>
      </c>
      <c r="AW506" s="162">
        <v>18044.349999999999</v>
      </c>
      <c r="AX506" s="162">
        <v>18044.349999999999</v>
      </c>
    </row>
    <row r="507" spans="25:50" x14ac:dyDescent="0.2">
      <c r="Y507" s="164"/>
      <c r="Z507" s="164"/>
      <c r="AA507" s="164"/>
      <c r="AC507" s="164"/>
      <c r="AR507" s="162" t="s">
        <v>166</v>
      </c>
      <c r="AS507" s="162">
        <v>875</v>
      </c>
      <c r="AT507" s="162" t="s">
        <v>138</v>
      </c>
      <c r="AV507" s="162" t="s">
        <v>129</v>
      </c>
      <c r="AW507" s="162">
        <v>14765.62</v>
      </c>
      <c r="AX507" s="162">
        <v>14765.62</v>
      </c>
    </row>
    <row r="508" spans="25:50" x14ac:dyDescent="0.2">
      <c r="Y508" s="164"/>
      <c r="Z508" s="164"/>
      <c r="AA508" s="164"/>
      <c r="AC508" s="164"/>
      <c r="AR508" s="162" t="s">
        <v>212</v>
      </c>
      <c r="AS508" s="162">
        <v>875</v>
      </c>
      <c r="AT508" s="162" t="s">
        <v>138</v>
      </c>
      <c r="AV508" s="162" t="s">
        <v>129</v>
      </c>
      <c r="AW508" s="162">
        <v>788.16</v>
      </c>
      <c r="AX508" s="162">
        <v>788.16</v>
      </c>
    </row>
    <row r="509" spans="25:50" x14ac:dyDescent="0.2">
      <c r="Y509" s="164"/>
      <c r="Z509" s="164"/>
      <c r="AA509" s="164"/>
      <c r="AC509" s="164"/>
      <c r="AR509" s="162" t="s">
        <v>215</v>
      </c>
      <c r="AS509" s="162">
        <v>875</v>
      </c>
      <c r="AT509" s="162" t="s">
        <v>138</v>
      </c>
      <c r="AV509" s="162" t="s">
        <v>129</v>
      </c>
      <c r="AW509" s="162">
        <v>8280</v>
      </c>
      <c r="AX509" s="162">
        <v>8280</v>
      </c>
    </row>
    <row r="510" spans="25:50" x14ac:dyDescent="0.2">
      <c r="Y510" s="164"/>
      <c r="Z510" s="164"/>
      <c r="AA510" s="164"/>
      <c r="AC510" s="164"/>
      <c r="AR510" s="162" t="s">
        <v>217</v>
      </c>
      <c r="AS510" s="162">
        <v>875</v>
      </c>
      <c r="AT510" s="162" t="s">
        <v>138</v>
      </c>
      <c r="AV510" s="162" t="s">
        <v>129</v>
      </c>
      <c r="AW510" s="162">
        <v>457.68</v>
      </c>
      <c r="AX510" s="162">
        <v>457.68</v>
      </c>
    </row>
    <row r="511" spans="25:50" x14ac:dyDescent="0.2">
      <c r="Y511" s="164"/>
      <c r="Z511" s="164"/>
      <c r="AA511" s="164"/>
      <c r="AC511" s="164"/>
      <c r="AR511" s="162" t="s">
        <v>167</v>
      </c>
      <c r="AS511" s="162">
        <v>875</v>
      </c>
      <c r="AT511" s="162" t="s">
        <v>138</v>
      </c>
      <c r="AV511" s="162" t="s">
        <v>129</v>
      </c>
      <c r="AW511" s="162">
        <v>4098.08</v>
      </c>
      <c r="AX511" s="162">
        <v>4098.08</v>
      </c>
    </row>
    <row r="512" spans="25:50" x14ac:dyDescent="0.2">
      <c r="Y512" s="164"/>
      <c r="Z512" s="164"/>
      <c r="AA512" s="164"/>
      <c r="AC512" s="164"/>
      <c r="AR512" s="162" t="s">
        <v>168</v>
      </c>
      <c r="AS512" s="162">
        <v>875</v>
      </c>
      <c r="AT512" s="162" t="s">
        <v>138</v>
      </c>
      <c r="AV512" s="162" t="s">
        <v>129</v>
      </c>
      <c r="AW512" s="162">
        <v>5479.55</v>
      </c>
      <c r="AX512" s="162">
        <v>5479.55</v>
      </c>
    </row>
    <row r="513" spans="1:50" x14ac:dyDescent="0.2">
      <c r="Y513" s="164"/>
      <c r="Z513" s="164"/>
      <c r="AA513" s="164"/>
      <c r="AC513" s="164"/>
      <c r="AR513" s="162" t="s">
        <v>221</v>
      </c>
      <c r="AS513" s="162">
        <v>875</v>
      </c>
      <c r="AT513" s="162" t="s">
        <v>138</v>
      </c>
      <c r="AV513" s="162" t="s">
        <v>129</v>
      </c>
      <c r="AW513" s="162">
        <v>109283.94</v>
      </c>
      <c r="AX513" s="162">
        <v>109283.94</v>
      </c>
    </row>
    <row r="514" spans="1:50" x14ac:dyDescent="0.2">
      <c r="Y514" s="164"/>
      <c r="Z514" s="164"/>
      <c r="AA514" s="164"/>
      <c r="AC514" s="164"/>
      <c r="AR514" s="162" t="s">
        <v>223</v>
      </c>
      <c r="AS514" s="162">
        <v>875</v>
      </c>
      <c r="AT514" s="162" t="s">
        <v>138</v>
      </c>
      <c r="AV514" s="162" t="s">
        <v>129</v>
      </c>
      <c r="AW514" s="162">
        <v>19306.62</v>
      </c>
      <c r="AX514" s="162">
        <v>19306.62</v>
      </c>
    </row>
    <row r="515" spans="1:50" x14ac:dyDescent="0.2">
      <c r="Y515" s="164"/>
      <c r="Z515" s="164"/>
      <c r="AA515" s="164"/>
      <c r="AC515" s="164"/>
      <c r="AR515" s="162" t="s">
        <v>196</v>
      </c>
      <c r="AS515" s="162">
        <v>875</v>
      </c>
      <c r="AT515" s="162" t="s">
        <v>138</v>
      </c>
      <c r="AV515" s="162" t="s">
        <v>129</v>
      </c>
      <c r="AW515" s="162">
        <v>27888.52</v>
      </c>
      <c r="AX515" s="162">
        <v>27888.52</v>
      </c>
    </row>
    <row r="516" spans="1:50" x14ac:dyDescent="0.2">
      <c r="Y516" s="164"/>
      <c r="Z516" s="164"/>
      <c r="AA516" s="164"/>
      <c r="AC516" s="164"/>
      <c r="AR516" s="162" t="s">
        <v>226</v>
      </c>
      <c r="AS516" s="162">
        <v>875</v>
      </c>
      <c r="AT516" s="162" t="s">
        <v>138</v>
      </c>
      <c r="AV516" s="162" t="s">
        <v>129</v>
      </c>
      <c r="AW516" s="162">
        <v>1886.52</v>
      </c>
      <c r="AX516" s="162">
        <v>1886.52</v>
      </c>
    </row>
    <row r="517" spans="1:50" x14ac:dyDescent="0.2">
      <c r="Y517" s="164"/>
      <c r="Z517" s="164"/>
      <c r="AA517" s="164"/>
      <c r="AC517" s="164"/>
      <c r="AR517" s="162" t="s">
        <v>162</v>
      </c>
      <c r="AS517" s="162">
        <v>875</v>
      </c>
      <c r="AT517" s="162" t="s">
        <v>138</v>
      </c>
      <c r="AV517" s="162" t="s">
        <v>129</v>
      </c>
      <c r="AW517" s="162">
        <v>21778.12</v>
      </c>
      <c r="AX517" s="162">
        <v>21778.12</v>
      </c>
    </row>
    <row r="518" spans="1:50" x14ac:dyDescent="0.2">
      <c r="Y518" s="164"/>
      <c r="Z518" s="164"/>
      <c r="AA518" s="164"/>
      <c r="AC518" s="164"/>
      <c r="AR518" s="162" t="s">
        <v>161</v>
      </c>
      <c r="AS518" s="162">
        <v>875</v>
      </c>
      <c r="AT518" s="162" t="s">
        <v>138</v>
      </c>
      <c r="AV518" s="162" t="s">
        <v>129</v>
      </c>
      <c r="AW518" s="162">
        <v>28758.29</v>
      </c>
      <c r="AX518" s="162">
        <v>28758.29</v>
      </c>
    </row>
    <row r="519" spans="1:50" x14ac:dyDescent="0.2">
      <c r="Y519" s="164"/>
      <c r="Z519" s="164"/>
      <c r="AA519" s="164"/>
      <c r="AC519" s="164"/>
      <c r="AR519" s="162" t="s">
        <v>188</v>
      </c>
      <c r="AS519" s="162">
        <v>875</v>
      </c>
      <c r="AT519" s="162" t="s">
        <v>138</v>
      </c>
      <c r="AV519" s="162" t="s">
        <v>129</v>
      </c>
      <c r="AW519" s="162">
        <v>914.17</v>
      </c>
      <c r="AX519" s="162">
        <v>914.17</v>
      </c>
    </row>
    <row r="520" spans="1:50" x14ac:dyDescent="0.2">
      <c r="Y520" s="164"/>
      <c r="Z520" s="164"/>
      <c r="AA520" s="164"/>
      <c r="AC520" s="164"/>
      <c r="AR520" s="162" t="s">
        <v>164</v>
      </c>
      <c r="AS520" s="162">
        <v>875</v>
      </c>
      <c r="AT520" s="162" t="s">
        <v>138</v>
      </c>
      <c r="AV520" s="162" t="s">
        <v>129</v>
      </c>
      <c r="AW520" s="162">
        <v>19.53</v>
      </c>
      <c r="AX520" s="162">
        <v>19.53</v>
      </c>
    </row>
    <row r="521" spans="1:50" x14ac:dyDescent="0.2">
      <c r="Y521" s="164"/>
      <c r="Z521" s="164"/>
      <c r="AA521" s="164"/>
      <c r="AC521" s="164"/>
      <c r="AR521" s="162" t="s">
        <v>181</v>
      </c>
      <c r="AS521" s="162">
        <v>875</v>
      </c>
      <c r="AT521" s="162" t="s">
        <v>138</v>
      </c>
      <c r="AV521" s="162" t="s">
        <v>129</v>
      </c>
      <c r="AW521" s="162">
        <v>4374</v>
      </c>
      <c r="AX521" s="162">
        <v>4374</v>
      </c>
    </row>
    <row r="522" spans="1:50" x14ac:dyDescent="0.2">
      <c r="Y522" s="164"/>
      <c r="Z522" s="164"/>
      <c r="AA522" s="164"/>
      <c r="AC522" s="164"/>
      <c r="AR522" s="162" t="s">
        <v>199</v>
      </c>
      <c r="AS522" s="162">
        <v>875</v>
      </c>
      <c r="AT522" s="162" t="s">
        <v>138</v>
      </c>
      <c r="AV522" s="162" t="s">
        <v>129</v>
      </c>
      <c r="AW522" s="162">
        <v>5422.41</v>
      </c>
      <c r="AX522" s="162">
        <v>5422.41</v>
      </c>
    </row>
    <row r="523" spans="1:50" x14ac:dyDescent="0.2">
      <c r="A523" s="172">
        <v>44013</v>
      </c>
      <c r="B523" s="180" t="s">
        <v>130</v>
      </c>
      <c r="C523" s="162" t="s">
        <v>131</v>
      </c>
      <c r="D523" s="162">
        <v>2353342020</v>
      </c>
      <c r="E523" s="162" t="s">
        <v>132</v>
      </c>
      <c r="F523" s="162">
        <v>875</v>
      </c>
      <c r="G523" s="162" t="s">
        <v>178</v>
      </c>
      <c r="H523" s="162" t="s">
        <v>144</v>
      </c>
      <c r="I523" s="162" t="s">
        <v>197</v>
      </c>
      <c r="J523" s="163">
        <v>6703.88</v>
      </c>
      <c r="K523" s="162" t="s">
        <v>198</v>
      </c>
      <c r="L523" s="162" t="s">
        <v>135</v>
      </c>
      <c r="M523" s="162" t="s">
        <v>200</v>
      </c>
      <c r="N523" s="162" t="s">
        <v>125</v>
      </c>
      <c r="O523" s="163">
        <v>6703.88</v>
      </c>
      <c r="P523" s="162" t="s">
        <v>136</v>
      </c>
      <c r="Q523" s="162" t="s">
        <v>136</v>
      </c>
      <c r="R523" s="162" t="s">
        <v>126</v>
      </c>
      <c r="S523" s="162" t="s">
        <v>2</v>
      </c>
      <c r="T523" s="162" t="s">
        <v>2</v>
      </c>
      <c r="U523" s="162" t="s">
        <v>127</v>
      </c>
      <c r="V523" s="162" t="s">
        <v>198</v>
      </c>
      <c r="W523" s="162" t="s">
        <v>198</v>
      </c>
      <c r="X523" s="162" t="s">
        <v>127</v>
      </c>
      <c r="Y523" s="164">
        <v>44013</v>
      </c>
      <c r="Z523" s="164">
        <v>44008</v>
      </c>
      <c r="AA523" s="164">
        <v>44008</v>
      </c>
      <c r="AB523" s="162" t="s">
        <v>137</v>
      </c>
      <c r="AC523" s="164">
        <v>44013</v>
      </c>
      <c r="AR523" s="162" t="s">
        <v>234</v>
      </c>
      <c r="AS523" s="162">
        <v>875</v>
      </c>
      <c r="AT523" s="162" t="s">
        <v>138</v>
      </c>
      <c r="AV523" s="162" t="s">
        <v>129</v>
      </c>
      <c r="AW523" s="162">
        <v>4761.1400000000003</v>
      </c>
      <c r="AX523" s="162">
        <v>4761.1400000000003</v>
      </c>
    </row>
    <row r="524" spans="1:50" x14ac:dyDescent="0.2">
      <c r="A524" s="172">
        <v>44013</v>
      </c>
      <c r="B524" s="180" t="s">
        <v>130</v>
      </c>
      <c r="C524" s="162" t="s">
        <v>131</v>
      </c>
      <c r="D524" s="162">
        <v>2353352020</v>
      </c>
      <c r="E524" s="162" t="s">
        <v>132</v>
      </c>
      <c r="F524" s="162">
        <v>875</v>
      </c>
      <c r="G524" s="162" t="s">
        <v>178</v>
      </c>
      <c r="H524" s="162" t="s">
        <v>144</v>
      </c>
      <c r="I524" s="162" t="s">
        <v>197</v>
      </c>
      <c r="J524" s="163">
        <v>4020.19</v>
      </c>
      <c r="K524" s="162" t="s">
        <v>198</v>
      </c>
      <c r="L524" s="162" t="s">
        <v>135</v>
      </c>
      <c r="M524" s="162" t="s">
        <v>201</v>
      </c>
      <c r="N524" s="162" t="s">
        <v>125</v>
      </c>
      <c r="O524" s="163">
        <v>4020.19</v>
      </c>
      <c r="P524" s="162" t="s">
        <v>136</v>
      </c>
      <c r="Q524" s="162" t="s">
        <v>136</v>
      </c>
      <c r="R524" s="162" t="s">
        <v>126</v>
      </c>
      <c r="S524" s="162" t="s">
        <v>2</v>
      </c>
      <c r="T524" s="162" t="s">
        <v>2</v>
      </c>
      <c r="U524" s="162" t="s">
        <v>127</v>
      </c>
      <c r="V524" s="162" t="s">
        <v>198</v>
      </c>
      <c r="W524" s="162" t="s">
        <v>198</v>
      </c>
      <c r="X524" s="162" t="s">
        <v>127</v>
      </c>
      <c r="Y524" s="164">
        <v>44013</v>
      </c>
      <c r="Z524" s="164">
        <v>44008</v>
      </c>
      <c r="AA524" s="164">
        <v>44008</v>
      </c>
      <c r="AB524" s="162" t="s">
        <v>137</v>
      </c>
      <c r="AC524" s="164">
        <v>44013</v>
      </c>
      <c r="AR524" s="162" t="s">
        <v>236</v>
      </c>
      <c r="AS524" s="162">
        <v>875</v>
      </c>
      <c r="AT524" s="162" t="s">
        <v>138</v>
      </c>
      <c r="AV524" s="162" t="s">
        <v>129</v>
      </c>
      <c r="AW524" s="162">
        <v>111.97</v>
      </c>
      <c r="AX524" s="162">
        <v>111.97</v>
      </c>
    </row>
    <row r="525" spans="1:50" x14ac:dyDescent="0.2">
      <c r="A525" s="172">
        <v>44013</v>
      </c>
      <c r="B525" s="180" t="s">
        <v>130</v>
      </c>
      <c r="C525" s="162" t="s">
        <v>131</v>
      </c>
      <c r="D525" s="162">
        <v>2353352020</v>
      </c>
      <c r="E525" s="162" t="s">
        <v>132</v>
      </c>
      <c r="F525" s="162">
        <v>875</v>
      </c>
      <c r="G525" s="162" t="s">
        <v>178</v>
      </c>
      <c r="H525" s="162" t="s">
        <v>144</v>
      </c>
      <c r="I525" s="162" t="s">
        <v>197</v>
      </c>
      <c r="J525" s="163">
        <v>548.21</v>
      </c>
      <c r="K525" s="162" t="s">
        <v>198</v>
      </c>
      <c r="L525" s="162" t="s">
        <v>135</v>
      </c>
      <c r="M525" s="162" t="s">
        <v>202</v>
      </c>
      <c r="N525" s="162" t="s">
        <v>125</v>
      </c>
      <c r="O525" s="163">
        <v>548.21</v>
      </c>
      <c r="P525" s="162" t="s">
        <v>136</v>
      </c>
      <c r="Q525" s="162" t="s">
        <v>136</v>
      </c>
      <c r="R525" s="162" t="s">
        <v>126</v>
      </c>
      <c r="S525" s="162" t="s">
        <v>2</v>
      </c>
      <c r="T525" s="162" t="s">
        <v>2</v>
      </c>
      <c r="U525" s="162" t="s">
        <v>127</v>
      </c>
      <c r="V525" s="162" t="s">
        <v>198</v>
      </c>
      <c r="W525" s="162" t="s">
        <v>198</v>
      </c>
      <c r="X525" s="162" t="s">
        <v>127</v>
      </c>
      <c r="Y525" s="164">
        <v>44013</v>
      </c>
      <c r="Z525" s="164">
        <v>44008</v>
      </c>
      <c r="AA525" s="164">
        <v>44008</v>
      </c>
      <c r="AB525" s="162" t="s">
        <v>137</v>
      </c>
      <c r="AC525" s="164">
        <v>44013</v>
      </c>
      <c r="AR525" s="162" t="s">
        <v>238</v>
      </c>
      <c r="AS525" s="162">
        <v>875</v>
      </c>
      <c r="AT525" s="162" t="s">
        <v>138</v>
      </c>
      <c r="AV525" s="162" t="s">
        <v>129</v>
      </c>
      <c r="AW525" s="162">
        <v>573.84</v>
      </c>
      <c r="AX525" s="162">
        <v>573.84</v>
      </c>
    </row>
    <row r="526" spans="1:50" x14ac:dyDescent="0.2">
      <c r="A526" s="172">
        <v>44013</v>
      </c>
      <c r="B526" s="180" t="s">
        <v>130</v>
      </c>
      <c r="C526" s="162" t="s">
        <v>131</v>
      </c>
      <c r="D526" s="162">
        <v>2746112020</v>
      </c>
      <c r="E526" s="162" t="s">
        <v>132</v>
      </c>
      <c r="F526" s="162">
        <v>875</v>
      </c>
      <c r="G526" s="162" t="s">
        <v>143</v>
      </c>
      <c r="H526" s="162" t="s">
        <v>144</v>
      </c>
      <c r="I526" s="162" t="s">
        <v>197</v>
      </c>
      <c r="J526" s="163">
        <v>31218.75</v>
      </c>
      <c r="K526" s="162" t="s">
        <v>198</v>
      </c>
      <c r="L526" s="162" t="s">
        <v>135</v>
      </c>
      <c r="M526" s="162" t="s">
        <v>203</v>
      </c>
      <c r="N526" s="162" t="s">
        <v>125</v>
      </c>
      <c r="O526" s="163">
        <v>31218.75</v>
      </c>
      <c r="P526" s="162" t="s">
        <v>136</v>
      </c>
      <c r="Q526" s="162" t="s">
        <v>136</v>
      </c>
      <c r="R526" s="162" t="s">
        <v>126</v>
      </c>
      <c r="S526" s="162" t="s">
        <v>2</v>
      </c>
      <c r="T526" s="162" t="s">
        <v>2</v>
      </c>
      <c r="U526" s="162" t="s">
        <v>127</v>
      </c>
      <c r="V526" s="162" t="s">
        <v>198</v>
      </c>
      <c r="W526" s="162" t="s">
        <v>198</v>
      </c>
      <c r="X526" s="162" t="s">
        <v>127</v>
      </c>
      <c r="Y526" s="164">
        <v>44013</v>
      </c>
      <c r="Z526" s="164">
        <v>44008</v>
      </c>
      <c r="AA526" s="164">
        <v>44008</v>
      </c>
      <c r="AB526" s="162" t="s">
        <v>137</v>
      </c>
      <c r="AC526" s="164">
        <v>44013</v>
      </c>
      <c r="AR526" s="162" t="s">
        <v>240</v>
      </c>
      <c r="AS526" s="162">
        <v>875</v>
      </c>
      <c r="AT526" s="162" t="s">
        <v>138</v>
      </c>
      <c r="AV526" s="162" t="s">
        <v>129</v>
      </c>
      <c r="AW526" s="162">
        <v>1421.73</v>
      </c>
      <c r="AX526" s="162">
        <v>1421.73</v>
      </c>
    </row>
    <row r="527" spans="1:50" x14ac:dyDescent="0.2">
      <c r="A527" s="172">
        <v>44013</v>
      </c>
      <c r="B527" s="180" t="s">
        <v>130</v>
      </c>
      <c r="C527" s="162" t="s">
        <v>131</v>
      </c>
      <c r="D527" s="162">
        <v>3013772020</v>
      </c>
      <c r="E527" s="162" t="s">
        <v>132</v>
      </c>
      <c r="F527" s="162">
        <v>875</v>
      </c>
      <c r="G527" s="162" t="s">
        <v>163</v>
      </c>
      <c r="H527" s="162" t="s">
        <v>144</v>
      </c>
      <c r="I527" s="162" t="s">
        <v>197</v>
      </c>
      <c r="J527" s="163">
        <v>1149.9100000000001</v>
      </c>
      <c r="K527" s="162" t="s">
        <v>198</v>
      </c>
      <c r="L527" s="162" t="s">
        <v>135</v>
      </c>
      <c r="M527" s="162" t="s">
        <v>204</v>
      </c>
      <c r="N527" s="162" t="s">
        <v>125</v>
      </c>
      <c r="O527" s="163">
        <v>1149.9100000000001</v>
      </c>
      <c r="P527" s="162" t="s">
        <v>136</v>
      </c>
      <c r="Q527" s="162" t="s">
        <v>136</v>
      </c>
      <c r="R527" s="162" t="s">
        <v>126</v>
      </c>
      <c r="S527" s="162" t="s">
        <v>2</v>
      </c>
      <c r="T527" s="162" t="s">
        <v>2</v>
      </c>
      <c r="U527" s="162" t="s">
        <v>127</v>
      </c>
      <c r="V527" s="162" t="s">
        <v>198</v>
      </c>
      <c r="W527" s="162" t="s">
        <v>198</v>
      </c>
      <c r="X527" s="162" t="s">
        <v>127</v>
      </c>
      <c r="Y527" s="164">
        <v>44013</v>
      </c>
      <c r="Z527" s="164">
        <v>44008</v>
      </c>
      <c r="AA527" s="164">
        <v>44008</v>
      </c>
      <c r="AB527" s="162" t="s">
        <v>137</v>
      </c>
      <c r="AC527" s="164">
        <v>44013</v>
      </c>
      <c r="AR527" s="162" t="s">
        <v>184</v>
      </c>
      <c r="AS527" s="162">
        <v>875</v>
      </c>
      <c r="AT527" s="162" t="s">
        <v>138</v>
      </c>
      <c r="AV527" s="162" t="s">
        <v>129</v>
      </c>
      <c r="AW527" s="162">
        <v>231.66</v>
      </c>
      <c r="AX527" s="162">
        <v>231.66</v>
      </c>
    </row>
    <row r="528" spans="1:50" x14ac:dyDescent="0.2">
      <c r="A528" s="172">
        <v>44013</v>
      </c>
      <c r="B528" s="180" t="s">
        <v>130</v>
      </c>
      <c r="C528" s="162" t="s">
        <v>131</v>
      </c>
      <c r="D528" s="162">
        <v>2964962020</v>
      </c>
      <c r="E528" s="162" t="s">
        <v>132</v>
      </c>
      <c r="F528" s="162">
        <v>875</v>
      </c>
      <c r="G528" s="162" t="s">
        <v>194</v>
      </c>
      <c r="H528" s="162" t="s">
        <v>144</v>
      </c>
      <c r="I528" s="162" t="s">
        <v>197</v>
      </c>
      <c r="J528" s="163">
        <v>10614.37</v>
      </c>
      <c r="K528" s="162" t="s">
        <v>198</v>
      </c>
      <c r="L528" s="162" t="s">
        <v>135</v>
      </c>
      <c r="M528" s="162" t="s">
        <v>205</v>
      </c>
      <c r="N528" s="162" t="s">
        <v>125</v>
      </c>
      <c r="O528" s="163">
        <v>10614.37</v>
      </c>
      <c r="P528" s="162" t="s">
        <v>136</v>
      </c>
      <c r="Q528" s="162" t="s">
        <v>136</v>
      </c>
      <c r="R528" s="162" t="s">
        <v>126</v>
      </c>
      <c r="S528" s="162" t="s">
        <v>2</v>
      </c>
      <c r="T528" s="162" t="s">
        <v>2</v>
      </c>
      <c r="U528" s="162" t="s">
        <v>127</v>
      </c>
      <c r="V528" s="162" t="s">
        <v>198</v>
      </c>
      <c r="W528" s="162" t="s">
        <v>198</v>
      </c>
      <c r="X528" s="162" t="s">
        <v>127</v>
      </c>
      <c r="Y528" s="164">
        <v>44013</v>
      </c>
      <c r="Z528" s="164">
        <v>44008</v>
      </c>
      <c r="AA528" s="164">
        <v>44008</v>
      </c>
      <c r="AB528" s="162" t="s">
        <v>137</v>
      </c>
      <c r="AC528" s="164">
        <v>44013</v>
      </c>
      <c r="AR528" s="162" t="s">
        <v>243</v>
      </c>
      <c r="AS528" s="162">
        <v>875</v>
      </c>
      <c r="AT528" s="162" t="s">
        <v>138</v>
      </c>
      <c r="AV528" s="162" t="s">
        <v>129</v>
      </c>
      <c r="AW528" s="162">
        <v>177.86</v>
      </c>
      <c r="AX528" s="162">
        <v>177.86</v>
      </c>
    </row>
    <row r="529" spans="1:50" x14ac:dyDescent="0.2">
      <c r="A529" s="172">
        <v>44013</v>
      </c>
      <c r="B529" s="180" t="s">
        <v>130</v>
      </c>
      <c r="C529" s="162" t="s">
        <v>131</v>
      </c>
      <c r="D529" s="162">
        <v>2964952020</v>
      </c>
      <c r="E529" s="162" t="s">
        <v>132</v>
      </c>
      <c r="F529" s="162">
        <v>875</v>
      </c>
      <c r="G529" s="162" t="s">
        <v>190</v>
      </c>
      <c r="H529" s="162" t="s">
        <v>144</v>
      </c>
      <c r="I529" s="162" t="s">
        <v>197</v>
      </c>
      <c r="J529" s="163">
        <v>10518.75</v>
      </c>
      <c r="K529" s="162" t="s">
        <v>198</v>
      </c>
      <c r="L529" s="162" t="s">
        <v>135</v>
      </c>
      <c r="M529" s="162" t="s">
        <v>206</v>
      </c>
      <c r="N529" s="162" t="s">
        <v>125</v>
      </c>
      <c r="O529" s="163">
        <v>10518.75</v>
      </c>
      <c r="P529" s="162" t="s">
        <v>136</v>
      </c>
      <c r="Q529" s="162" t="s">
        <v>136</v>
      </c>
      <c r="R529" s="162" t="s">
        <v>126</v>
      </c>
      <c r="S529" s="162" t="s">
        <v>2</v>
      </c>
      <c r="T529" s="162" t="s">
        <v>2</v>
      </c>
      <c r="U529" s="162" t="s">
        <v>127</v>
      </c>
      <c r="V529" s="162" t="s">
        <v>198</v>
      </c>
      <c r="W529" s="162" t="s">
        <v>198</v>
      </c>
      <c r="X529" s="162" t="s">
        <v>127</v>
      </c>
      <c r="Y529" s="164">
        <v>44013</v>
      </c>
      <c r="Z529" s="164">
        <v>44008</v>
      </c>
      <c r="AA529" s="164">
        <v>44008</v>
      </c>
      <c r="AB529" s="162" t="s">
        <v>137</v>
      </c>
      <c r="AC529" s="164">
        <v>44013</v>
      </c>
      <c r="AR529" s="162" t="s">
        <v>177</v>
      </c>
      <c r="AS529" s="162">
        <v>875</v>
      </c>
      <c r="AT529" s="162" t="s">
        <v>138</v>
      </c>
      <c r="AV529" s="162" t="s">
        <v>129</v>
      </c>
      <c r="AW529" s="162">
        <v>9112.5</v>
      </c>
      <c r="AX529" s="162">
        <v>9112.5</v>
      </c>
    </row>
    <row r="530" spans="1:50" x14ac:dyDescent="0.2">
      <c r="A530" s="172">
        <v>44013</v>
      </c>
      <c r="B530" s="180" t="s">
        <v>130</v>
      </c>
      <c r="C530" s="162" t="s">
        <v>131</v>
      </c>
      <c r="D530" s="162">
        <v>2964972020</v>
      </c>
      <c r="E530" s="162" t="s">
        <v>132</v>
      </c>
      <c r="F530" s="162">
        <v>875</v>
      </c>
      <c r="G530" s="162" t="s">
        <v>192</v>
      </c>
      <c r="H530" s="162" t="s">
        <v>144</v>
      </c>
      <c r="I530" s="162" t="s">
        <v>197</v>
      </c>
      <c r="J530" s="163">
        <v>10040.620000000001</v>
      </c>
      <c r="K530" s="162" t="s">
        <v>198</v>
      </c>
      <c r="L530" s="162" t="s">
        <v>135</v>
      </c>
      <c r="M530" s="162" t="s">
        <v>207</v>
      </c>
      <c r="N530" s="162" t="s">
        <v>125</v>
      </c>
      <c r="O530" s="163">
        <v>10040.620000000001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R530" s="162" t="s">
        <v>189</v>
      </c>
      <c r="AS530" s="162">
        <v>875</v>
      </c>
      <c r="AT530" s="162" t="s">
        <v>138</v>
      </c>
      <c r="AV530" s="162" t="s">
        <v>129</v>
      </c>
      <c r="AW530" s="162">
        <v>9720</v>
      </c>
      <c r="AX530" s="162">
        <v>9720</v>
      </c>
    </row>
    <row r="531" spans="1:50" x14ac:dyDescent="0.2">
      <c r="A531" s="172">
        <v>44013</v>
      </c>
      <c r="B531" s="180" t="s">
        <v>130</v>
      </c>
      <c r="C531" s="162" t="s">
        <v>131</v>
      </c>
      <c r="D531" s="162">
        <v>2751312020</v>
      </c>
      <c r="E531" s="162" t="s">
        <v>132</v>
      </c>
      <c r="F531" s="162">
        <v>875</v>
      </c>
      <c r="G531" s="162" t="s">
        <v>154</v>
      </c>
      <c r="H531" s="162" t="s">
        <v>144</v>
      </c>
      <c r="I531" s="162" t="s">
        <v>197</v>
      </c>
      <c r="J531" s="163">
        <v>16098.75</v>
      </c>
      <c r="K531" s="162" t="s">
        <v>198</v>
      </c>
      <c r="L531" s="162" t="s">
        <v>135</v>
      </c>
      <c r="M531" s="162" t="s">
        <v>208</v>
      </c>
      <c r="N531" s="162" t="s">
        <v>125</v>
      </c>
      <c r="O531" s="163">
        <v>16098.75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R531" s="162" t="s">
        <v>247</v>
      </c>
      <c r="AS531" s="162">
        <v>875</v>
      </c>
      <c r="AT531" s="162" t="s">
        <v>138</v>
      </c>
      <c r="AV531" s="162" t="s">
        <v>129</v>
      </c>
      <c r="AW531" s="162">
        <v>1058.03</v>
      </c>
      <c r="AX531" s="162">
        <v>1058.03</v>
      </c>
    </row>
    <row r="532" spans="1:50" x14ac:dyDescent="0.2">
      <c r="A532" s="172">
        <v>44013</v>
      </c>
      <c r="B532" s="180" t="s">
        <v>130</v>
      </c>
      <c r="C532" s="162" t="s">
        <v>131</v>
      </c>
      <c r="D532" s="162">
        <v>2298942020</v>
      </c>
      <c r="E532" s="162" t="s">
        <v>132</v>
      </c>
      <c r="F532" s="162">
        <v>875</v>
      </c>
      <c r="G532" s="162" t="s">
        <v>157</v>
      </c>
      <c r="H532" s="162" t="s">
        <v>144</v>
      </c>
      <c r="I532" s="162" t="s">
        <v>197</v>
      </c>
      <c r="J532" s="163">
        <v>18044.349999999999</v>
      </c>
      <c r="K532" s="162" t="s">
        <v>198</v>
      </c>
      <c r="L532" s="162" t="s">
        <v>135</v>
      </c>
      <c r="M532" s="162" t="s">
        <v>209</v>
      </c>
      <c r="N532" s="162" t="s">
        <v>125</v>
      </c>
      <c r="O532" s="163">
        <v>18044.349999999999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R532" s="162" t="s">
        <v>187</v>
      </c>
      <c r="AS532" s="162">
        <v>875</v>
      </c>
      <c r="AT532" s="162" t="s">
        <v>138</v>
      </c>
      <c r="AV532" s="162" t="s">
        <v>129</v>
      </c>
      <c r="AW532" s="162">
        <v>6561</v>
      </c>
      <c r="AX532" s="162">
        <v>6561</v>
      </c>
    </row>
    <row r="533" spans="1:50" x14ac:dyDescent="0.2">
      <c r="A533" s="172">
        <v>44013</v>
      </c>
      <c r="B533" s="180" t="s">
        <v>130</v>
      </c>
      <c r="C533" s="162" t="s">
        <v>131</v>
      </c>
      <c r="D533" s="162">
        <v>2964882020</v>
      </c>
      <c r="E533" s="162" t="s">
        <v>132</v>
      </c>
      <c r="F533" s="162">
        <v>875</v>
      </c>
      <c r="G533" s="162" t="s">
        <v>156</v>
      </c>
      <c r="H533" s="162" t="s">
        <v>144</v>
      </c>
      <c r="I533" s="162" t="s">
        <v>197</v>
      </c>
      <c r="J533" s="163">
        <v>14765.62</v>
      </c>
      <c r="K533" s="162" t="s">
        <v>198</v>
      </c>
      <c r="L533" s="162" t="s">
        <v>135</v>
      </c>
      <c r="M533" s="162" t="s">
        <v>210</v>
      </c>
      <c r="N533" s="162" t="s">
        <v>125</v>
      </c>
      <c r="O533" s="163">
        <v>14765.62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R533" s="162" t="s">
        <v>183</v>
      </c>
      <c r="AS533" s="162">
        <v>875</v>
      </c>
      <c r="AT533" s="162" t="s">
        <v>138</v>
      </c>
      <c r="AV533" s="162" t="s">
        <v>129</v>
      </c>
      <c r="AW533" s="162">
        <v>31.59</v>
      </c>
      <c r="AX533" s="162">
        <v>31.59</v>
      </c>
    </row>
    <row r="534" spans="1:50" x14ac:dyDescent="0.2">
      <c r="A534" s="172">
        <v>44013</v>
      </c>
      <c r="B534" s="180" t="s">
        <v>130</v>
      </c>
      <c r="C534" s="162" t="s">
        <v>131</v>
      </c>
      <c r="D534" s="162">
        <v>2298942020</v>
      </c>
      <c r="E534" s="162" t="s">
        <v>132</v>
      </c>
      <c r="F534" s="162">
        <v>875</v>
      </c>
      <c r="G534" s="162" t="s">
        <v>157</v>
      </c>
      <c r="H534" s="162" t="s">
        <v>144</v>
      </c>
      <c r="I534" s="162" t="s">
        <v>197</v>
      </c>
      <c r="J534" s="163">
        <v>788.16</v>
      </c>
      <c r="K534" s="162" t="s">
        <v>198</v>
      </c>
      <c r="L534" s="162" t="s">
        <v>135</v>
      </c>
      <c r="M534" s="162" t="s">
        <v>211</v>
      </c>
      <c r="N534" s="162" t="s">
        <v>125</v>
      </c>
      <c r="O534" s="163">
        <v>788.16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R534" s="162" t="s">
        <v>252</v>
      </c>
      <c r="AS534" s="162">
        <v>875</v>
      </c>
      <c r="AT534" s="162" t="s">
        <v>138</v>
      </c>
      <c r="AV534" s="162" t="s">
        <v>129</v>
      </c>
      <c r="AW534" s="162">
        <v>54000</v>
      </c>
      <c r="AX534" s="162">
        <v>54000</v>
      </c>
    </row>
    <row r="535" spans="1:50" x14ac:dyDescent="0.2">
      <c r="A535" s="172">
        <v>44013</v>
      </c>
      <c r="B535" s="180" t="s">
        <v>130</v>
      </c>
      <c r="C535" s="162" t="s">
        <v>131</v>
      </c>
      <c r="D535" s="162">
        <v>3010342020</v>
      </c>
      <c r="E535" s="162" t="s">
        <v>132</v>
      </c>
      <c r="F535" s="162">
        <v>875</v>
      </c>
      <c r="G535" s="162" t="s">
        <v>213</v>
      </c>
      <c r="H535" s="162" t="s">
        <v>144</v>
      </c>
      <c r="I535" s="162" t="s">
        <v>197</v>
      </c>
      <c r="J535" s="163">
        <v>8280</v>
      </c>
      <c r="K535" s="162" t="s">
        <v>198</v>
      </c>
      <c r="L535" s="162" t="s">
        <v>135</v>
      </c>
      <c r="M535" s="162" t="s">
        <v>214</v>
      </c>
      <c r="N535" s="162" t="s">
        <v>125</v>
      </c>
      <c r="O535" s="163">
        <v>8280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R535" s="162" t="s">
        <v>255</v>
      </c>
      <c r="AS535" s="162">
        <v>875</v>
      </c>
      <c r="AT535" s="162" t="s">
        <v>138</v>
      </c>
      <c r="AV535" s="162" t="s">
        <v>129</v>
      </c>
      <c r="AW535" s="162">
        <v>35100</v>
      </c>
      <c r="AX535" s="162">
        <v>35100</v>
      </c>
    </row>
    <row r="536" spans="1:50" x14ac:dyDescent="0.2">
      <c r="A536" s="172">
        <v>44013</v>
      </c>
      <c r="B536" s="180" t="s">
        <v>130</v>
      </c>
      <c r="C536" s="162" t="s">
        <v>131</v>
      </c>
      <c r="D536" s="162">
        <v>2159352020</v>
      </c>
      <c r="E536" s="162" t="s">
        <v>132</v>
      </c>
      <c r="F536" s="162">
        <v>875</v>
      </c>
      <c r="G536" s="162" t="s">
        <v>160</v>
      </c>
      <c r="H536" s="162" t="s">
        <v>144</v>
      </c>
      <c r="I536" s="162" t="s">
        <v>197</v>
      </c>
      <c r="J536" s="163">
        <v>457.68</v>
      </c>
      <c r="K536" s="162" t="s">
        <v>198</v>
      </c>
      <c r="L536" s="162" t="s">
        <v>135</v>
      </c>
      <c r="M536" s="162" t="s">
        <v>216</v>
      </c>
      <c r="N536" s="162" t="s">
        <v>125</v>
      </c>
      <c r="O536" s="163">
        <v>457.68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R536" s="162" t="s">
        <v>257</v>
      </c>
      <c r="AS536" s="162">
        <v>875</v>
      </c>
      <c r="AT536" s="162" t="s">
        <v>138</v>
      </c>
      <c r="AV536" s="162" t="s">
        <v>129</v>
      </c>
      <c r="AW536" s="162">
        <v>150.46</v>
      </c>
      <c r="AX536" s="162">
        <v>150.46</v>
      </c>
    </row>
    <row r="537" spans="1:50" x14ac:dyDescent="0.2">
      <c r="A537" s="172">
        <v>44013</v>
      </c>
      <c r="B537" s="180" t="s">
        <v>130</v>
      </c>
      <c r="C537" s="162" t="s">
        <v>131</v>
      </c>
      <c r="D537" s="162">
        <v>2101142020</v>
      </c>
      <c r="E537" s="162" t="s">
        <v>132</v>
      </c>
      <c r="F537" s="162">
        <v>875</v>
      </c>
      <c r="G537" s="162" t="s">
        <v>160</v>
      </c>
      <c r="H537" s="162" t="s">
        <v>144</v>
      </c>
      <c r="I537" s="162" t="s">
        <v>197</v>
      </c>
      <c r="J537" s="163">
        <v>4098.08</v>
      </c>
      <c r="K537" s="162" t="s">
        <v>198</v>
      </c>
      <c r="L537" s="162" t="s">
        <v>135</v>
      </c>
      <c r="M537" s="162" t="s">
        <v>218</v>
      </c>
      <c r="N537" s="162" t="s">
        <v>125</v>
      </c>
      <c r="O537" s="163">
        <v>4098.08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R537" s="162" t="s">
        <v>186</v>
      </c>
      <c r="AS537" s="162">
        <v>875</v>
      </c>
      <c r="AT537" s="162" t="s">
        <v>138</v>
      </c>
      <c r="AV537" s="162" t="s">
        <v>129</v>
      </c>
      <c r="AW537" s="162">
        <v>15907.91</v>
      </c>
      <c r="AX537" s="162">
        <v>15907.91</v>
      </c>
    </row>
    <row r="538" spans="1:50" x14ac:dyDescent="0.2">
      <c r="A538" s="172">
        <v>44013</v>
      </c>
      <c r="B538" s="180" t="s">
        <v>130</v>
      </c>
      <c r="C538" s="162" t="s">
        <v>131</v>
      </c>
      <c r="D538" s="162">
        <v>2101132020</v>
      </c>
      <c r="E538" s="162" t="s">
        <v>132</v>
      </c>
      <c r="F538" s="162">
        <v>875</v>
      </c>
      <c r="G538" s="162" t="s">
        <v>160</v>
      </c>
      <c r="H538" s="162" t="s">
        <v>144</v>
      </c>
      <c r="I538" s="162" t="s">
        <v>197</v>
      </c>
      <c r="J538" s="163">
        <v>5479.55</v>
      </c>
      <c r="K538" s="162" t="s">
        <v>198</v>
      </c>
      <c r="L538" s="162" t="s">
        <v>135</v>
      </c>
      <c r="M538" s="162" t="s">
        <v>219</v>
      </c>
      <c r="N538" s="162" t="s">
        <v>125</v>
      </c>
      <c r="O538" s="163">
        <v>5479.55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R538" s="162" t="s">
        <v>153</v>
      </c>
      <c r="AS538" s="162">
        <v>875</v>
      </c>
      <c r="AT538" s="162" t="s">
        <v>138</v>
      </c>
      <c r="AV538" s="162" t="s">
        <v>129</v>
      </c>
      <c r="AW538" s="162">
        <v>23739.5</v>
      </c>
      <c r="AX538" s="162">
        <v>23739.5</v>
      </c>
    </row>
    <row r="539" spans="1:50" x14ac:dyDescent="0.2">
      <c r="A539" s="172">
        <v>44013</v>
      </c>
      <c r="B539" s="180" t="s">
        <v>130</v>
      </c>
      <c r="C539" s="162" t="s">
        <v>131</v>
      </c>
      <c r="D539" s="162">
        <v>2159352020</v>
      </c>
      <c r="E539" s="162" t="s">
        <v>132</v>
      </c>
      <c r="F539" s="162">
        <v>875</v>
      </c>
      <c r="G539" s="162" t="s">
        <v>160</v>
      </c>
      <c r="H539" s="162" t="s">
        <v>144</v>
      </c>
      <c r="I539" s="162" t="s">
        <v>197</v>
      </c>
      <c r="J539" s="163">
        <v>109283.94</v>
      </c>
      <c r="K539" s="162" t="s">
        <v>198</v>
      </c>
      <c r="L539" s="162" t="s">
        <v>135</v>
      </c>
      <c r="M539" s="162" t="s">
        <v>220</v>
      </c>
      <c r="N539" s="162" t="s">
        <v>125</v>
      </c>
      <c r="O539" s="163">
        <v>109283.94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R539" s="162" t="s">
        <v>261</v>
      </c>
      <c r="AS539" s="162">
        <v>875</v>
      </c>
      <c r="AT539" s="162" t="s">
        <v>138</v>
      </c>
      <c r="AV539" s="162" t="s">
        <v>129</v>
      </c>
      <c r="AW539" s="162">
        <v>560.51</v>
      </c>
      <c r="AX539" s="162">
        <v>560.51</v>
      </c>
    </row>
    <row r="540" spans="1:50" x14ac:dyDescent="0.2">
      <c r="A540" s="172">
        <v>44013</v>
      </c>
      <c r="B540" s="180" t="s">
        <v>130</v>
      </c>
      <c r="C540" s="162" t="s">
        <v>131</v>
      </c>
      <c r="D540" s="162">
        <v>2101142020</v>
      </c>
      <c r="E540" s="162" t="s">
        <v>132</v>
      </c>
      <c r="F540" s="162">
        <v>875</v>
      </c>
      <c r="G540" s="162" t="s">
        <v>160</v>
      </c>
      <c r="H540" s="162" t="s">
        <v>144</v>
      </c>
      <c r="I540" s="162" t="s">
        <v>197</v>
      </c>
      <c r="J540" s="163">
        <v>19306.62</v>
      </c>
      <c r="K540" s="162" t="s">
        <v>198</v>
      </c>
      <c r="L540" s="162" t="s">
        <v>135</v>
      </c>
      <c r="M540" s="162" t="s">
        <v>222</v>
      </c>
      <c r="N540" s="162" t="s">
        <v>125</v>
      </c>
      <c r="O540" s="163">
        <v>19306.62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R540" s="162" t="s">
        <v>263</v>
      </c>
      <c r="AS540" s="162">
        <v>875</v>
      </c>
      <c r="AT540" s="162" t="s">
        <v>138</v>
      </c>
      <c r="AV540" s="162" t="s">
        <v>129</v>
      </c>
      <c r="AW540" s="162">
        <v>503.86</v>
      </c>
      <c r="AX540" s="162">
        <v>503.86</v>
      </c>
    </row>
    <row r="541" spans="1:50" x14ac:dyDescent="0.2">
      <c r="A541" s="172">
        <v>44013</v>
      </c>
      <c r="B541" s="180" t="s">
        <v>130</v>
      </c>
      <c r="C541" s="162" t="s">
        <v>131</v>
      </c>
      <c r="D541" s="162">
        <v>2101132020</v>
      </c>
      <c r="E541" s="162" t="s">
        <v>132</v>
      </c>
      <c r="F541" s="162">
        <v>875</v>
      </c>
      <c r="G541" s="162" t="s">
        <v>160</v>
      </c>
      <c r="H541" s="162" t="s">
        <v>144</v>
      </c>
      <c r="I541" s="162" t="s">
        <v>197</v>
      </c>
      <c r="J541" s="163">
        <v>27888.52</v>
      </c>
      <c r="K541" s="162" t="s">
        <v>198</v>
      </c>
      <c r="L541" s="162" t="s">
        <v>135</v>
      </c>
      <c r="M541" s="162" t="s">
        <v>224</v>
      </c>
      <c r="N541" s="162" t="s">
        <v>125</v>
      </c>
      <c r="O541" s="163">
        <v>27888.52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R541" s="162" t="s">
        <v>185</v>
      </c>
      <c r="AS541" s="162">
        <v>875</v>
      </c>
      <c r="AT541" s="162" t="s">
        <v>138</v>
      </c>
      <c r="AV541" s="162" t="s">
        <v>129</v>
      </c>
      <c r="AW541" s="162">
        <v>2169.2600000000002</v>
      </c>
      <c r="AX541" s="162">
        <v>2169.2600000000002</v>
      </c>
    </row>
    <row r="542" spans="1:50" x14ac:dyDescent="0.2">
      <c r="A542" s="172">
        <v>44013</v>
      </c>
      <c r="B542" s="180" t="s">
        <v>130</v>
      </c>
      <c r="C542" s="162" t="s">
        <v>131</v>
      </c>
      <c r="D542" s="162">
        <v>2159352020</v>
      </c>
      <c r="E542" s="162" t="s">
        <v>132</v>
      </c>
      <c r="F542" s="162">
        <v>875</v>
      </c>
      <c r="G542" s="162" t="s">
        <v>160</v>
      </c>
      <c r="H542" s="162" t="s">
        <v>144</v>
      </c>
      <c r="I542" s="162" t="s">
        <v>197</v>
      </c>
      <c r="J542" s="163">
        <v>1886.52</v>
      </c>
      <c r="K542" s="162" t="s">
        <v>198</v>
      </c>
      <c r="L542" s="162" t="s">
        <v>135</v>
      </c>
      <c r="M542" s="162" t="s">
        <v>225</v>
      </c>
      <c r="N542" s="162" t="s">
        <v>125</v>
      </c>
      <c r="O542" s="163">
        <v>1886.52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R542" s="162" t="s">
        <v>199</v>
      </c>
      <c r="AS542" s="162">
        <v>875</v>
      </c>
      <c r="AT542" s="162" t="s">
        <v>138</v>
      </c>
      <c r="AV542" s="162" t="s">
        <v>129</v>
      </c>
      <c r="AW542" s="162">
        <v>5422.41</v>
      </c>
      <c r="AX542" s="162">
        <v>5422.41</v>
      </c>
    </row>
    <row r="543" spans="1:50" x14ac:dyDescent="0.2">
      <c r="A543" s="172">
        <v>44013</v>
      </c>
      <c r="B543" s="180" t="s">
        <v>130</v>
      </c>
      <c r="C543" s="162" t="s">
        <v>131</v>
      </c>
      <c r="D543" s="162">
        <v>2101142020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21778.12</v>
      </c>
      <c r="K543" s="162" t="s">
        <v>198</v>
      </c>
      <c r="L543" s="162" t="s">
        <v>135</v>
      </c>
      <c r="M543" s="162" t="s">
        <v>227</v>
      </c>
      <c r="N543" s="162" t="s">
        <v>125</v>
      </c>
      <c r="O543" s="163">
        <v>21778.12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R543" s="162" t="s">
        <v>141</v>
      </c>
      <c r="AS543" s="162">
        <v>1284</v>
      </c>
      <c r="AT543" s="162" t="s">
        <v>138</v>
      </c>
      <c r="AV543" s="162" t="s">
        <v>129</v>
      </c>
      <c r="AW543" s="162">
        <v>4149.83</v>
      </c>
      <c r="AX543" s="162">
        <v>4149.83</v>
      </c>
    </row>
    <row r="544" spans="1:50" x14ac:dyDescent="0.2">
      <c r="A544" s="172">
        <v>44013</v>
      </c>
      <c r="B544" s="180" t="s">
        <v>130</v>
      </c>
      <c r="C544" s="162" t="s">
        <v>131</v>
      </c>
      <c r="D544" s="162">
        <v>2101132020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28758.29</v>
      </c>
      <c r="K544" s="162" t="s">
        <v>198</v>
      </c>
      <c r="L544" s="162" t="s">
        <v>135</v>
      </c>
      <c r="M544" s="162" t="s">
        <v>228</v>
      </c>
      <c r="N544" s="162" t="s">
        <v>125</v>
      </c>
      <c r="O544" s="163">
        <v>28758.29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R544" s="162" t="s">
        <v>175</v>
      </c>
      <c r="AS544" s="162">
        <v>1284</v>
      </c>
      <c r="AT544" s="162" t="s">
        <v>138</v>
      </c>
      <c r="AV544" s="162" t="s">
        <v>129</v>
      </c>
      <c r="AW544" s="162">
        <v>1956.15</v>
      </c>
      <c r="AX544" s="162">
        <v>1956.15</v>
      </c>
    </row>
    <row r="545" spans="1:50" x14ac:dyDescent="0.2">
      <c r="A545" s="172">
        <v>44013</v>
      </c>
      <c r="B545" s="180" t="s">
        <v>130</v>
      </c>
      <c r="C545" s="162" t="s">
        <v>131</v>
      </c>
      <c r="D545" s="162">
        <v>2353342020</v>
      </c>
      <c r="E545" s="162" t="s">
        <v>132</v>
      </c>
      <c r="F545" s="162">
        <v>875</v>
      </c>
      <c r="G545" s="162" t="s">
        <v>178</v>
      </c>
      <c r="H545" s="162" t="s">
        <v>144</v>
      </c>
      <c r="I545" s="162" t="s">
        <v>197</v>
      </c>
      <c r="J545" s="163">
        <v>914.17</v>
      </c>
      <c r="K545" s="162" t="s">
        <v>198</v>
      </c>
      <c r="L545" s="162" t="s">
        <v>135</v>
      </c>
      <c r="M545" s="162" t="s">
        <v>229</v>
      </c>
      <c r="N545" s="162" t="s">
        <v>125</v>
      </c>
      <c r="O545" s="163">
        <v>914.17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R545" s="162" t="s">
        <v>142</v>
      </c>
      <c r="AS545" s="162">
        <v>1284</v>
      </c>
      <c r="AT545" s="162" t="s">
        <v>138</v>
      </c>
      <c r="AV545" s="162" t="s">
        <v>129</v>
      </c>
      <c r="AW545" s="162">
        <v>3032.03</v>
      </c>
      <c r="AX545" s="162">
        <v>3032.03</v>
      </c>
    </row>
    <row r="546" spans="1:50" x14ac:dyDescent="0.2">
      <c r="A546" s="172">
        <v>44013</v>
      </c>
      <c r="B546" s="180" t="s">
        <v>130</v>
      </c>
      <c r="C546" s="162" t="s">
        <v>131</v>
      </c>
      <c r="D546" s="162">
        <v>3013772020</v>
      </c>
      <c r="E546" s="162" t="s">
        <v>132</v>
      </c>
      <c r="F546" s="162">
        <v>875</v>
      </c>
      <c r="G546" s="162" t="s">
        <v>163</v>
      </c>
      <c r="H546" s="162" t="s">
        <v>144</v>
      </c>
      <c r="I546" s="162" t="s">
        <v>197</v>
      </c>
      <c r="J546" s="163">
        <v>19.53</v>
      </c>
      <c r="K546" s="162" t="s">
        <v>198</v>
      </c>
      <c r="L546" s="162" t="s">
        <v>135</v>
      </c>
      <c r="M546" s="162" t="s">
        <v>230</v>
      </c>
      <c r="N546" s="162" t="s">
        <v>125</v>
      </c>
      <c r="O546" s="163">
        <v>19.53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R546" s="162" t="s">
        <v>174</v>
      </c>
      <c r="AS546" s="162">
        <v>1284</v>
      </c>
      <c r="AT546" s="162" t="s">
        <v>138</v>
      </c>
      <c r="AV546" s="162" t="s">
        <v>129</v>
      </c>
      <c r="AW546" s="162">
        <v>1956.15</v>
      </c>
      <c r="AX546" s="162">
        <v>1956.15</v>
      </c>
    </row>
    <row r="547" spans="1:50" x14ac:dyDescent="0.2">
      <c r="A547" s="172">
        <v>44013</v>
      </c>
      <c r="B547" s="180" t="s">
        <v>130</v>
      </c>
      <c r="C547" s="162" t="s">
        <v>131</v>
      </c>
      <c r="D547" s="162">
        <v>3011282020</v>
      </c>
      <c r="E547" s="162" t="s">
        <v>132</v>
      </c>
      <c r="F547" s="162">
        <v>875</v>
      </c>
      <c r="G547" s="162" t="s">
        <v>176</v>
      </c>
      <c r="H547" s="162" t="s">
        <v>144</v>
      </c>
      <c r="I547" s="162" t="s">
        <v>197</v>
      </c>
      <c r="J547" s="163">
        <v>4374</v>
      </c>
      <c r="K547" s="162" t="s">
        <v>198</v>
      </c>
      <c r="L547" s="162" t="s">
        <v>135</v>
      </c>
      <c r="M547" s="162" t="s">
        <v>231</v>
      </c>
      <c r="N547" s="162" t="s">
        <v>125</v>
      </c>
      <c r="O547" s="163">
        <v>4374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R547" s="162" t="s">
        <v>148</v>
      </c>
      <c r="AS547" s="162">
        <v>1284</v>
      </c>
      <c r="AT547" s="162" t="s">
        <v>138</v>
      </c>
      <c r="AV547" s="162" t="s">
        <v>129</v>
      </c>
      <c r="AW547" s="162">
        <v>3032.03</v>
      </c>
      <c r="AX547" s="162">
        <v>3032.03</v>
      </c>
    </row>
    <row r="548" spans="1:50" x14ac:dyDescent="0.2">
      <c r="A548" s="172">
        <v>44013</v>
      </c>
      <c r="B548" s="180" t="s">
        <v>130</v>
      </c>
      <c r="C548" s="162" t="s">
        <v>131</v>
      </c>
      <c r="D548" s="162">
        <v>2510522020</v>
      </c>
      <c r="E548" s="162" t="s">
        <v>132</v>
      </c>
      <c r="F548" s="162">
        <v>875</v>
      </c>
      <c r="G548" s="162" t="s">
        <v>146</v>
      </c>
      <c r="H548" s="162" t="s">
        <v>144</v>
      </c>
      <c r="I548" s="162" t="s">
        <v>197</v>
      </c>
      <c r="J548" s="163">
        <v>5422.41</v>
      </c>
      <c r="K548" s="162" t="s">
        <v>198</v>
      </c>
      <c r="L548" s="162" t="s">
        <v>135</v>
      </c>
      <c r="M548" s="162" t="s">
        <v>232</v>
      </c>
      <c r="N548" s="162" t="s">
        <v>125</v>
      </c>
      <c r="O548" s="163">
        <v>5422.41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R548" s="162" t="s">
        <v>151</v>
      </c>
      <c r="AS548" s="162">
        <v>1284</v>
      </c>
      <c r="AT548" s="162" t="s">
        <v>138</v>
      </c>
      <c r="AV548" s="162" t="s">
        <v>129</v>
      </c>
      <c r="AW548" s="162">
        <v>3558.33</v>
      </c>
      <c r="AX548" s="162">
        <v>3558.33</v>
      </c>
    </row>
    <row r="549" spans="1:50" x14ac:dyDescent="0.2">
      <c r="A549" s="172">
        <v>44013</v>
      </c>
      <c r="B549" s="180" t="s">
        <v>130</v>
      </c>
      <c r="C549" s="162" t="s">
        <v>131</v>
      </c>
      <c r="D549" s="162">
        <v>2808872020</v>
      </c>
      <c r="E549" s="162" t="s">
        <v>132</v>
      </c>
      <c r="F549" s="162">
        <v>875</v>
      </c>
      <c r="G549" s="162" t="s">
        <v>146</v>
      </c>
      <c r="H549" s="162" t="s">
        <v>144</v>
      </c>
      <c r="I549" s="162" t="s">
        <v>197</v>
      </c>
      <c r="J549" s="163">
        <v>4761.1400000000003</v>
      </c>
      <c r="K549" s="162" t="s">
        <v>198</v>
      </c>
      <c r="L549" s="162" t="s">
        <v>135</v>
      </c>
      <c r="M549" s="162" t="s">
        <v>233</v>
      </c>
      <c r="N549" s="162" t="s">
        <v>125</v>
      </c>
      <c r="O549" s="163">
        <v>4761.1400000000003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R549" s="162" t="s">
        <v>273</v>
      </c>
      <c r="AS549" s="162">
        <v>1284</v>
      </c>
      <c r="AT549" s="162" t="s">
        <v>138</v>
      </c>
      <c r="AV549" s="162" t="s">
        <v>129</v>
      </c>
      <c r="AW549" s="162">
        <v>3423.26</v>
      </c>
      <c r="AX549" s="162">
        <v>3423.26</v>
      </c>
    </row>
    <row r="550" spans="1:50" x14ac:dyDescent="0.2">
      <c r="A550" s="172">
        <v>44013</v>
      </c>
      <c r="B550" s="180" t="s">
        <v>130</v>
      </c>
      <c r="C550" s="162" t="s">
        <v>131</v>
      </c>
      <c r="D550" s="162">
        <v>2510542020</v>
      </c>
      <c r="E550" s="162" t="s">
        <v>132</v>
      </c>
      <c r="F550" s="162">
        <v>875</v>
      </c>
      <c r="G550" s="162" t="s">
        <v>146</v>
      </c>
      <c r="H550" s="162" t="s">
        <v>144</v>
      </c>
      <c r="I550" s="162" t="s">
        <v>197</v>
      </c>
      <c r="J550" s="163">
        <v>111.97</v>
      </c>
      <c r="K550" s="162" t="s">
        <v>198</v>
      </c>
      <c r="L550" s="162" t="s">
        <v>135</v>
      </c>
      <c r="M550" s="162" t="s">
        <v>235</v>
      </c>
      <c r="N550" s="162" t="s">
        <v>125</v>
      </c>
      <c r="O550" s="163">
        <v>111.97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R550" s="162" t="s">
        <v>275</v>
      </c>
      <c r="AS550" s="162">
        <v>1284</v>
      </c>
      <c r="AT550" s="162" t="s">
        <v>138</v>
      </c>
      <c r="AV550" s="162" t="s">
        <v>129</v>
      </c>
      <c r="AW550" s="162">
        <v>5132.5600000000004</v>
      </c>
      <c r="AX550" s="162">
        <v>5132.5600000000004</v>
      </c>
    </row>
    <row r="551" spans="1:50" x14ac:dyDescent="0.2">
      <c r="A551" s="172">
        <v>44013</v>
      </c>
      <c r="B551" s="180" t="s">
        <v>130</v>
      </c>
      <c r="C551" s="162" t="s">
        <v>131</v>
      </c>
      <c r="D551" s="162">
        <v>2510522020</v>
      </c>
      <c r="E551" s="162" t="s">
        <v>132</v>
      </c>
      <c r="F551" s="162">
        <v>875</v>
      </c>
      <c r="G551" s="162" t="s">
        <v>146</v>
      </c>
      <c r="H551" s="162" t="s">
        <v>144</v>
      </c>
      <c r="I551" s="162" t="s">
        <v>197</v>
      </c>
      <c r="J551" s="163">
        <v>573.84</v>
      </c>
      <c r="K551" s="162" t="s">
        <v>198</v>
      </c>
      <c r="L551" s="162" t="s">
        <v>135</v>
      </c>
      <c r="M551" s="162" t="s">
        <v>237</v>
      </c>
      <c r="N551" s="162" t="s">
        <v>125</v>
      </c>
      <c r="O551" s="163">
        <v>573.84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R551" s="162" t="s">
        <v>277</v>
      </c>
      <c r="AS551" s="162">
        <v>1284</v>
      </c>
      <c r="AT551" s="162" t="s">
        <v>138</v>
      </c>
      <c r="AV551" s="162" t="s">
        <v>129</v>
      </c>
      <c r="AW551" s="162">
        <v>978.07</v>
      </c>
      <c r="AX551" s="162">
        <v>978.07</v>
      </c>
    </row>
    <row r="552" spans="1:50" x14ac:dyDescent="0.2">
      <c r="A552" s="172">
        <v>44013</v>
      </c>
      <c r="B552" s="180" t="s">
        <v>130</v>
      </c>
      <c r="C552" s="162" t="s">
        <v>131</v>
      </c>
      <c r="D552" s="162">
        <v>2510532020</v>
      </c>
      <c r="E552" s="162" t="s">
        <v>132</v>
      </c>
      <c r="F552" s="162">
        <v>875</v>
      </c>
      <c r="G552" s="162" t="s">
        <v>146</v>
      </c>
      <c r="H552" s="162" t="s">
        <v>144</v>
      </c>
      <c r="I552" s="162" t="s">
        <v>197</v>
      </c>
      <c r="J552" s="163">
        <v>1421.73</v>
      </c>
      <c r="K552" s="162" t="s">
        <v>198</v>
      </c>
      <c r="L552" s="162" t="s">
        <v>135</v>
      </c>
      <c r="M552" s="162" t="s">
        <v>239</v>
      </c>
      <c r="N552" s="162" t="s">
        <v>125</v>
      </c>
      <c r="O552" s="163">
        <v>1421.73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R552" s="162" t="s">
        <v>279</v>
      </c>
      <c r="AS552" s="162">
        <v>1284</v>
      </c>
      <c r="AT552" s="162" t="s">
        <v>138</v>
      </c>
      <c r="AV552" s="162" t="s">
        <v>129</v>
      </c>
      <c r="AW552" s="162">
        <v>1518.34</v>
      </c>
      <c r="AX552" s="162">
        <v>1518.34</v>
      </c>
    </row>
    <row r="553" spans="1:50" x14ac:dyDescent="0.2">
      <c r="A553" s="172">
        <v>44013</v>
      </c>
      <c r="B553" s="180" t="s">
        <v>130</v>
      </c>
      <c r="C553" s="162" t="s">
        <v>131</v>
      </c>
      <c r="D553" s="162">
        <v>2876382020</v>
      </c>
      <c r="E553" s="162" t="s">
        <v>132</v>
      </c>
      <c r="F553" s="162">
        <v>875</v>
      </c>
      <c r="G553" s="162" t="s">
        <v>178</v>
      </c>
      <c r="H553" s="162" t="s">
        <v>144</v>
      </c>
      <c r="I553" s="162" t="s">
        <v>197</v>
      </c>
      <c r="J553" s="163">
        <v>231.66</v>
      </c>
      <c r="K553" s="162" t="s">
        <v>198</v>
      </c>
      <c r="L553" s="162" t="s">
        <v>135</v>
      </c>
      <c r="M553" s="162" t="s">
        <v>241</v>
      </c>
      <c r="N553" s="162" t="s">
        <v>125</v>
      </c>
      <c r="O553" s="163">
        <v>231.66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R553" s="162" t="s">
        <v>150</v>
      </c>
      <c r="AS553" s="162">
        <v>1284</v>
      </c>
      <c r="AT553" s="162" t="s">
        <v>138</v>
      </c>
      <c r="AV553" s="162" t="s">
        <v>129</v>
      </c>
      <c r="AW553" s="162">
        <v>4149.83</v>
      </c>
      <c r="AX553" s="162">
        <v>4149.83</v>
      </c>
    </row>
    <row r="554" spans="1:50" x14ac:dyDescent="0.2">
      <c r="A554" s="172">
        <v>44013</v>
      </c>
      <c r="B554" s="180" t="s">
        <v>130</v>
      </c>
      <c r="C554" s="162" t="s">
        <v>131</v>
      </c>
      <c r="D554" s="162">
        <v>2751302020</v>
      </c>
      <c r="E554" s="162" t="s">
        <v>132</v>
      </c>
      <c r="F554" s="162">
        <v>875</v>
      </c>
      <c r="G554" s="162" t="s">
        <v>159</v>
      </c>
      <c r="H554" s="162" t="s">
        <v>144</v>
      </c>
      <c r="I554" s="162" t="s">
        <v>197</v>
      </c>
      <c r="J554" s="163">
        <v>177.86</v>
      </c>
      <c r="K554" s="162" t="s">
        <v>198</v>
      </c>
      <c r="L554" s="162" t="s">
        <v>135</v>
      </c>
      <c r="M554" s="162" t="s">
        <v>242</v>
      </c>
      <c r="N554" s="162" t="s">
        <v>125</v>
      </c>
      <c r="O554" s="163">
        <v>177.86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R554" s="162">
        <v>182813540001</v>
      </c>
      <c r="AS554" s="162">
        <v>775</v>
      </c>
      <c r="AT554" s="162" t="s">
        <v>138</v>
      </c>
      <c r="AV554" s="162" t="s">
        <v>129</v>
      </c>
      <c r="AW554" s="162">
        <v>1074.72</v>
      </c>
      <c r="AX554" s="162">
        <v>1074.72</v>
      </c>
    </row>
    <row r="555" spans="1:50" x14ac:dyDescent="0.2">
      <c r="A555" s="172">
        <v>44013</v>
      </c>
      <c r="B555" s="180" t="s">
        <v>130</v>
      </c>
      <c r="C555" s="162" t="s">
        <v>131</v>
      </c>
      <c r="D555" s="162">
        <v>3011202020</v>
      </c>
      <c r="E555" s="162" t="s">
        <v>132</v>
      </c>
      <c r="F555" s="162">
        <v>875</v>
      </c>
      <c r="G555" s="162" t="s">
        <v>176</v>
      </c>
      <c r="H555" s="162" t="s">
        <v>144</v>
      </c>
      <c r="I555" s="162" t="s">
        <v>197</v>
      </c>
      <c r="J555" s="163">
        <v>9112.5</v>
      </c>
      <c r="K555" s="162" t="s">
        <v>198</v>
      </c>
      <c r="L555" s="162" t="s">
        <v>135</v>
      </c>
      <c r="M555" s="162" t="s">
        <v>244</v>
      </c>
      <c r="N555" s="162" t="s">
        <v>125</v>
      </c>
      <c r="O555" s="163">
        <v>9112.5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R555" s="162">
        <v>182813540006</v>
      </c>
      <c r="AS555" s="162">
        <v>775</v>
      </c>
      <c r="AT555" s="162" t="s">
        <v>138</v>
      </c>
      <c r="AV555" s="162" t="s">
        <v>129</v>
      </c>
      <c r="AW555" s="162">
        <v>1083.75</v>
      </c>
      <c r="AX555" s="162">
        <v>1083.75</v>
      </c>
    </row>
    <row r="556" spans="1:50" x14ac:dyDescent="0.2">
      <c r="A556" s="172">
        <v>44013</v>
      </c>
      <c r="B556" s="180" t="s">
        <v>130</v>
      </c>
      <c r="C556" s="162" t="s">
        <v>131</v>
      </c>
      <c r="D556" s="162">
        <v>3011212020</v>
      </c>
      <c r="E556" s="162" t="s">
        <v>132</v>
      </c>
      <c r="F556" s="162">
        <v>875</v>
      </c>
      <c r="G556" s="162" t="s">
        <v>176</v>
      </c>
      <c r="H556" s="162" t="s">
        <v>144</v>
      </c>
      <c r="I556" s="162" t="s">
        <v>197</v>
      </c>
      <c r="J556" s="163">
        <v>9720</v>
      </c>
      <c r="K556" s="162" t="s">
        <v>198</v>
      </c>
      <c r="L556" s="162" t="s">
        <v>135</v>
      </c>
      <c r="M556" s="162" t="s">
        <v>245</v>
      </c>
      <c r="N556" s="162" t="s">
        <v>125</v>
      </c>
      <c r="O556" s="163">
        <v>9720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R556" s="162">
        <v>182813540009</v>
      </c>
      <c r="AS556" s="162">
        <v>775</v>
      </c>
      <c r="AT556" s="162" t="s">
        <v>138</v>
      </c>
      <c r="AV556" s="162" t="s">
        <v>129</v>
      </c>
      <c r="AW556" s="162">
        <v>903.13</v>
      </c>
      <c r="AX556" s="162">
        <v>903.13</v>
      </c>
    </row>
    <row r="557" spans="1:50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1058.03</v>
      </c>
      <c r="K557" s="162" t="s">
        <v>198</v>
      </c>
      <c r="L557" s="162" t="s">
        <v>135</v>
      </c>
      <c r="M557" s="162" t="s">
        <v>246</v>
      </c>
      <c r="N557" s="162" t="s">
        <v>125</v>
      </c>
      <c r="O557" s="163">
        <v>1058.03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R557" s="162" t="s">
        <v>291</v>
      </c>
      <c r="AS557" s="162">
        <v>1263</v>
      </c>
      <c r="AT557" s="162" t="s">
        <v>292</v>
      </c>
      <c r="AV557" s="162" t="s">
        <v>129</v>
      </c>
      <c r="AW557" s="162">
        <v>60203.35</v>
      </c>
      <c r="AX557" s="162">
        <v>60203.35</v>
      </c>
    </row>
    <row r="558" spans="1:50" x14ac:dyDescent="0.2">
      <c r="A558" s="172">
        <v>44013</v>
      </c>
      <c r="B558" s="180" t="s">
        <v>130</v>
      </c>
      <c r="C558" s="162" t="s">
        <v>131</v>
      </c>
      <c r="D558" s="162">
        <v>3011302020</v>
      </c>
      <c r="E558" s="162" t="s">
        <v>132</v>
      </c>
      <c r="F558" s="162">
        <v>875</v>
      </c>
      <c r="G558" s="162" t="s">
        <v>176</v>
      </c>
      <c r="H558" s="162" t="s">
        <v>144</v>
      </c>
      <c r="I558" s="162" t="s">
        <v>197</v>
      </c>
      <c r="J558" s="163">
        <v>6561</v>
      </c>
      <c r="K558" s="162" t="s">
        <v>198</v>
      </c>
      <c r="L558" s="162" t="s">
        <v>135</v>
      </c>
      <c r="M558" s="162" t="s">
        <v>248</v>
      </c>
      <c r="N558" s="162" t="s">
        <v>125</v>
      </c>
      <c r="O558" s="163">
        <v>6561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R558" s="162" t="s">
        <v>297</v>
      </c>
      <c r="AS558" s="162">
        <v>801</v>
      </c>
      <c r="AT558" s="162" t="s">
        <v>292</v>
      </c>
      <c r="AV558" s="162" t="s">
        <v>173</v>
      </c>
      <c r="AW558" s="162">
        <v>0</v>
      </c>
      <c r="AX558" s="162">
        <v>0</v>
      </c>
    </row>
    <row r="559" spans="1:50" x14ac:dyDescent="0.2">
      <c r="A559" s="172">
        <v>44013</v>
      </c>
      <c r="B559" s="180" t="s">
        <v>130</v>
      </c>
      <c r="C559" s="162" t="s">
        <v>131</v>
      </c>
      <c r="D559" s="162">
        <v>2876382020</v>
      </c>
      <c r="E559" s="162" t="s">
        <v>132</v>
      </c>
      <c r="F559" s="162">
        <v>875</v>
      </c>
      <c r="G559" s="162" t="s">
        <v>178</v>
      </c>
      <c r="H559" s="162" t="s">
        <v>144</v>
      </c>
      <c r="I559" s="162" t="s">
        <v>197</v>
      </c>
      <c r="J559" s="163">
        <v>31.59</v>
      </c>
      <c r="K559" s="162" t="s">
        <v>198</v>
      </c>
      <c r="L559" s="162" t="s">
        <v>135</v>
      </c>
      <c r="M559" s="162" t="s">
        <v>249</v>
      </c>
      <c r="N559" s="162" t="s">
        <v>125</v>
      </c>
      <c r="O559" s="163">
        <v>31.59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R559" s="162" t="s">
        <v>303</v>
      </c>
      <c r="AS559" s="162">
        <v>621</v>
      </c>
      <c r="AT559" s="162" t="s">
        <v>292</v>
      </c>
      <c r="AV559" s="162" t="s">
        <v>173</v>
      </c>
      <c r="AW559" s="162">
        <v>-444.72</v>
      </c>
      <c r="AX559" s="162">
        <v>-444.72</v>
      </c>
    </row>
    <row r="560" spans="1:50" x14ac:dyDescent="0.2">
      <c r="A560" s="172">
        <v>44013</v>
      </c>
      <c r="B560" s="180" t="s">
        <v>130</v>
      </c>
      <c r="C560" s="162" t="s">
        <v>131</v>
      </c>
      <c r="D560" s="162">
        <v>2719032020</v>
      </c>
      <c r="E560" s="162" t="s">
        <v>132</v>
      </c>
      <c r="F560" s="162">
        <v>875</v>
      </c>
      <c r="G560" s="162" t="s">
        <v>250</v>
      </c>
      <c r="H560" s="162" t="s">
        <v>144</v>
      </c>
      <c r="I560" s="162" t="s">
        <v>197</v>
      </c>
      <c r="J560" s="163">
        <v>54000</v>
      </c>
      <c r="K560" s="162" t="s">
        <v>198</v>
      </c>
      <c r="L560" s="162" t="s">
        <v>135</v>
      </c>
      <c r="M560" s="162" t="s">
        <v>251</v>
      </c>
      <c r="N560" s="162" t="s">
        <v>125</v>
      </c>
      <c r="O560" s="163">
        <v>54000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R560" s="162">
        <v>328383</v>
      </c>
      <c r="AS560" s="162">
        <v>222</v>
      </c>
      <c r="AT560" s="162" t="s">
        <v>292</v>
      </c>
      <c r="AV560" s="162" t="s">
        <v>173</v>
      </c>
      <c r="AW560" s="162">
        <v>-823.36</v>
      </c>
      <c r="AX560" s="162">
        <v>-823.36</v>
      </c>
    </row>
    <row r="561" spans="1:50" x14ac:dyDescent="0.2">
      <c r="A561" s="172">
        <v>44013</v>
      </c>
      <c r="B561" s="180" t="s">
        <v>130</v>
      </c>
      <c r="C561" s="162" t="s">
        <v>131</v>
      </c>
      <c r="D561" s="162">
        <v>2719042020</v>
      </c>
      <c r="E561" s="162" t="s">
        <v>132</v>
      </c>
      <c r="F561" s="162">
        <v>875</v>
      </c>
      <c r="G561" s="162" t="s">
        <v>253</v>
      </c>
      <c r="H561" s="162" t="s">
        <v>144</v>
      </c>
      <c r="I561" s="162" t="s">
        <v>197</v>
      </c>
      <c r="J561" s="163">
        <v>35100</v>
      </c>
      <c r="K561" s="162" t="s">
        <v>198</v>
      </c>
      <c r="L561" s="162" t="s">
        <v>135</v>
      </c>
      <c r="M561" s="162" t="s">
        <v>254</v>
      </c>
      <c r="N561" s="162" t="s">
        <v>125</v>
      </c>
      <c r="O561" s="163">
        <v>35100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R561" s="162" t="s">
        <v>303</v>
      </c>
      <c r="AS561" s="162">
        <v>621</v>
      </c>
      <c r="AT561" s="162" t="s">
        <v>292</v>
      </c>
      <c r="AV561" s="162" t="s">
        <v>173</v>
      </c>
      <c r="AW561" s="162">
        <v>-32457.26</v>
      </c>
      <c r="AX561" s="162">
        <v>-8914.3799999999992</v>
      </c>
    </row>
    <row r="562" spans="1:50" x14ac:dyDescent="0.2">
      <c r="A562" s="172">
        <v>44013</v>
      </c>
      <c r="B562" s="180" t="s">
        <v>130</v>
      </c>
      <c r="C562" s="162" t="s">
        <v>131</v>
      </c>
      <c r="D562" s="162">
        <v>2510532020</v>
      </c>
      <c r="E562" s="162" t="s">
        <v>132</v>
      </c>
      <c r="F562" s="162">
        <v>875</v>
      </c>
      <c r="G562" s="162" t="s">
        <v>146</v>
      </c>
      <c r="H562" s="162" t="s">
        <v>144</v>
      </c>
      <c r="I562" s="162" t="s">
        <v>197</v>
      </c>
      <c r="J562" s="163">
        <v>150.46</v>
      </c>
      <c r="K562" s="162" t="s">
        <v>198</v>
      </c>
      <c r="L562" s="162" t="s">
        <v>135</v>
      </c>
      <c r="M562" s="162" t="s">
        <v>256</v>
      </c>
      <c r="N562" s="162" t="s">
        <v>125</v>
      </c>
      <c r="O562" s="163">
        <v>150.46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R562" s="162" t="s">
        <v>291</v>
      </c>
      <c r="AS562" s="162">
        <v>793</v>
      </c>
      <c r="AT562" s="162" t="s">
        <v>292</v>
      </c>
      <c r="AV562" s="162" t="s">
        <v>129</v>
      </c>
      <c r="AW562" s="162">
        <v>62819.99</v>
      </c>
      <c r="AX562" s="162">
        <v>16619.09</v>
      </c>
    </row>
    <row r="563" spans="1:50" x14ac:dyDescent="0.2">
      <c r="A563" s="172">
        <v>44013</v>
      </c>
      <c r="B563" s="180" t="s">
        <v>130</v>
      </c>
      <c r="C563" s="162" t="s">
        <v>131</v>
      </c>
      <c r="D563" s="162">
        <v>2876382020</v>
      </c>
      <c r="E563" s="162" t="s">
        <v>132</v>
      </c>
      <c r="F563" s="162">
        <v>875</v>
      </c>
      <c r="G563" s="162" t="s">
        <v>178</v>
      </c>
      <c r="H563" s="162" t="s">
        <v>144</v>
      </c>
      <c r="I563" s="162" t="s">
        <v>197</v>
      </c>
      <c r="J563" s="163">
        <v>15907.91</v>
      </c>
      <c r="K563" s="162" t="s">
        <v>198</v>
      </c>
      <c r="L563" s="162" t="s">
        <v>135</v>
      </c>
      <c r="M563" s="162" t="s">
        <v>258</v>
      </c>
      <c r="N563" s="162" t="s">
        <v>125</v>
      </c>
      <c r="O563" s="163">
        <v>15907.91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</row>
    <row r="564" spans="1:50" x14ac:dyDescent="0.2">
      <c r="A564" s="172">
        <v>44013</v>
      </c>
      <c r="B564" s="180" t="s">
        <v>130</v>
      </c>
      <c r="C564" s="162" t="s">
        <v>131</v>
      </c>
      <c r="D564" s="162">
        <v>2751322020</v>
      </c>
      <c r="E564" s="162" t="s">
        <v>132</v>
      </c>
      <c r="F564" s="162">
        <v>875</v>
      </c>
      <c r="G564" s="162" t="s">
        <v>152</v>
      </c>
      <c r="H564" s="162" t="s">
        <v>144</v>
      </c>
      <c r="I564" s="162" t="s">
        <v>197</v>
      </c>
      <c r="J564" s="163">
        <v>23739.5</v>
      </c>
      <c r="K564" s="162" t="s">
        <v>198</v>
      </c>
      <c r="L564" s="162" t="s">
        <v>135</v>
      </c>
      <c r="M564" s="162" t="s">
        <v>259</v>
      </c>
      <c r="N564" s="162" t="s">
        <v>125</v>
      </c>
      <c r="O564" s="163">
        <v>23739.5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</row>
    <row r="565" spans="1:50" x14ac:dyDescent="0.2">
      <c r="A565" s="172">
        <v>44013</v>
      </c>
      <c r="B565" s="180" t="s">
        <v>130</v>
      </c>
      <c r="C565" s="162" t="s">
        <v>131</v>
      </c>
      <c r="D565" s="162">
        <v>2751322020</v>
      </c>
      <c r="E565" s="162" t="s">
        <v>132</v>
      </c>
      <c r="F565" s="162">
        <v>875</v>
      </c>
      <c r="G565" s="162" t="s">
        <v>152</v>
      </c>
      <c r="H565" s="162" t="s">
        <v>144</v>
      </c>
      <c r="I565" s="162" t="s">
        <v>197</v>
      </c>
      <c r="J565" s="163">
        <v>560.51</v>
      </c>
      <c r="K565" s="162" t="s">
        <v>198</v>
      </c>
      <c r="L565" s="162" t="s">
        <v>135</v>
      </c>
      <c r="M565" s="162" t="s">
        <v>260</v>
      </c>
      <c r="N565" s="162" t="s">
        <v>125</v>
      </c>
      <c r="O565" s="163">
        <v>560.51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</row>
    <row r="566" spans="1:50" x14ac:dyDescent="0.2">
      <c r="A566" s="172">
        <v>44013</v>
      </c>
      <c r="B566" s="180" t="s">
        <v>130</v>
      </c>
      <c r="C566" s="162" t="s">
        <v>131</v>
      </c>
      <c r="D566" s="162">
        <v>2808872020</v>
      </c>
      <c r="E566" s="162" t="s">
        <v>132</v>
      </c>
      <c r="F566" s="162">
        <v>875</v>
      </c>
      <c r="G566" s="162" t="s">
        <v>146</v>
      </c>
      <c r="H566" s="162" t="s">
        <v>144</v>
      </c>
      <c r="I566" s="162" t="s">
        <v>197</v>
      </c>
      <c r="J566" s="163">
        <v>503.86</v>
      </c>
      <c r="K566" s="162" t="s">
        <v>198</v>
      </c>
      <c r="L566" s="162" t="s">
        <v>135</v>
      </c>
      <c r="M566" s="162" t="s">
        <v>262</v>
      </c>
      <c r="N566" s="162" t="s">
        <v>125</v>
      </c>
      <c r="O566" s="163">
        <v>503.86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</row>
    <row r="567" spans="1:50" x14ac:dyDescent="0.2">
      <c r="A567" s="172">
        <v>44013</v>
      </c>
      <c r="B567" s="180" t="s">
        <v>130</v>
      </c>
      <c r="C567" s="162" t="s">
        <v>131</v>
      </c>
      <c r="D567" s="162">
        <v>2876382020</v>
      </c>
      <c r="E567" s="162" t="s">
        <v>132</v>
      </c>
      <c r="F567" s="162">
        <v>875</v>
      </c>
      <c r="G567" s="162" t="s">
        <v>178</v>
      </c>
      <c r="H567" s="162" t="s">
        <v>144</v>
      </c>
      <c r="I567" s="162" t="s">
        <v>197</v>
      </c>
      <c r="J567" s="163">
        <v>2169.2600000000002</v>
      </c>
      <c r="K567" s="162" t="s">
        <v>198</v>
      </c>
      <c r="L567" s="162" t="s">
        <v>135</v>
      </c>
      <c r="M567" s="162" t="s">
        <v>264</v>
      </c>
      <c r="N567" s="162" t="s">
        <v>125</v>
      </c>
      <c r="O567" s="163">
        <v>2169.2600000000002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</row>
    <row r="568" spans="1:50" x14ac:dyDescent="0.2">
      <c r="A568" s="172">
        <v>44013</v>
      </c>
      <c r="B568" s="180" t="s">
        <v>130</v>
      </c>
      <c r="C568" s="162" t="s">
        <v>131</v>
      </c>
      <c r="D568" s="162">
        <v>2808872020</v>
      </c>
      <c r="E568" s="162" t="s">
        <v>132</v>
      </c>
      <c r="F568" s="162">
        <v>875</v>
      </c>
      <c r="G568" s="162" t="s">
        <v>146</v>
      </c>
      <c r="H568" s="162" t="s">
        <v>144</v>
      </c>
      <c r="I568" s="162" t="s">
        <v>197</v>
      </c>
      <c r="J568" s="163">
        <v>5422.41</v>
      </c>
      <c r="K568" s="162" t="s">
        <v>198</v>
      </c>
      <c r="L568" s="162" t="s">
        <v>135</v>
      </c>
      <c r="M568" s="162" t="s">
        <v>265</v>
      </c>
      <c r="N568" s="162" t="s">
        <v>125</v>
      </c>
      <c r="O568" s="163">
        <v>5422.41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</row>
    <row r="569" spans="1:50" x14ac:dyDescent="0.2">
      <c r="A569" s="172">
        <v>44013</v>
      </c>
      <c r="B569" s="180" t="s">
        <v>130</v>
      </c>
      <c r="C569" s="162" t="s">
        <v>131</v>
      </c>
      <c r="D569" s="162">
        <v>3021542020</v>
      </c>
      <c r="E569" s="162" t="s">
        <v>132</v>
      </c>
      <c r="F569" s="162">
        <v>0</v>
      </c>
      <c r="G569" s="162" t="s">
        <v>169</v>
      </c>
      <c r="H569" s="162" t="s">
        <v>170</v>
      </c>
      <c r="I569" s="162" t="s">
        <v>197</v>
      </c>
      <c r="J569" s="163">
        <v>4149.83</v>
      </c>
      <c r="K569" s="162" t="s">
        <v>198</v>
      </c>
      <c r="L569" s="162" t="s">
        <v>135</v>
      </c>
      <c r="M569" s="162" t="s">
        <v>266</v>
      </c>
      <c r="N569" s="162" t="s">
        <v>125</v>
      </c>
      <c r="O569" s="163">
        <v>4149.83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</row>
    <row r="570" spans="1:50" x14ac:dyDescent="0.2">
      <c r="A570" s="172">
        <v>44013</v>
      </c>
      <c r="B570" s="180" t="s">
        <v>130</v>
      </c>
      <c r="C570" s="162" t="s">
        <v>131</v>
      </c>
      <c r="D570" s="162">
        <v>3021602020</v>
      </c>
      <c r="E570" s="162" t="s">
        <v>132</v>
      </c>
      <c r="F570" s="162">
        <v>0</v>
      </c>
      <c r="G570" s="162" t="s">
        <v>169</v>
      </c>
      <c r="H570" s="162" t="s">
        <v>170</v>
      </c>
      <c r="I570" s="162" t="s">
        <v>197</v>
      </c>
      <c r="J570" s="163">
        <v>1956.15</v>
      </c>
      <c r="K570" s="162" t="s">
        <v>198</v>
      </c>
      <c r="L570" s="162" t="s">
        <v>135</v>
      </c>
      <c r="M570" s="162" t="s">
        <v>267</v>
      </c>
      <c r="N570" s="162" t="s">
        <v>125</v>
      </c>
      <c r="O570" s="163">
        <v>1956.15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</row>
    <row r="571" spans="1:50" x14ac:dyDescent="0.2">
      <c r="A571" s="172">
        <v>44013</v>
      </c>
      <c r="B571" s="180" t="s">
        <v>130</v>
      </c>
      <c r="C571" s="162" t="s">
        <v>131</v>
      </c>
      <c r="D571" s="162">
        <v>3021572020</v>
      </c>
      <c r="E571" s="162" t="s">
        <v>132</v>
      </c>
      <c r="F571" s="162">
        <v>0</v>
      </c>
      <c r="G571" s="162" t="s">
        <v>169</v>
      </c>
      <c r="H571" s="162" t="s">
        <v>170</v>
      </c>
      <c r="I571" s="162" t="s">
        <v>197</v>
      </c>
      <c r="J571" s="163">
        <v>3032.03</v>
      </c>
      <c r="K571" s="162" t="s">
        <v>198</v>
      </c>
      <c r="L571" s="162" t="s">
        <v>135</v>
      </c>
      <c r="M571" s="162" t="s">
        <v>268</v>
      </c>
      <c r="N571" s="162" t="s">
        <v>125</v>
      </c>
      <c r="O571" s="163">
        <v>3032.03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</row>
    <row r="572" spans="1:50" x14ac:dyDescent="0.2">
      <c r="A572" s="172">
        <v>44013</v>
      </c>
      <c r="B572" s="180" t="s">
        <v>130</v>
      </c>
      <c r="C572" s="162" t="s">
        <v>131</v>
      </c>
      <c r="D572" s="162">
        <v>3021592020</v>
      </c>
      <c r="E572" s="162" t="s">
        <v>132</v>
      </c>
      <c r="F572" s="162">
        <v>0</v>
      </c>
      <c r="G572" s="162" t="s">
        <v>169</v>
      </c>
      <c r="H572" s="162" t="s">
        <v>170</v>
      </c>
      <c r="I572" s="162" t="s">
        <v>197</v>
      </c>
      <c r="J572" s="163">
        <v>1956.15</v>
      </c>
      <c r="K572" s="162" t="s">
        <v>198</v>
      </c>
      <c r="L572" s="162" t="s">
        <v>135</v>
      </c>
      <c r="M572" s="162" t="s">
        <v>269</v>
      </c>
      <c r="N572" s="162" t="s">
        <v>125</v>
      </c>
      <c r="O572" s="163">
        <v>1956.15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</row>
    <row r="573" spans="1:50" x14ac:dyDescent="0.2">
      <c r="A573" s="172">
        <v>44013</v>
      </c>
      <c r="B573" s="180" t="s">
        <v>130</v>
      </c>
      <c r="C573" s="162" t="s">
        <v>131</v>
      </c>
      <c r="D573" s="162">
        <v>3021562020</v>
      </c>
      <c r="E573" s="162" t="s">
        <v>132</v>
      </c>
      <c r="F573" s="162">
        <v>0</v>
      </c>
      <c r="G573" s="162" t="s">
        <v>169</v>
      </c>
      <c r="H573" s="162" t="s">
        <v>170</v>
      </c>
      <c r="I573" s="162" t="s">
        <v>197</v>
      </c>
      <c r="J573" s="163">
        <v>3032.03</v>
      </c>
      <c r="K573" s="162" t="s">
        <v>198</v>
      </c>
      <c r="L573" s="162" t="s">
        <v>135</v>
      </c>
      <c r="M573" s="162" t="s">
        <v>270</v>
      </c>
      <c r="N573" s="162" t="s">
        <v>125</v>
      </c>
      <c r="O573" s="163">
        <v>3032.03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</row>
    <row r="574" spans="1:50" x14ac:dyDescent="0.2">
      <c r="A574" s="172">
        <v>44013</v>
      </c>
      <c r="B574" s="180" t="s">
        <v>130</v>
      </c>
      <c r="C574" s="162" t="s">
        <v>131</v>
      </c>
      <c r="D574" s="162">
        <v>3021532020</v>
      </c>
      <c r="E574" s="162" t="s">
        <v>132</v>
      </c>
      <c r="F574" s="162">
        <v>0</v>
      </c>
      <c r="G574" s="162" t="s">
        <v>169</v>
      </c>
      <c r="H574" s="162" t="s">
        <v>170</v>
      </c>
      <c r="I574" s="162" t="s">
        <v>197</v>
      </c>
      <c r="J574" s="163">
        <v>3558.33</v>
      </c>
      <c r="K574" s="162" t="s">
        <v>198</v>
      </c>
      <c r="L574" s="162" t="s">
        <v>135</v>
      </c>
      <c r="M574" s="162" t="s">
        <v>271</v>
      </c>
      <c r="N574" s="162" t="s">
        <v>125</v>
      </c>
      <c r="O574" s="163">
        <v>3558.33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</row>
    <row r="575" spans="1:50" x14ac:dyDescent="0.2">
      <c r="A575" s="172">
        <v>44013</v>
      </c>
      <c r="B575" s="180" t="s">
        <v>130</v>
      </c>
      <c r="C575" s="162" t="s">
        <v>131</v>
      </c>
      <c r="D575" s="162">
        <v>3021632020</v>
      </c>
      <c r="E575" s="162" t="s">
        <v>132</v>
      </c>
      <c r="F575" s="162">
        <v>0</v>
      </c>
      <c r="G575" s="162" t="s">
        <v>169</v>
      </c>
      <c r="H575" s="162" t="s">
        <v>170</v>
      </c>
      <c r="I575" s="162" t="s">
        <v>197</v>
      </c>
      <c r="J575" s="163">
        <v>3423.26</v>
      </c>
      <c r="K575" s="162" t="s">
        <v>198</v>
      </c>
      <c r="L575" s="162" t="s">
        <v>135</v>
      </c>
      <c r="M575" s="162" t="s">
        <v>272</v>
      </c>
      <c r="N575" s="162" t="s">
        <v>125</v>
      </c>
      <c r="O575" s="163">
        <v>3423.26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</row>
    <row r="576" spans="1:50" x14ac:dyDescent="0.2">
      <c r="A576" s="172">
        <v>44013</v>
      </c>
      <c r="B576" s="180" t="s">
        <v>130</v>
      </c>
      <c r="C576" s="162" t="s">
        <v>131</v>
      </c>
      <c r="D576" s="162">
        <v>3021622020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5132.5600000000004</v>
      </c>
      <c r="K576" s="162" t="s">
        <v>198</v>
      </c>
      <c r="L576" s="162" t="s">
        <v>135</v>
      </c>
      <c r="M576" s="162" t="s">
        <v>274</v>
      </c>
      <c r="N576" s="162" t="s">
        <v>125</v>
      </c>
      <c r="O576" s="163">
        <v>5132.5600000000004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</row>
    <row r="577" spans="1:29" x14ac:dyDescent="0.2">
      <c r="A577" s="172">
        <v>44013</v>
      </c>
      <c r="B577" s="180" t="s">
        <v>130</v>
      </c>
      <c r="C577" s="162" t="s">
        <v>131</v>
      </c>
      <c r="D577" s="162">
        <v>3021612020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978.07</v>
      </c>
      <c r="K577" s="162" t="s">
        <v>198</v>
      </c>
      <c r="L577" s="162" t="s">
        <v>135</v>
      </c>
      <c r="M577" s="162" t="s">
        <v>276</v>
      </c>
      <c r="N577" s="162" t="s">
        <v>125</v>
      </c>
      <c r="O577" s="163">
        <v>978.07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</row>
    <row r="578" spans="1:29" x14ac:dyDescent="0.2">
      <c r="A578" s="172">
        <v>44013</v>
      </c>
      <c r="B578" s="180" t="s">
        <v>130</v>
      </c>
      <c r="C578" s="162" t="s">
        <v>131</v>
      </c>
      <c r="D578" s="162">
        <v>3021582020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1518.34</v>
      </c>
      <c r="K578" s="162" t="s">
        <v>198</v>
      </c>
      <c r="L578" s="162" t="s">
        <v>135</v>
      </c>
      <c r="M578" s="162" t="s">
        <v>278</v>
      </c>
      <c r="N578" s="162" t="s">
        <v>125</v>
      </c>
      <c r="O578" s="163">
        <v>1518.34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</row>
    <row r="579" spans="1:29" x14ac:dyDescent="0.2">
      <c r="A579" s="172">
        <v>44013</v>
      </c>
      <c r="B579" s="180" t="s">
        <v>130</v>
      </c>
      <c r="C579" s="162" t="s">
        <v>131</v>
      </c>
      <c r="D579" s="162">
        <v>3021552020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4149.83</v>
      </c>
      <c r="K579" s="162" t="s">
        <v>198</v>
      </c>
      <c r="L579" s="162" t="s">
        <v>135</v>
      </c>
      <c r="M579" s="162" t="s">
        <v>280</v>
      </c>
      <c r="N579" s="162" t="s">
        <v>125</v>
      </c>
      <c r="O579" s="163">
        <v>4149.83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</row>
    <row r="580" spans="1:29" x14ac:dyDescent="0.2">
      <c r="A580" s="172">
        <v>44013</v>
      </c>
      <c r="B580" s="180" t="s">
        <v>130</v>
      </c>
      <c r="C580" s="162" t="s">
        <v>131</v>
      </c>
      <c r="D580" s="162">
        <v>2890632020</v>
      </c>
      <c r="E580" s="162" t="s">
        <v>132</v>
      </c>
      <c r="F580" s="162">
        <v>775</v>
      </c>
      <c r="G580" s="162" t="s">
        <v>281</v>
      </c>
      <c r="H580" s="162" t="s">
        <v>139</v>
      </c>
      <c r="I580" s="162" t="s">
        <v>282</v>
      </c>
      <c r="J580" s="163">
        <v>1074.72</v>
      </c>
      <c r="K580" s="162" t="s">
        <v>282</v>
      </c>
      <c r="L580" s="162" t="s">
        <v>135</v>
      </c>
      <c r="M580" s="162" t="s">
        <v>283</v>
      </c>
      <c r="N580" s="162" t="s">
        <v>125</v>
      </c>
      <c r="O580" s="163">
        <v>1074.72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282</v>
      </c>
      <c r="W580" s="162" t="s">
        <v>282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</row>
    <row r="581" spans="1:29" x14ac:dyDescent="0.2">
      <c r="A581" s="172">
        <v>44013</v>
      </c>
      <c r="B581" s="180" t="s">
        <v>130</v>
      </c>
      <c r="C581" s="162" t="s">
        <v>131</v>
      </c>
      <c r="D581" s="162">
        <v>2890642020</v>
      </c>
      <c r="E581" s="162" t="s">
        <v>132</v>
      </c>
      <c r="F581" s="162">
        <v>775</v>
      </c>
      <c r="G581" s="162" t="s">
        <v>281</v>
      </c>
      <c r="H581" s="162" t="s">
        <v>139</v>
      </c>
      <c r="I581" s="162" t="s">
        <v>282</v>
      </c>
      <c r="J581" s="163">
        <v>1083.75</v>
      </c>
      <c r="K581" s="162" t="s">
        <v>282</v>
      </c>
      <c r="L581" s="162" t="s">
        <v>135</v>
      </c>
      <c r="M581" s="162" t="s">
        <v>284</v>
      </c>
      <c r="N581" s="162" t="s">
        <v>125</v>
      </c>
      <c r="O581" s="163">
        <v>1083.75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282</v>
      </c>
      <c r="W581" s="162" t="s">
        <v>282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</row>
    <row r="582" spans="1:29" x14ac:dyDescent="0.2">
      <c r="A582" s="172">
        <v>44013</v>
      </c>
      <c r="B582" s="180" t="s">
        <v>130</v>
      </c>
      <c r="C582" s="162" t="s">
        <v>131</v>
      </c>
      <c r="D582" s="162">
        <v>2890652020</v>
      </c>
      <c r="E582" s="162" t="s">
        <v>132</v>
      </c>
      <c r="F582" s="162">
        <v>775</v>
      </c>
      <c r="G582" s="162" t="s">
        <v>281</v>
      </c>
      <c r="H582" s="162" t="s">
        <v>139</v>
      </c>
      <c r="I582" s="162" t="s">
        <v>282</v>
      </c>
      <c r="J582" s="163">
        <v>903.13</v>
      </c>
      <c r="K582" s="162" t="s">
        <v>282</v>
      </c>
      <c r="L582" s="162" t="s">
        <v>135</v>
      </c>
      <c r="M582" s="162" t="s">
        <v>285</v>
      </c>
      <c r="N582" s="162" t="s">
        <v>125</v>
      </c>
      <c r="O582" s="163">
        <v>903.13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282</v>
      </c>
      <c r="W582" s="162" t="s">
        <v>282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</row>
    <row r="583" spans="1:29" x14ac:dyDescent="0.2">
      <c r="A583" s="172">
        <v>44013</v>
      </c>
      <c r="B583" s="180" t="s">
        <v>130</v>
      </c>
      <c r="C583" s="162" t="s">
        <v>286</v>
      </c>
      <c r="D583" s="162" t="s">
        <v>287</v>
      </c>
      <c r="E583" s="162" t="s">
        <v>132</v>
      </c>
      <c r="F583" s="162">
        <v>0</v>
      </c>
      <c r="G583" s="162" t="s">
        <v>288</v>
      </c>
      <c r="H583" s="162" t="s">
        <v>289</v>
      </c>
      <c r="I583" s="162" t="s">
        <v>133</v>
      </c>
      <c r="J583" s="163">
        <v>60203.35</v>
      </c>
      <c r="K583" s="162" t="s">
        <v>134</v>
      </c>
      <c r="L583" s="162" t="s">
        <v>135</v>
      </c>
      <c r="M583" s="162" t="s">
        <v>290</v>
      </c>
      <c r="N583" s="162" t="s">
        <v>125</v>
      </c>
      <c r="O583" s="163">
        <v>60203.35</v>
      </c>
      <c r="P583" s="162" t="s">
        <v>136</v>
      </c>
      <c r="Q583" s="162" t="s">
        <v>136</v>
      </c>
      <c r="R583" s="162" t="s">
        <v>2</v>
      </c>
      <c r="S583" s="162" t="s">
        <v>2</v>
      </c>
      <c r="T583" s="162" t="s">
        <v>2</v>
      </c>
      <c r="U583" s="162" t="s">
        <v>127</v>
      </c>
      <c r="V583" s="162" t="s">
        <v>134</v>
      </c>
      <c r="W583" s="162" t="s">
        <v>134</v>
      </c>
      <c r="X583" s="162" t="s">
        <v>127</v>
      </c>
      <c r="Y583" s="164">
        <v>44014</v>
      </c>
      <c r="Z583" s="164">
        <v>44008</v>
      </c>
      <c r="AA583" s="164">
        <v>44008</v>
      </c>
      <c r="AB583" s="162" t="s">
        <v>137</v>
      </c>
      <c r="AC583" s="164">
        <v>43784</v>
      </c>
    </row>
    <row r="584" spans="1:29" x14ac:dyDescent="0.2">
      <c r="A584" s="172">
        <v>44013</v>
      </c>
      <c r="B584" s="180" t="s">
        <v>130</v>
      </c>
      <c r="C584" s="162" t="s">
        <v>286</v>
      </c>
      <c r="D584" s="162" t="s">
        <v>293</v>
      </c>
      <c r="E584" s="162" t="s">
        <v>132</v>
      </c>
      <c r="F584" s="162">
        <v>801</v>
      </c>
      <c r="G584" s="162" t="s">
        <v>294</v>
      </c>
      <c r="H584" s="162" t="s">
        <v>140</v>
      </c>
      <c r="I584" s="162" t="s">
        <v>147</v>
      </c>
      <c r="J584" s="163">
        <v>0</v>
      </c>
      <c r="K584" s="162" t="s">
        <v>147</v>
      </c>
      <c r="L584" s="162" t="s">
        <v>135</v>
      </c>
      <c r="M584" s="162" t="s">
        <v>295</v>
      </c>
      <c r="N584" s="162" t="s">
        <v>296</v>
      </c>
      <c r="O584" s="163">
        <v>0</v>
      </c>
      <c r="P584" s="162" t="s">
        <v>136</v>
      </c>
      <c r="Q584" s="162" t="s">
        <v>136</v>
      </c>
      <c r="R584" s="162" t="s">
        <v>2</v>
      </c>
      <c r="S584" s="162" t="s">
        <v>2</v>
      </c>
      <c r="T584" s="162" t="s">
        <v>2</v>
      </c>
      <c r="U584" s="162" t="s">
        <v>127</v>
      </c>
      <c r="V584" s="162" t="s">
        <v>147</v>
      </c>
      <c r="W584" s="162" t="s">
        <v>147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44005</v>
      </c>
    </row>
    <row r="585" spans="1:29" x14ac:dyDescent="0.2">
      <c r="A585" s="172">
        <v>44013</v>
      </c>
      <c r="B585" s="180" t="s">
        <v>130</v>
      </c>
      <c r="C585" s="162" t="s">
        <v>286</v>
      </c>
      <c r="D585" s="162" t="s">
        <v>298</v>
      </c>
      <c r="E585" s="162" t="s">
        <v>132</v>
      </c>
      <c r="F585" s="162">
        <v>621</v>
      </c>
      <c r="G585" s="162" t="s">
        <v>299</v>
      </c>
      <c r="H585" s="162" t="s">
        <v>300</v>
      </c>
      <c r="I585" s="162" t="s">
        <v>171</v>
      </c>
      <c r="J585" s="163">
        <v>444.72</v>
      </c>
      <c r="K585" s="162" t="s">
        <v>172</v>
      </c>
      <c r="L585" s="162" t="s">
        <v>135</v>
      </c>
      <c r="M585" s="162" t="s">
        <v>301</v>
      </c>
      <c r="N585" s="162" t="s">
        <v>302</v>
      </c>
      <c r="O585" s="163">
        <v>444.72</v>
      </c>
      <c r="P585" s="162" t="s">
        <v>149</v>
      </c>
      <c r="Q585" s="162" t="s">
        <v>149</v>
      </c>
      <c r="R585" s="162" t="s">
        <v>2</v>
      </c>
      <c r="S585" s="162" t="s">
        <v>2</v>
      </c>
      <c r="T585" s="162" t="s">
        <v>2</v>
      </c>
      <c r="U585" s="162" t="s">
        <v>127</v>
      </c>
      <c r="V585" s="162" t="s">
        <v>172</v>
      </c>
      <c r="W585" s="162" t="s">
        <v>172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</row>
    <row r="586" spans="1:29" x14ac:dyDescent="0.2">
      <c r="A586" s="172">
        <v>44013</v>
      </c>
      <c r="B586" s="180" t="s">
        <v>130</v>
      </c>
      <c r="C586" s="162" t="s">
        <v>286</v>
      </c>
      <c r="D586" s="162" t="s">
        <v>304</v>
      </c>
      <c r="E586" s="162" t="s">
        <v>132</v>
      </c>
      <c r="F586" s="162">
        <v>222</v>
      </c>
      <c r="G586" s="162">
        <v>48826</v>
      </c>
      <c r="H586" s="162" t="s">
        <v>305</v>
      </c>
      <c r="I586" s="162" t="s">
        <v>197</v>
      </c>
      <c r="J586" s="163">
        <v>823.36</v>
      </c>
      <c r="K586" s="162" t="s">
        <v>198</v>
      </c>
      <c r="L586" s="162" t="s">
        <v>135</v>
      </c>
      <c r="M586" s="162" t="s">
        <v>306</v>
      </c>
      <c r="N586" s="162" t="s">
        <v>302</v>
      </c>
      <c r="O586" s="163">
        <v>823.36</v>
      </c>
      <c r="P586" s="162" t="s">
        <v>149</v>
      </c>
      <c r="Q586" s="162" t="s">
        <v>149</v>
      </c>
      <c r="R586" s="162" t="s">
        <v>2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</row>
    <row r="587" spans="1:29" x14ac:dyDescent="0.2">
      <c r="A587" s="172">
        <v>44013</v>
      </c>
      <c r="B587" s="180" t="s">
        <v>130</v>
      </c>
      <c r="C587" s="162" t="s">
        <v>286</v>
      </c>
      <c r="D587" s="162" t="s">
        <v>298</v>
      </c>
      <c r="E587" s="162" t="s">
        <v>132</v>
      </c>
      <c r="F587" s="162">
        <v>621</v>
      </c>
      <c r="G587" s="162" t="s">
        <v>299</v>
      </c>
      <c r="H587" s="162" t="s">
        <v>300</v>
      </c>
      <c r="I587" s="162" t="s">
        <v>197</v>
      </c>
      <c r="J587" s="163">
        <v>8914.3799999999992</v>
      </c>
      <c r="K587" s="162" t="s">
        <v>198</v>
      </c>
      <c r="L587" s="162" t="s">
        <v>135</v>
      </c>
      <c r="M587" s="162" t="s">
        <v>307</v>
      </c>
      <c r="N587" s="162" t="s">
        <v>302</v>
      </c>
      <c r="O587" s="163">
        <v>32457.26</v>
      </c>
      <c r="P587" s="162" t="s">
        <v>149</v>
      </c>
      <c r="Q587" s="162" t="s">
        <v>149</v>
      </c>
      <c r="R587" s="162" t="s">
        <v>2</v>
      </c>
      <c r="S587" s="162" t="s">
        <v>2</v>
      </c>
      <c r="T587" s="162" t="s">
        <v>2</v>
      </c>
      <c r="U587" s="162" t="s">
        <v>128</v>
      </c>
      <c r="V587" s="162" t="s">
        <v>308</v>
      </c>
      <c r="W587" s="162" t="s">
        <v>308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</row>
    <row r="588" spans="1:29" x14ac:dyDescent="0.2">
      <c r="A588" s="172">
        <v>44013</v>
      </c>
      <c r="B588" s="180" t="s">
        <v>130</v>
      </c>
      <c r="C588" s="162" t="s">
        <v>286</v>
      </c>
      <c r="D588" s="162" t="s">
        <v>309</v>
      </c>
      <c r="E588" s="162" t="s">
        <v>132</v>
      </c>
      <c r="F588" s="162">
        <v>793</v>
      </c>
      <c r="G588" s="162" t="s">
        <v>310</v>
      </c>
      <c r="H588" s="162" t="s">
        <v>311</v>
      </c>
      <c r="I588" s="162" t="s">
        <v>197</v>
      </c>
      <c r="J588" s="163">
        <v>16619.09</v>
      </c>
      <c r="K588" s="162" t="s">
        <v>198</v>
      </c>
      <c r="L588" s="162" t="s">
        <v>135</v>
      </c>
      <c r="M588" s="162" t="s">
        <v>312</v>
      </c>
      <c r="N588" s="162" t="s">
        <v>125</v>
      </c>
      <c r="O588" s="163">
        <v>62819.99</v>
      </c>
      <c r="P588" s="162" t="s">
        <v>136</v>
      </c>
      <c r="Q588" s="162" t="s">
        <v>136</v>
      </c>
      <c r="R588" s="162" t="s">
        <v>2</v>
      </c>
      <c r="S588" s="162" t="s">
        <v>2</v>
      </c>
      <c r="T588" s="162" t="s">
        <v>2</v>
      </c>
      <c r="U588" s="162" t="s">
        <v>128</v>
      </c>
      <c r="V588" s="162" t="s">
        <v>313</v>
      </c>
      <c r="W588" s="162" t="s">
        <v>313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44012</v>
      </c>
    </row>
  </sheetData>
  <phoneticPr fontId="66" type="noConversion"/>
  <conditionalFormatting sqref="A5:AQ12">
    <cfRule type="expression" dxfId="0" priority="24">
      <formula>$AO5 = "in progress"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H7" zoomScale="115" zoomScaleNormal="115" workbookViewId="0">
      <selection activeCell="BJ9" sqref="BJ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9"/>
  <sheetViews>
    <sheetView showGridLines="0" tabSelected="1" workbookViewId="0">
      <pane ySplit="3" topLeftCell="A4" activePane="bottomLeft" state="frozen"/>
      <selection pane="bottomLeft" activeCell="E11" sqref="E11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v0.02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427</v>
      </c>
      <c r="B4" s="7" t="s">
        <v>428</v>
      </c>
      <c r="M4" s="28"/>
    </row>
    <row r="5" spans="1:13" ht="15" x14ac:dyDescent="0.25">
      <c r="A5" s="6" t="s">
        <v>123</v>
      </c>
      <c r="B5" s="7" t="s">
        <v>124</v>
      </c>
      <c r="M5" s="28"/>
    </row>
    <row r="6" spans="1:13" ht="15" x14ac:dyDescent="0.25">
      <c r="A6" s="6" t="s">
        <v>0</v>
      </c>
      <c r="B6" s="7" t="s">
        <v>122</v>
      </c>
      <c r="M6" s="28"/>
    </row>
    <row r="7" spans="1:13" ht="15" x14ac:dyDescent="0.25">
      <c r="A7" s="6"/>
      <c r="B7" s="7"/>
      <c r="M7" s="28"/>
    </row>
    <row r="8" spans="1:13" ht="15" x14ac:dyDescent="0.25">
      <c r="A8" s="6"/>
      <c r="B8" s="10"/>
      <c r="M8" s="28"/>
    </row>
    <row r="9" spans="1:13" ht="15" x14ac:dyDescent="0.25">
      <c r="A9" s="6"/>
      <c r="B9" s="7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10"/>
      <c r="M11" s="28"/>
    </row>
    <row r="12" spans="1:13" ht="15" x14ac:dyDescent="0.25">
      <c r="A12" s="6"/>
      <c r="B12" s="7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7"/>
      <c r="M14" s="28"/>
    </row>
    <row r="15" spans="1:13" ht="15" x14ac:dyDescent="0.25">
      <c r="A15" s="6"/>
      <c r="B15" s="10"/>
      <c r="M15" s="28"/>
    </row>
    <row r="16" spans="1:13" ht="15" x14ac:dyDescent="0.25">
      <c r="A16" s="6"/>
      <c r="B16" s="7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10"/>
      <c r="M18" s="28"/>
    </row>
    <row r="19" spans="1:13" ht="15" x14ac:dyDescent="0.25">
      <c r="A19" s="6"/>
      <c r="B19" s="7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10"/>
      <c r="M21" s="28"/>
    </row>
    <row r="22" spans="1:13" ht="15" x14ac:dyDescent="0.25">
      <c r="A22" s="6"/>
      <c r="B22" s="7"/>
      <c r="M22" s="28"/>
    </row>
    <row r="23" spans="1:13" ht="15" x14ac:dyDescent="0.25">
      <c r="A23" s="6"/>
      <c r="B23" s="10"/>
      <c r="M23" s="28"/>
    </row>
    <row r="24" spans="1:13" ht="15" x14ac:dyDescent="0.25">
      <c r="A24" s="6"/>
      <c r="B24" s="7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10"/>
      <c r="M26" s="28"/>
    </row>
    <row r="27" spans="1:13" ht="15" x14ac:dyDescent="0.25">
      <c r="A27" s="6"/>
      <c r="B27" s="7"/>
      <c r="M27" s="28"/>
    </row>
    <row r="28" spans="1:13" ht="15" x14ac:dyDescent="0.25">
      <c r="A28" s="6"/>
      <c r="B28" s="10"/>
      <c r="M28" s="28"/>
    </row>
    <row r="29" spans="1:13" ht="15" x14ac:dyDescent="0.25">
      <c r="A29" s="11"/>
      <c r="B29" s="12"/>
      <c r="M29" s="28"/>
    </row>
    <row r="30" spans="1:13" ht="15" x14ac:dyDescent="0.25">
      <c r="A30" s="6"/>
      <c r="B30" s="7"/>
      <c r="M30" s="28"/>
    </row>
    <row r="31" spans="1:13" ht="15" x14ac:dyDescent="0.25">
      <c r="A31" s="6"/>
      <c r="B31" s="10" t="s">
        <v>13</v>
      </c>
      <c r="M31" s="28"/>
    </row>
    <row r="32" spans="1:13" ht="15" x14ac:dyDescent="0.25">
      <c r="A32" s="11"/>
      <c r="B32" s="12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7"/>
      <c r="M34" s="28"/>
    </row>
    <row r="35" spans="1:13" ht="15" x14ac:dyDescent="0.25">
      <c r="A35" s="6"/>
      <c r="B35" s="10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7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10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7"/>
      <c r="M47" s="28"/>
    </row>
    <row r="48" spans="1:13" ht="15" x14ac:dyDescent="0.25">
      <c r="A48" s="6"/>
      <c r="B48" s="10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7"/>
      <c r="M53" s="28"/>
    </row>
    <row r="54" spans="1:13" ht="15" x14ac:dyDescent="0.25">
      <c r="A54" s="6"/>
      <c r="B54" s="10"/>
      <c r="M54" s="28"/>
    </row>
    <row r="55" spans="1:13" ht="15" x14ac:dyDescent="0.25">
      <c r="A55" s="6"/>
      <c r="B55" s="7"/>
      <c r="M55" s="28"/>
    </row>
    <row r="56" spans="1:13" ht="15" x14ac:dyDescent="0.25">
      <c r="A56" s="6"/>
      <c r="B56" s="10"/>
      <c r="M56" s="28"/>
    </row>
    <row r="57" spans="1:13" ht="15" x14ac:dyDescent="0.25">
      <c r="A57" s="6"/>
      <c r="B57" s="7"/>
      <c r="M57" s="28"/>
    </row>
    <row r="58" spans="1:13" ht="15" x14ac:dyDescent="0.25">
      <c r="A58" s="6"/>
      <c r="B58" s="10"/>
      <c r="M58" s="28"/>
    </row>
    <row r="59" spans="1:13" ht="15" x14ac:dyDescent="0.25">
      <c r="A59" s="11"/>
      <c r="B59" s="12"/>
      <c r="M59" s="28"/>
    </row>
    <row r="60" spans="1:13" ht="15" x14ac:dyDescent="0.25">
      <c r="A60" s="11"/>
      <c r="B60" s="10"/>
      <c r="M60" s="28"/>
    </row>
    <row r="61" spans="1:13" ht="15" x14ac:dyDescent="0.25">
      <c r="A61" s="6"/>
      <c r="B61" s="7"/>
      <c r="M61" s="28"/>
    </row>
    <row r="62" spans="1:13" ht="15" x14ac:dyDescent="0.25">
      <c r="A62" s="6"/>
      <c r="B62" s="10"/>
      <c r="M62" s="28"/>
    </row>
    <row r="63" spans="1:13" ht="15" x14ac:dyDescent="0.25">
      <c r="A63" s="6"/>
      <c r="B63" s="7"/>
      <c r="M63" s="28"/>
    </row>
    <row r="64" spans="1:13" ht="15" x14ac:dyDescent="0.25">
      <c r="A64" s="6"/>
      <c r="B64" s="10"/>
      <c r="M64" s="28"/>
    </row>
    <row r="65" spans="1:13" ht="15" x14ac:dyDescent="0.25">
      <c r="A65" s="6"/>
      <c r="B65" s="7"/>
      <c r="M65" s="28"/>
    </row>
    <row r="66" spans="1:13" ht="15" x14ac:dyDescent="0.25">
      <c r="A66" s="6"/>
      <c r="B66" s="10"/>
      <c r="M66" s="28"/>
    </row>
    <row r="67" spans="1:13" ht="15" x14ac:dyDescent="0.25">
      <c r="A67" s="11"/>
      <c r="B67" s="12"/>
      <c r="M67" s="28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11"/>
      <c r="B73" s="10"/>
    </row>
    <row r="74" spans="1:13" ht="15" x14ac:dyDescent="0.25">
      <c r="A74" s="6"/>
      <c r="B74" s="7"/>
    </row>
    <row r="75" spans="1:13" ht="15" x14ac:dyDescent="0.25">
      <c r="A75" s="6"/>
      <c r="B75" s="7"/>
    </row>
    <row r="76" spans="1:13" ht="15" x14ac:dyDescent="0.25">
      <c r="A76" s="6"/>
      <c r="B76" s="10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7"/>
    </row>
    <row r="80" spans="1:13" ht="15" x14ac:dyDescent="0.25">
      <c r="A80" s="6"/>
      <c r="B80" s="10"/>
    </row>
    <row r="81" spans="1:2" ht="15" x14ac:dyDescent="0.25">
      <c r="A81" s="6"/>
      <c r="B81" s="7"/>
    </row>
    <row r="82" spans="1:2" ht="15" x14ac:dyDescent="0.25">
      <c r="A82" s="11"/>
      <c r="B82" s="12"/>
    </row>
    <row r="83" spans="1:2" ht="15" x14ac:dyDescent="0.25">
      <c r="A83" s="11"/>
      <c r="B83" s="10"/>
    </row>
    <row r="84" spans="1:2" ht="15" x14ac:dyDescent="0.25">
      <c r="A84" s="6"/>
      <c r="B84" s="7"/>
    </row>
    <row r="85" spans="1:2" ht="15" x14ac:dyDescent="0.25">
      <c r="A85" s="11"/>
      <c r="B85" s="12"/>
    </row>
    <row r="86" spans="1:2" ht="15" x14ac:dyDescent="0.25">
      <c r="A86" s="11"/>
      <c r="B86" s="10"/>
    </row>
    <row r="87" spans="1:2" ht="15" x14ac:dyDescent="0.25">
      <c r="A87" s="6"/>
      <c r="B87" s="7"/>
    </row>
    <row r="88" spans="1:2" ht="15" x14ac:dyDescent="0.25">
      <c r="A88" s="6"/>
      <c r="B88" s="7"/>
    </row>
    <row r="89" spans="1:2" ht="15" x14ac:dyDescent="0.25">
      <c r="A89" s="6"/>
      <c r="B89" s="10"/>
    </row>
    <row r="90" spans="1:2" ht="15" x14ac:dyDescent="0.25">
      <c r="A90" s="11"/>
      <c r="B90" s="12"/>
    </row>
    <row r="91" spans="1:2" ht="15" x14ac:dyDescent="0.25">
      <c r="A91" s="11"/>
      <c r="B91" s="7"/>
    </row>
    <row r="92" spans="1:2" ht="15" x14ac:dyDescent="0.25">
      <c r="A92" s="6"/>
      <c r="B92" s="7"/>
    </row>
    <row r="93" spans="1:2" ht="15" x14ac:dyDescent="0.25">
      <c r="A93" s="6"/>
      <c r="B93" s="10"/>
    </row>
    <row r="94" spans="1:2" ht="15" x14ac:dyDescent="0.25">
      <c r="A94" s="6"/>
      <c r="B94" s="7"/>
    </row>
    <row r="95" spans="1:2" ht="15" x14ac:dyDescent="0.25">
      <c r="A95" s="6"/>
      <c r="B95" s="10"/>
    </row>
    <row r="96" spans="1:2" ht="15" x14ac:dyDescent="0.25">
      <c r="A96" s="6"/>
      <c r="B96" s="7"/>
    </row>
    <row r="97" spans="1:2" ht="15" x14ac:dyDescent="0.25">
      <c r="A97" s="6"/>
      <c r="B97" s="10"/>
    </row>
    <row r="98" spans="1:2" ht="15" x14ac:dyDescent="0.25">
      <c r="A98" s="6"/>
      <c r="B98" s="7"/>
    </row>
    <row r="99" spans="1:2" ht="15" x14ac:dyDescent="0.25">
      <c r="A99" s="6"/>
      <c r="B99" s="10"/>
    </row>
    <row r="100" spans="1:2" ht="15" x14ac:dyDescent="0.25">
      <c r="A100" s="6"/>
      <c r="B100" s="7"/>
    </row>
    <row r="101" spans="1:2" ht="15" x14ac:dyDescent="0.25">
      <c r="A101" s="6"/>
      <c r="B101" s="10"/>
    </row>
    <row r="102" spans="1:2" ht="15" x14ac:dyDescent="0.25">
      <c r="A102" s="6"/>
      <c r="B102" s="7"/>
    </row>
    <row r="103" spans="1:2" ht="15" x14ac:dyDescent="0.25">
      <c r="A103" s="6"/>
      <c r="B103" s="10"/>
    </row>
    <row r="104" spans="1:2" ht="15" x14ac:dyDescent="0.25">
      <c r="A104" s="6"/>
      <c r="B104" s="7"/>
    </row>
    <row r="105" spans="1:2" ht="15" x14ac:dyDescent="0.25">
      <c r="A105" s="6"/>
      <c r="B105" s="10"/>
    </row>
    <row r="106" spans="1:2" ht="15" x14ac:dyDescent="0.25">
      <c r="A106" s="6"/>
      <c r="B106" s="7"/>
    </row>
    <row r="107" spans="1:2" ht="15" x14ac:dyDescent="0.25">
      <c r="A107" s="6"/>
      <c r="B107" s="10"/>
    </row>
    <row r="108" spans="1:2" ht="15" x14ac:dyDescent="0.25">
      <c r="A108" s="6"/>
      <c r="B108" s="7"/>
    </row>
    <row r="109" spans="1:2" ht="15" x14ac:dyDescent="0.25">
      <c r="A109" s="6"/>
      <c r="B109" s="10"/>
    </row>
    <row r="110" spans="1:2" ht="15" x14ac:dyDescent="0.25">
      <c r="A110" s="6"/>
      <c r="B110" s="7"/>
    </row>
    <row r="111" spans="1:2" ht="15" x14ac:dyDescent="0.25">
      <c r="A111" s="6"/>
      <c r="B111" s="10"/>
    </row>
    <row r="112" spans="1:2" ht="15" x14ac:dyDescent="0.25">
      <c r="A112" s="6"/>
      <c r="B112" s="7"/>
    </row>
    <row r="113" spans="1:2" ht="15" x14ac:dyDescent="0.25">
      <c r="A113" s="6"/>
      <c r="B113" s="10"/>
    </row>
    <row r="114" spans="1:2" ht="15" x14ac:dyDescent="0.25">
      <c r="A114" s="11"/>
      <c r="B114" s="12"/>
    </row>
    <row r="115" spans="1:2" ht="15" x14ac:dyDescent="0.25">
      <c r="A115" s="11"/>
      <c r="B115" s="10"/>
    </row>
    <row r="116" spans="1:2" ht="15" x14ac:dyDescent="0.25">
      <c r="A116" s="6"/>
      <c r="B116" s="7"/>
    </row>
    <row r="117" spans="1:2" ht="15" x14ac:dyDescent="0.25">
      <c r="A117" s="6"/>
      <c r="B117" s="10"/>
    </row>
    <row r="118" spans="1:2" ht="15" x14ac:dyDescent="0.25">
      <c r="A118" s="6"/>
      <c r="B118" s="7"/>
    </row>
    <row r="119" spans="1:2" ht="15" x14ac:dyDescent="0.25">
      <c r="A119" s="6"/>
      <c r="B119" s="10"/>
    </row>
    <row r="120" spans="1:2" ht="15" x14ac:dyDescent="0.25">
      <c r="A120" s="6"/>
      <c r="B120" s="7"/>
    </row>
    <row r="121" spans="1:2" ht="15" x14ac:dyDescent="0.25">
      <c r="A121" s="6"/>
      <c r="B121" s="7"/>
    </row>
    <row r="122" spans="1:2" ht="15" x14ac:dyDescent="0.25">
      <c r="A122" s="6"/>
      <c r="B122" s="10"/>
    </row>
    <row r="123" spans="1:2" ht="15" x14ac:dyDescent="0.25">
      <c r="A123" s="6"/>
      <c r="B123" s="7"/>
    </row>
    <row r="124" spans="1:2" ht="15" x14ac:dyDescent="0.25">
      <c r="A124" s="6"/>
      <c r="B124" s="10"/>
    </row>
    <row r="125" spans="1:2" ht="15" x14ac:dyDescent="0.25">
      <c r="A125" s="11"/>
      <c r="B125" s="12"/>
    </row>
    <row r="126" spans="1:2" ht="15" x14ac:dyDescent="0.25">
      <c r="A126" s="11"/>
      <c r="B126" s="10"/>
    </row>
    <row r="127" spans="1:2" ht="15" x14ac:dyDescent="0.25">
      <c r="A127" s="11"/>
      <c r="B127" s="10"/>
    </row>
    <row r="128" spans="1:2" ht="15" x14ac:dyDescent="0.25">
      <c r="A128" s="6"/>
      <c r="B128" s="7"/>
    </row>
    <row r="129" spans="1:2" ht="15" x14ac:dyDescent="0.25">
      <c r="A129" s="6"/>
      <c r="B129" s="10"/>
    </row>
    <row r="130" spans="1:2" ht="15" x14ac:dyDescent="0.25">
      <c r="A130" s="6"/>
      <c r="B130" s="7"/>
    </row>
    <row r="131" spans="1:2" ht="15" x14ac:dyDescent="0.25">
      <c r="A131" s="6"/>
      <c r="B131" s="10"/>
    </row>
    <row r="132" spans="1:2" ht="15" x14ac:dyDescent="0.25">
      <c r="A132" s="6"/>
      <c r="B132" s="7"/>
    </row>
    <row r="133" spans="1:2" ht="15" x14ac:dyDescent="0.25">
      <c r="A133" s="6"/>
      <c r="B133" s="10"/>
    </row>
    <row r="134" spans="1:2" ht="15" x14ac:dyDescent="0.25">
      <c r="A134" s="6"/>
      <c r="B134" s="7"/>
    </row>
    <row r="135" spans="1:2" ht="15" x14ac:dyDescent="0.25">
      <c r="A135" s="6"/>
      <c r="B135" s="10"/>
    </row>
    <row r="136" spans="1:2" ht="15" x14ac:dyDescent="0.25">
      <c r="A136" s="6"/>
      <c r="B136" s="7"/>
    </row>
    <row r="137" spans="1:2" ht="15" x14ac:dyDescent="0.25">
      <c r="A137" s="6"/>
      <c r="B137" s="10"/>
    </row>
    <row r="138" spans="1:2" ht="15" x14ac:dyDescent="0.25">
      <c r="A138" s="6"/>
      <c r="B138" s="7"/>
    </row>
    <row r="139" spans="1:2" ht="15" x14ac:dyDescent="0.25">
      <c r="A139" s="6"/>
      <c r="B139" s="10"/>
    </row>
    <row r="140" spans="1:2" ht="15" x14ac:dyDescent="0.25">
      <c r="A140" s="6"/>
      <c r="B140" s="7"/>
    </row>
    <row r="141" spans="1:2" ht="15" x14ac:dyDescent="0.25">
      <c r="A141" s="6"/>
      <c r="B141" s="10"/>
    </row>
    <row r="142" spans="1:2" ht="15" x14ac:dyDescent="0.25">
      <c r="A142" s="11"/>
      <c r="B142" s="12"/>
    </row>
    <row r="143" spans="1:2" ht="15" x14ac:dyDescent="0.25">
      <c r="A143" s="11"/>
      <c r="B143" s="10"/>
    </row>
    <row r="144" spans="1:2" ht="15" x14ac:dyDescent="0.25">
      <c r="A144" s="11"/>
      <c r="B144" s="12"/>
    </row>
    <row r="145" spans="1:2" ht="15" x14ac:dyDescent="0.25">
      <c r="A145" s="11"/>
      <c r="B145" s="10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7"/>
    </row>
    <row r="149" spans="1:2" ht="15" x14ac:dyDescent="0.25">
      <c r="A149" s="6"/>
      <c r="B149" s="10"/>
    </row>
    <row r="150" spans="1:2" ht="15" x14ac:dyDescent="0.25">
      <c r="A150" s="6"/>
      <c r="B150" s="10"/>
    </row>
    <row r="151" spans="1:2" ht="15" x14ac:dyDescent="0.25">
      <c r="A151" s="6"/>
      <c r="B151" s="7"/>
    </row>
    <row r="152" spans="1:2" ht="15" x14ac:dyDescent="0.25">
      <c r="A152" s="6"/>
      <c r="B152" s="10"/>
    </row>
    <row r="153" spans="1:2" ht="15" x14ac:dyDescent="0.25">
      <c r="A153" s="6"/>
      <c r="B153" s="7"/>
    </row>
    <row r="154" spans="1:2" ht="15" x14ac:dyDescent="0.25">
      <c r="A154" s="6"/>
      <c r="B154" s="10"/>
    </row>
    <row r="155" spans="1:2" ht="15" x14ac:dyDescent="0.25">
      <c r="A155" s="6"/>
      <c r="B155" s="7"/>
    </row>
    <row r="156" spans="1:2" ht="15" x14ac:dyDescent="0.25">
      <c r="A156" s="6"/>
      <c r="B156" s="10"/>
    </row>
    <row r="157" spans="1:2" ht="15" x14ac:dyDescent="0.25">
      <c r="A157" s="6"/>
      <c r="B157" s="7"/>
    </row>
    <row r="158" spans="1:2" ht="15" x14ac:dyDescent="0.25">
      <c r="A158" s="6"/>
      <c r="B158" s="10"/>
    </row>
    <row r="159" spans="1:2" ht="15" x14ac:dyDescent="0.25">
      <c r="A159" s="11"/>
      <c r="B159" s="12"/>
    </row>
    <row r="160" spans="1:2" ht="15" x14ac:dyDescent="0.25">
      <c r="A160" s="11"/>
      <c r="B160" s="10"/>
    </row>
    <row r="161" spans="1:2" ht="15" x14ac:dyDescent="0.25">
      <c r="A161" s="6"/>
      <c r="B161" s="7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10"/>
    </row>
    <row r="165" spans="1:2" ht="15" x14ac:dyDescent="0.25">
      <c r="A165" s="6"/>
      <c r="B165" s="7"/>
    </row>
    <row r="166" spans="1:2" ht="15" x14ac:dyDescent="0.25">
      <c r="A166" s="6"/>
      <c r="B166" s="10"/>
    </row>
    <row r="167" spans="1:2" ht="15" x14ac:dyDescent="0.25">
      <c r="A167" s="6"/>
      <c r="B167" s="7"/>
    </row>
    <row r="168" spans="1:2" ht="15" x14ac:dyDescent="0.25">
      <c r="A168" s="6"/>
      <c r="B168" s="7"/>
    </row>
    <row r="169" spans="1:2" ht="15" x14ac:dyDescent="0.25">
      <c r="A169" s="6"/>
      <c r="B169" s="10"/>
    </row>
    <row r="170" spans="1:2" ht="15" x14ac:dyDescent="0.25">
      <c r="A170" s="6"/>
      <c r="B170" s="10"/>
    </row>
    <row r="171" spans="1:2" ht="15" x14ac:dyDescent="0.25">
      <c r="A171" s="11"/>
      <c r="B171" s="12"/>
    </row>
    <row r="172" spans="1:2" ht="15" x14ac:dyDescent="0.25">
      <c r="A172" s="11"/>
      <c r="B172" s="10"/>
    </row>
    <row r="173" spans="1:2" ht="15" x14ac:dyDescent="0.25">
      <c r="A173" s="6"/>
      <c r="B173" s="7"/>
    </row>
    <row r="174" spans="1:2" ht="15" x14ac:dyDescent="0.25">
      <c r="A174" s="6"/>
      <c r="B174" s="10"/>
    </row>
    <row r="175" spans="1:2" ht="15" x14ac:dyDescent="0.25">
      <c r="A175" s="6"/>
      <c r="B175" s="7"/>
    </row>
    <row r="176" spans="1:2" ht="15" x14ac:dyDescent="0.25">
      <c r="A176" s="6"/>
      <c r="B176" s="10"/>
    </row>
    <row r="177" spans="1:2" ht="15" x14ac:dyDescent="0.25">
      <c r="A177" s="6"/>
      <c r="B177" s="7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10"/>
    </row>
    <row r="182" spans="1:2" ht="15" x14ac:dyDescent="0.25">
      <c r="A182" s="6"/>
      <c r="B182" s="7"/>
    </row>
    <row r="183" spans="1:2" ht="15" x14ac:dyDescent="0.25">
      <c r="A183" s="6"/>
      <c r="B183" s="10"/>
    </row>
    <row r="184" spans="1:2" ht="15" x14ac:dyDescent="0.25">
      <c r="A184" s="6"/>
      <c r="B184" s="7"/>
    </row>
    <row r="185" spans="1:2" ht="15" x14ac:dyDescent="0.25">
      <c r="A185" s="6"/>
      <c r="B185" s="10"/>
    </row>
    <row r="186" spans="1:2" ht="15" x14ac:dyDescent="0.25">
      <c r="A186" s="6"/>
      <c r="B186" s="7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10"/>
    </row>
    <row r="190" spans="1:2" ht="15" x14ac:dyDescent="0.25">
      <c r="A190" s="6"/>
      <c r="B190" s="7"/>
    </row>
    <row r="191" spans="1:2" ht="15" x14ac:dyDescent="0.25">
      <c r="A191" s="6"/>
      <c r="B191" s="10"/>
    </row>
    <row r="192" spans="1:2" ht="15" x14ac:dyDescent="0.25">
      <c r="A192" s="6"/>
      <c r="B192" s="7"/>
    </row>
    <row r="193" spans="1:2" ht="15" x14ac:dyDescent="0.25">
      <c r="A193" s="6"/>
      <c r="B193" s="10"/>
    </row>
    <row r="194" spans="1:2" ht="15" x14ac:dyDescent="0.25">
      <c r="A194" s="6"/>
      <c r="B194" s="7"/>
    </row>
    <row r="195" spans="1:2" ht="15" x14ac:dyDescent="0.25">
      <c r="A195" s="6"/>
      <c r="B195" s="10"/>
    </row>
    <row r="196" spans="1:2" ht="15" x14ac:dyDescent="0.25">
      <c r="A196" s="6"/>
      <c r="B196" s="10"/>
    </row>
    <row r="197" spans="1:2" ht="15" x14ac:dyDescent="0.25">
      <c r="A197" s="6"/>
      <c r="B197" s="7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10"/>
    </row>
    <row r="201" spans="1:2" ht="15" x14ac:dyDescent="0.25">
      <c r="A201" s="6"/>
      <c r="B201" s="7"/>
    </row>
    <row r="202" spans="1:2" ht="15" x14ac:dyDescent="0.25">
      <c r="A202" s="6"/>
      <c r="B202" s="10"/>
    </row>
    <row r="203" spans="1:2" ht="15" x14ac:dyDescent="0.25">
      <c r="A203" s="6"/>
      <c r="B203" s="7"/>
    </row>
    <row r="204" spans="1:2" ht="15" x14ac:dyDescent="0.25">
      <c r="A204" s="6"/>
      <c r="B204" s="10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  <row r="209" spans="1:2" ht="15" x14ac:dyDescent="0.25">
      <c r="A209" s="6"/>
      <c r="B209" s="7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Y201"/>
  <sheetViews>
    <sheetView showGridLines="0" topLeftCell="H1" zoomScaleNormal="100" workbookViewId="0">
      <pane ySplit="2" topLeftCell="A3" activePane="bottomLeft" state="frozen"/>
      <selection pane="bottomLeft" activeCell="X19" sqref="X19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314</v>
      </c>
      <c r="C2" s="3"/>
      <c r="D2" s="3"/>
      <c r="E2" s="19"/>
    </row>
    <row r="3" spans="1:25" ht="12" customHeight="1" x14ac:dyDescent="0.2">
      <c r="A3" s="14" t="s">
        <v>388</v>
      </c>
      <c r="C3" s="14" t="s">
        <v>401</v>
      </c>
      <c r="D3"/>
      <c r="E3" s="165" t="s">
        <v>402</v>
      </c>
      <c r="F3" s="44"/>
      <c r="G3" s="165" t="s">
        <v>399</v>
      </c>
      <c r="H3" s="165"/>
      <c r="I3" s="166" t="s">
        <v>40</v>
      </c>
      <c r="J3" s="165"/>
      <c r="K3" t="s">
        <v>46</v>
      </c>
      <c r="L3" s="165"/>
      <c r="M3" t="s">
        <v>409</v>
      </c>
      <c r="O3" t="s">
        <v>413</v>
      </c>
      <c r="Q3" t="s">
        <v>412</v>
      </c>
      <c r="S3" t="s">
        <v>31</v>
      </c>
      <c r="U3" t="s">
        <v>414</v>
      </c>
      <c r="W3" t="s">
        <v>415</v>
      </c>
      <c r="Y3" t="s">
        <v>32</v>
      </c>
    </row>
    <row r="4" spans="1:25" ht="12" customHeight="1" x14ac:dyDescent="0.2">
      <c r="A4" s="14" t="s">
        <v>389</v>
      </c>
      <c r="C4" s="191" t="s">
        <v>400</v>
      </c>
      <c r="D4"/>
      <c r="E4" s="185" t="s">
        <v>398</v>
      </c>
      <c r="F4" s="44"/>
      <c r="G4" s="185" t="s">
        <v>420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410</v>
      </c>
      <c r="Q4" s="189">
        <v>0</v>
      </c>
      <c r="S4" t="s">
        <v>104</v>
      </c>
      <c r="U4" s="189">
        <v>0</v>
      </c>
      <c r="W4" s="189">
        <v>0</v>
      </c>
      <c r="Y4" s="5" t="s">
        <v>107</v>
      </c>
    </row>
    <row r="5" spans="1:25" ht="12" customHeight="1" x14ac:dyDescent="0.2">
      <c r="A5" s="14" t="s">
        <v>390</v>
      </c>
      <c r="C5" s="191" t="s">
        <v>94</v>
      </c>
      <c r="D5"/>
      <c r="E5" s="14" t="s">
        <v>393</v>
      </c>
      <c r="F5" s="44"/>
      <c r="G5" s="185" t="s">
        <v>406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411</v>
      </c>
      <c r="Q5" s="189">
        <v>1</v>
      </c>
      <c r="S5" t="s">
        <v>418</v>
      </c>
      <c r="U5" s="189">
        <v>1</v>
      </c>
      <c r="W5" s="189">
        <v>1</v>
      </c>
      <c r="Y5" s="5" t="s">
        <v>421</v>
      </c>
    </row>
    <row r="6" spans="1:25" ht="12" customHeight="1" x14ac:dyDescent="0.2">
      <c r="A6" s="14" t="s">
        <v>391</v>
      </c>
      <c r="C6" s="191" t="s">
        <v>97</v>
      </c>
      <c r="D6"/>
      <c r="E6" s="185" t="s">
        <v>395</v>
      </c>
      <c r="F6" s="44"/>
      <c r="G6" s="14" t="s">
        <v>407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419</v>
      </c>
      <c r="U6" s="189">
        <v>2</v>
      </c>
      <c r="W6" s="189">
        <v>2</v>
      </c>
      <c r="Y6" s="5" t="s">
        <v>422</v>
      </c>
    </row>
    <row r="7" spans="1:25" ht="12" customHeight="1" x14ac:dyDescent="0.2">
      <c r="A7"/>
      <c r="C7" s="185"/>
      <c r="D7"/>
      <c r="E7" s="14" t="s">
        <v>394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U7" s="189">
        <v>3</v>
      </c>
      <c r="W7" s="189">
        <v>3</v>
      </c>
      <c r="Y7" s="5" t="s">
        <v>423</v>
      </c>
    </row>
    <row r="8" spans="1:25" ht="12" customHeight="1" x14ac:dyDescent="0.2">
      <c r="A8"/>
      <c r="C8"/>
      <c r="D8"/>
      <c r="E8" s="185" t="s">
        <v>396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U8" s="189">
        <v>4</v>
      </c>
      <c r="W8" s="189">
        <v>4</v>
      </c>
      <c r="Y8" s="5" t="s">
        <v>109</v>
      </c>
    </row>
    <row r="9" spans="1:25" ht="12" customHeight="1" x14ac:dyDescent="0.2">
      <c r="A9"/>
      <c r="C9"/>
      <c r="D9"/>
      <c r="E9" s="185" t="s">
        <v>397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U9" s="189">
        <v>5</v>
      </c>
      <c r="W9" s="189">
        <v>5</v>
      </c>
      <c r="Y9" s="5" t="s">
        <v>424</v>
      </c>
    </row>
    <row r="10" spans="1:25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U10" s="190">
        <v>6</v>
      </c>
      <c r="W10" s="190">
        <v>6</v>
      </c>
      <c r="Y10" s="5" t="s">
        <v>425</v>
      </c>
    </row>
    <row r="11" spans="1:25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U11" s="190">
        <v>7</v>
      </c>
      <c r="W11" s="190">
        <v>7</v>
      </c>
    </row>
    <row r="12" spans="1:25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U12" s="190">
        <v>8</v>
      </c>
      <c r="W12" s="190">
        <v>8</v>
      </c>
      <c r="Y12" s="43"/>
    </row>
    <row r="13" spans="1:25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U13" s="190">
        <v>9</v>
      </c>
      <c r="W13" s="190">
        <v>9</v>
      </c>
      <c r="Y13" s="43"/>
    </row>
    <row r="14" spans="1:25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U14" s="190">
        <v>10</v>
      </c>
      <c r="W14" s="190">
        <v>10</v>
      </c>
      <c r="Y14" s="43"/>
    </row>
    <row r="15" spans="1:25" x14ac:dyDescent="0.2">
      <c r="A15" s="43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4"/>
      <c r="F16" s="44"/>
      <c r="P16" s="15"/>
      <c r="Q16"/>
      <c r="R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M101"/>
      <c r="O101"/>
      <c r="S101"/>
      <c r="Y101"/>
    </row>
    <row r="102" spans="1:25" s="43" customFormat="1" x14ac:dyDescent="0.2">
      <c r="A102" s="14"/>
      <c r="B102" s="44"/>
      <c r="E102" s="15"/>
      <c r="G102"/>
      <c r="H102"/>
      <c r="M102"/>
      <c r="N102"/>
      <c r="O102"/>
      <c r="S102"/>
      <c r="Y102"/>
    </row>
    <row r="103" spans="1:25" x14ac:dyDescent="0.2">
      <c r="I103" s="43"/>
      <c r="J103" s="43"/>
      <c r="K103" s="43"/>
      <c r="L103" s="43"/>
      <c r="Q103" s="43"/>
      <c r="R103" s="43"/>
    </row>
    <row r="104" spans="1:25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</row>
    <row r="198" spans="1:25" x14ac:dyDescent="0.2">
      <c r="G198" s="9"/>
      <c r="N198" s="9"/>
    </row>
    <row r="199" spans="1:25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B40"/>
  <sheetViews>
    <sheetView topLeftCell="A10" workbookViewId="0">
      <selection activeCell="A46" sqref="A46"/>
    </sheetView>
  </sheetViews>
  <sheetFormatPr defaultRowHeight="12" x14ac:dyDescent="0.2"/>
  <cols>
    <col min="1" max="1" width="101.6640625" customWidth="1"/>
  </cols>
  <sheetData>
    <row r="1" spans="1:2" x14ac:dyDescent="0.2">
      <c r="A1" t="s">
        <v>328</v>
      </c>
      <c r="B1" t="s">
        <v>429</v>
      </c>
    </row>
    <row r="2" spans="1:2" x14ac:dyDescent="0.2">
      <c r="A2" t="s">
        <v>338</v>
      </c>
      <c r="B2" t="s">
        <v>429</v>
      </c>
    </row>
    <row r="3" spans="1:2" x14ac:dyDescent="0.2">
      <c r="A3" t="s">
        <v>319</v>
      </c>
      <c r="B3" t="s">
        <v>429</v>
      </c>
    </row>
    <row r="4" spans="1:2" x14ac:dyDescent="0.2">
      <c r="A4" t="s">
        <v>320</v>
      </c>
      <c r="B4" t="s">
        <v>429</v>
      </c>
    </row>
    <row r="5" spans="1:2" x14ac:dyDescent="0.2">
      <c r="A5" t="s">
        <v>321</v>
      </c>
      <c r="B5" t="s">
        <v>429</v>
      </c>
    </row>
    <row r="6" spans="1:2" x14ac:dyDescent="0.2">
      <c r="A6" t="s">
        <v>322</v>
      </c>
      <c r="B6" t="s">
        <v>429</v>
      </c>
    </row>
    <row r="7" spans="1:2" x14ac:dyDescent="0.2">
      <c r="A7" t="s">
        <v>323</v>
      </c>
      <c r="B7" t="s">
        <v>429</v>
      </c>
    </row>
    <row r="8" spans="1:2" x14ac:dyDescent="0.2">
      <c r="A8" t="s">
        <v>324</v>
      </c>
      <c r="B8" t="s">
        <v>429</v>
      </c>
    </row>
    <row r="9" spans="1:2" x14ac:dyDescent="0.2">
      <c r="A9" t="s">
        <v>325</v>
      </c>
    </row>
    <row r="10" spans="1:2" x14ac:dyDescent="0.2">
      <c r="A10" t="s">
        <v>326</v>
      </c>
    </row>
    <row r="11" spans="1:2" x14ac:dyDescent="0.2">
      <c r="A11" t="s">
        <v>341</v>
      </c>
      <c r="B11" t="s">
        <v>429</v>
      </c>
    </row>
    <row r="12" spans="1:2" x14ac:dyDescent="0.2">
      <c r="A12" t="s">
        <v>342</v>
      </c>
      <c r="B12" t="s">
        <v>429</v>
      </c>
    </row>
    <row r="14" spans="1:2" x14ac:dyDescent="0.2">
      <c r="A14" t="s">
        <v>327</v>
      </c>
    </row>
    <row r="15" spans="1:2" x14ac:dyDescent="0.2">
      <c r="A15" t="s">
        <v>329</v>
      </c>
    </row>
    <row r="16" spans="1:2" x14ac:dyDescent="0.2">
      <c r="A16" t="s">
        <v>330</v>
      </c>
    </row>
    <row r="17" spans="1:2" x14ac:dyDescent="0.2">
      <c r="A17" t="s">
        <v>331</v>
      </c>
    </row>
    <row r="19" spans="1:2" x14ac:dyDescent="0.2">
      <c r="A19" t="s">
        <v>334</v>
      </c>
    </row>
    <row r="21" spans="1:2" x14ac:dyDescent="0.2">
      <c r="A21" t="s">
        <v>332</v>
      </c>
    </row>
    <row r="22" spans="1:2" x14ac:dyDescent="0.2">
      <c r="A22" t="s">
        <v>333</v>
      </c>
    </row>
    <row r="23" spans="1:2" x14ac:dyDescent="0.2">
      <c r="A23" t="s">
        <v>335</v>
      </c>
    </row>
    <row r="24" spans="1:2" x14ac:dyDescent="0.2">
      <c r="A24" t="s">
        <v>337</v>
      </c>
    </row>
    <row r="26" spans="1:2" x14ac:dyDescent="0.2">
      <c r="A26" t="s">
        <v>483</v>
      </c>
    </row>
    <row r="27" spans="1:2" x14ac:dyDescent="0.2">
      <c r="A27" t="s">
        <v>484</v>
      </c>
    </row>
    <row r="30" spans="1:2" x14ac:dyDescent="0.2">
      <c r="A30" t="s">
        <v>486</v>
      </c>
    </row>
    <row r="31" spans="1:2" x14ac:dyDescent="0.2">
      <c r="A31" t="s">
        <v>485</v>
      </c>
      <c r="B31" t="s">
        <v>429</v>
      </c>
    </row>
    <row r="32" spans="1:2" x14ac:dyDescent="0.2">
      <c r="A32" t="s">
        <v>490</v>
      </c>
      <c r="B32" t="s">
        <v>429</v>
      </c>
    </row>
    <row r="33" spans="1:2" x14ac:dyDescent="0.2">
      <c r="A33" t="s">
        <v>492</v>
      </c>
      <c r="B33" t="s">
        <v>429</v>
      </c>
    </row>
    <row r="34" spans="1:2" x14ac:dyDescent="0.2">
      <c r="A34" t="s">
        <v>493</v>
      </c>
      <c r="B34" t="s">
        <v>429</v>
      </c>
    </row>
    <row r="35" spans="1:2" x14ac:dyDescent="0.2">
      <c r="A35" t="s">
        <v>491</v>
      </c>
      <c r="B35" t="s">
        <v>429</v>
      </c>
    </row>
    <row r="37" spans="1:2" x14ac:dyDescent="0.2">
      <c r="A37" t="s">
        <v>340</v>
      </c>
    </row>
    <row r="38" spans="1:2" x14ac:dyDescent="0.2">
      <c r="A38" t="s">
        <v>339</v>
      </c>
    </row>
    <row r="39" spans="1:2" x14ac:dyDescent="0.2">
      <c r="A39" t="s">
        <v>489</v>
      </c>
    </row>
    <row r="40" spans="1:2" x14ac:dyDescent="0.2">
      <c r="A40" t="s">
        <v>494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Constants</vt:lpstr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BlockQuantity</vt:lpstr>
      <vt:lpstr>HeadClearance_mm</vt:lpstr>
      <vt:lpstr>LegQuantity</vt:lpstr>
      <vt:lpstr>MarginForHingeClearance_mm</vt:lpstr>
      <vt:lpstr>MeetingStyleClearance_mm</vt:lpstr>
      <vt:lpstr>PerformanceExport</vt:lpstr>
      <vt:lpstr>PerformanceImport</vt:lpstr>
      <vt:lpstr>PerformanceProcess</vt:lpstr>
      <vt:lpstr>SchedulesRef!Print_Area</vt:lpstr>
      <vt:lpstr>StrappingQuantity</vt:lpstr>
      <vt:lpstr>StrappingThickness_mm</vt:lpstr>
      <vt:lpstr>StrappingWidth_mm</vt:lpstr>
      <vt:lpstr>ThresholdQuantity</vt:lpstr>
      <vt:lpstr>WidthClearance_mm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2020-09-16T05:43:43Z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