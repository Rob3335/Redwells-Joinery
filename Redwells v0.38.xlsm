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Nic\OnlyExcel Dropbox\Team\OE Master\OE Clients\Redwells Joinery\Workshare - Redwells\"/>
    </mc:Choice>
  </mc:AlternateContent>
  <xr:revisionPtr revIDLastSave="0" documentId="13_ncr:1_{438B5815-C6DF-44A5-9A99-93AF41608E57}" xr6:coauthVersionLast="45" xr6:coauthVersionMax="45" xr10:uidLastSave="{00000000-0000-0000-0000-000000000000}"/>
  <bookViews>
    <workbookView xWindow="-120" yWindow="-120" windowWidth="29040" windowHeight="15840" tabRatio="500" firstSheet="8" activeTab="16"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state="hidden" r:id="rId14"/>
    <sheet name="Exceptions" sheetId="11" r:id="rId15"/>
    <sheet name="ReleaseNotes" sheetId="8" r:id="rId16"/>
    <sheet name="Price list" sheetId="66" r:id="rId17"/>
    <sheet name="Lists" sheetId="39" state="hidden"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0.38</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<sst xmlns="http://schemas.openxmlformats.org/spreadsheetml/2006/main" count="650" uniqueCount="406">
  <si>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</si>
  <si>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</si>
  <si>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</si>
  <si>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</si>
  <si>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</si>
  <si>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</si>
  <si>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</si>
  <si>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</si>
  <si>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</si>
  <si>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</si>
  <si>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</si>
  <si>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</si>
  <si>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</si>
  <si>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</si>
  <si>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</si>
  <si>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</si>
  <si>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</si>
  <si>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</si>
  <si>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</si>
  <si>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</si>
  <si>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</si>
  <si>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</si>
  <si>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</si>
  <si>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</si>
  <si>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</si>
  <si>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</si>
  <si>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</si>
  <si>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</si>
  <si>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</si>
  <si>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</si>
  <si>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</si>
  <si>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</si>
  <si>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</si>
  <si>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</si>
  <si>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</si>
  <si>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</si>
  <si>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</si>
  <si>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</si>
  <si>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</si>
  <si>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</si>
  <si>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</si>
  <si>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</si>
  <si>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</si>
  <si>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</si>
  <si>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</si>
  <si>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</si>
  <si>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</si>
  <si>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</si>
  <si>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</si>
  <si>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</si>
  <si>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</si>
  <si>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</si>
  <si>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</si>
  <si>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</si>
  <si>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</si>
  <si>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</si>
  <si>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</si>
  <si>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</si>
  <si>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</si>
  <si>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</si>
  <si>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</si>
  <si>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</si>
  <si>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</si>
  <si>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</si>
  <si>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</si>
  <si>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</si>
  <si>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</si>
  <si>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</si>
  <si>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</si>
  <si>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</si>
  <si>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</si>
  <si>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</si>
  <si>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</si>
  <si>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</si>
  <si>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</si>
  <si>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</si>
  <si>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</si>
  <si>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</si>
  <si>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</si>
  <si>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</si>
  <si>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</si>
  <si>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</si>
  <si>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</si>
  <si>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</si>
  <si>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</si>
  <si>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</si>
  <si>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</si>
  <si>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</si>
  <si>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</si>
  <si>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</si>
  <si>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</si>
  <si>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</si>
  <si>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</si>
  <si>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</si>
  <si>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</si>
  <si>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</si>
  <si>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</si>
  <si>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</si>
  <si>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</si>
  <si>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</si>
  <si>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</si>
  <si>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</si>
  <si>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</si>
  <si>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</si>
  <si>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</si>
  <si>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</si>
  <si>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</si>
  <si>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</si>
  <si>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</si>
  <si>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</si>
  <si>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</si>
  <si>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</si>
  <si>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</si>
  <si>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</si>
  <si>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</si>
  <si>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</si>
  <si>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</si>
  <si>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</si>
  <si>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</si>
  <si>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</si>
  <si>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</si>
  <si>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</si>
  <si>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</si>
  <si>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</si>
  <si>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</si>
  <si>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</si>
  <si>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</si>
  <si>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</si>
  <si>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</si>
  <si>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</si>
  <si>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</si>
  <si>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</si>
  <si>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</si>
  <si>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</si>
  <si>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</si>
  <si>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</si>
  <si>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</si>
  <si>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</si>
  <si>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</si>
  <si>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</si>
  <si>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</si>
  <si>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</si>
  <si>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</si>
  <si>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</si>
  <si>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</si>
  <si>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</si>
  <si>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</si>
  <si>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</si>
  <si>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</si>
  <si>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</si>
  <si>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</si>
  <si>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</si>
  <si>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</si>
  <si>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</si>
  <si>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</si>
  <si>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</si>
  <si>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</si>
  <si>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</si>
  <si>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</si>
  <si>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</si>
  <si>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</si>
  <si>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</si>
  <si>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</si>
  <si>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</si>
  <si>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</si>
  <si>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</si>
  <si>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</si>
  <si>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</si>
  <si>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</si>
  <si>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</si>
  <si>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</si>
  <si>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</si>
  <si>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</si>
  <si>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</si>
  <si>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</si>
  <si>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</si>
  <si>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</si>
  <si>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</si>
  <si>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</si>
  <si>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</si>
  <si>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</si>
  <si>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</si>
  <si>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</si>
  <si>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</si>
  <si>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</si>
  <si>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</si>
  <si>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</si>
  <si>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</si>
  <si>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</si>
  <si>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</si>
  <si>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</si>
  <si>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</si>
  <si>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</si>
  <si>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</si>
  <si>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</si>
  <si>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</si>
  <si>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</si>
  <si>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</si>
  <si>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</si>
  <si>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</si>
  <si>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</si>
  <si>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</si>
  <si>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</si>
  <si>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</si>
  <si>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</si>
  <si>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</si>
  <si>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</si>
  <si>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</si>
  <si>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</si>
  <si>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</si>
  <si>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</si>
  <si>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</si>
  <si>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</si>
  <si>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</si>
  <si>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</si>
  <si>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</si>
  <si>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</si>
  <si>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</si>
  <si>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</si>
  <si>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</si>
  <si>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</si>
  <si>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</si>
  <si>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</si>
  <si>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</si>
  <si>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</si>
  <si>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</si>
  <si>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</si>
  <si>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</si>
  <si>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</si>
  <si>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</si>
  <si>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</si>
  <si>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</si>
  <si>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</si>
  <si>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</si>
  <si>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</si>
  <si>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</si>
  <si>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</si>
  <si>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</si>
  <si>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</si>
  <si>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</si>
  <si>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</si>
  <si>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</si>
  <si>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</si>
  <si>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</si>
  <si>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</si>
  <si>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</si>
  <si>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</si>
  <si>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</si>
  <si>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</si>
  <si>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</si>
  <si>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</si>
  <si>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</si>
  <si>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</si>
  <si>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</si>
  <si>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</si>
  <si>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</si>
  <si>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</si>
  <si>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</si>
  <si>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</si>
  <si>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</si>
  <si>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</si>
  <si>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</si>
  <si>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</si>
  <si>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</si>
  <si>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</si>
  <si>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</si>
  <si>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</si>
  <si>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</si>
  <si>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</si>
  <si>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</si>
  <si>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</si>
  <si>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</si>
  <si>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</si>
  <si>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</si>
  <si>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</si>
  <si>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</si>
  <si>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</si>
  <si>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</si>
  <si>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</si>
  <si>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</si>
  <si>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</si>
  <si>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</si>
  <si>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</si>
  <si>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</si>
  <si>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</si>
  <si>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</si>
  <si>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</si>
  <si>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</si>
  <si>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</si>
  <si>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</si>
  <si>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</si>
  <si>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</si>
  <si>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</si>
  <si>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</si>
  <si>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</si>
  <si>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</si>
  <si>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</si>
  <si>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</si>
  <si>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</si>
  <si>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</si>
  <si>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</si>
  <si>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</si>
  <si>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</si>
  <si>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</si>
  <si>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</si>
  <si>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</si>
  <si>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</si>
  <si>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</si>
  <si>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</si>
  <si>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</si>
  <si>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</si>
  <si>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</si>
  <si>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</si>
  <si>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</si>
  <si>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</si>
  <si>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</si>
  <si>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</si>
  <si>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</si>
  <si>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</si>
  <si>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</si>
  <si>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</si>
  <si>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</si>
  <si>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</si>
  <si>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</si>
  <si>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</si>
  <si>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</si>
  <si>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</si>
  <si>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</si>
  <si>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</si>
  <si>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</si>
  <si>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</si>
  <si>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</si>
  <si>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</si>
  <si>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</si>
  <si>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</si>
  <si>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</si>
  <si>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</si>
  <si>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</si>
  <si>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</si>
  <si>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</si>
  <si>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</si>
  <si>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</si>
  <si>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</si>
  <si>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</si>
  <si>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</si>
  <si>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</si>
  <si>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</si>
  <si>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</si>
  <si>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</si>
  <si>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</si>
  <si>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</si>
  <si>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</si>
  <si>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</si>
  <si>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</si>
  <si>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</si>
  <si>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</si>
  <si>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</si>
  <si>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</si>
  <si>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</si>
  <si>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</si>
  <si>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</si>
  <si>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</si>
  <si>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</si>
  <si>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</si>
  <si>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</si>
  <si>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</si>
  <si>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</si>
  <si>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Non-timber profit margin (%)</t>
  </si>
  <si>
    <t>Labour (retail cost)</t>
  </si>
  <si>
    <t>Aperture (retail cost)</t>
  </si>
  <si>
    <t>Door administration cost (£)</t>
  </si>
  <si>
    <t>Price list (charges and wholesale costs)</t>
  </si>
  <si>
    <t>0.30</t>
  </si>
  <si>
    <t>Minor update: 03-Oct-2020</t>
  </si>
  <si>
    <t>0.31</t>
  </si>
  <si>
    <t>0.32</t>
  </si>
  <si>
    <t>0.33</t>
  </si>
  <si>
    <t>Minor update: 05-Oct-2020</t>
  </si>
  <si>
    <t>Ref</t>
  </si>
  <si>
    <t>Width</t>
  </si>
  <si>
    <t>Height</t>
  </si>
  <si>
    <t>Total cost</t>
  </si>
  <si>
    <r>
      <t>Door frame - (Fire rating FD30)</t>
    </r>
    <r>
      <rPr>
        <sz val="10"/>
        <color theme="1"/>
        <rFont val="Calibri"/>
        <family val="2"/>
        <scheme val="minor"/>
      </rPr>
      <t xml:space="preserve">
Internal door with 50mm stops
Timber type: Sapele</t>
    </r>
  </si>
  <si>
    <t>100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</si>
  <si>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</si>
  <si>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</si>
  <si>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</si>
  <si>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Ash</t>
  </si>
  <si>
    <t>b</t>
  </si>
  <si>
    <t>0.34</t>
  </si>
  <si>
    <t>Minor update: 06-Oct-2020</t>
  </si>
  <si>
    <t>plot 1</t>
  </si>
  <si>
    <t>In progress</t>
  </si>
  <si>
    <t>Schedules</t>
  </si>
  <si>
    <t>3958 mm</t>
  </si>
  <si>
    <t>H4</t>
  </si>
  <si>
    <t>Flipper colour not given for door 1. Enter the colour in Door Manager.</t>
  </si>
  <si>
    <t>H6</t>
  </si>
  <si>
    <t>Flipper colour not given for door 3. Enter the colour in Door Manager.</t>
  </si>
  <si>
    <t>5.21 s</t>
  </si>
  <si>
    <t>Include inserts</t>
  </si>
  <si>
    <t>Include thresholds</t>
  </si>
  <si>
    <t>0.35</t>
  </si>
  <si>
    <t>0.38</t>
  </si>
  <si>
    <t>Minor update: 08-Oct-2020</t>
  </si>
  <si>
    <t>Updated key info from Sandra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</si>
</sst>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5" fillId="0" borderId="4"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8" fontId="25" fillId="0" borderId="0" applyFill="0" applyBorder="0">
      <alignment vertical="top"/>
      <protection locked="0"/>
    </xf>
    <xf numFmtId="168" fontId="23" fillId="0" borderId="0" applyFill="0" applyBorder="0">
      <alignment vertical="top"/>
    </xf>
    <xf numFmtId="169" fontId="23" fillId="0" borderId="0" applyFill="0" applyBorder="0">
      <alignment vertical="top"/>
    </xf>
    <xf numFmtId="170" fontId="25" fillId="0" borderId="0" applyFill="0" applyBorder="0">
      <alignment vertical="top"/>
      <protection locked="0"/>
    </xf>
    <xf numFmtId="49" fontId="25" fillId="0" borderId="0" applyFill="0" applyBorder="0">
      <alignment vertical="top"/>
      <protection locked="0"/>
    </xf>
    <xf numFmtId="166" fontId="26" fillId="0" borderId="0" applyFont="0" applyFill="0" applyBorder="0" applyAlignment="0" applyProtection="0"/>
    <xf numFmtId="0" fontId="23" fillId="0" borderId="0" applyFill="0" applyBorder="0">
      <alignment horizontal="left" vertical="top" indent="1"/>
    </xf>
    <xf numFmtId="169" fontId="25" fillId="0" borderId="0" applyFill="0" applyBorder="0">
      <alignment vertical="top"/>
      <protection locked="0"/>
    </xf>
    <xf numFmtId="0" fontId="29" fillId="0" borderId="0">
      <alignment vertical="center"/>
    </xf>
    <xf numFmtId="0" fontId="32"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5" applyNumberFormat="0" applyAlignment="0">
      <protection locked="0"/>
    </xf>
    <xf numFmtId="0" fontId="46" fillId="9" borderId="5" applyNumberFormat="0" applyAlignment="0" applyProtection="0"/>
  </cellStyleXfs>
  <cellXfs count="192">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3" fillId="3" borderId="3"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33" fillId="3" borderId="3" xfId="8" applyNumberFormat="1" applyFont="1" applyFill="1" applyBorder="1"/>
    <xf numFmtId="2" fontId="9" fillId="0" borderId="0" xfId="0" applyNumberFormat="1" applyFont="1"/>
    <xf numFmtId="0" fontId="0" fillId="0" borderId="0" xfId="0" applyNumberFormat="1" applyAlignment="1">
      <alignment horizontal="center" wrapText="1"/>
    </xf>
    <xf numFmtId="0" fontId="33" fillId="3" borderId="3" xfId="8" applyNumberFormat="1" applyFont="1" applyFill="1" applyBorder="1"/>
    <xf numFmtId="0" fontId="9"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4"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5" fillId="0" borderId="0" xfId="1" applyBorder="1"/>
    <xf numFmtId="0" fontId="41" fillId="0" borderId="6" xfId="22" applyFont="1" applyFill="1" applyBorder="1"/>
    <xf numFmtId="0" fontId="41" fillId="0" borderId="7" xfId="22" applyFont="1" applyFill="1" applyBorder="1"/>
    <xf numFmtId="0" fontId="41" fillId="0" borderId="8"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9" xfId="22" applyFont="1" applyFill="1" applyBorder="1"/>
    <xf numFmtId="0" fontId="40" fillId="4" borderId="10" xfId="23" applyBorder="1" applyAlignment="1">
      <alignment horizontal="left"/>
      <protection locked="0"/>
    </xf>
    <xf numFmtId="0" fontId="41" fillId="0" borderId="11" xfId="22" applyFont="1" applyFill="1" applyBorder="1"/>
    <xf numFmtId="0" fontId="40" fillId="4" borderId="12" xfId="23" applyBorder="1" applyAlignment="1">
      <alignment horizontal="left"/>
      <protection locked="0"/>
    </xf>
    <xf numFmtId="0" fontId="41" fillId="0" borderId="13" xfId="22" applyFont="1" applyFill="1" applyBorder="1"/>
    <xf numFmtId="0" fontId="40" fillId="4" borderId="14"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5" xfId="22" applyFont="1" applyFill="1" applyBorder="1"/>
    <xf numFmtId="0" fontId="40" fillId="4" borderId="16"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3" fillId="3" borderId="3" xfId="8" applyFont="1" applyFill="1" applyBorder="1" applyAlignment="1">
      <alignment wrapText="1"/>
    </xf>
    <xf numFmtId="0" fontId="0" fillId="7" borderId="0" xfId="0" applyFill="1"/>
    <xf numFmtId="0" fontId="14"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7" xfId="0" applyNumberFormat="1" applyFont="1" applyFill="1" applyBorder="1" applyAlignment="1">
      <alignment vertical="center"/>
    </xf>
    <xf numFmtId="165" fontId="0" fillId="0" borderId="17" xfId="0" applyNumberFormat="1" applyFont="1" applyBorder="1" applyAlignment="1">
      <alignment vertical="center"/>
    </xf>
    <xf numFmtId="0" fontId="3" fillId="0" borderId="0" xfId="0" applyFont="1" applyAlignment="1">
      <alignment vertical="center"/>
    </xf>
    <xf numFmtId="165" fontId="3"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9" fillId="0" borderId="0" xfId="0" applyNumberFormat="1" applyFont="1" applyAlignment="1">
      <alignment vertical="top"/>
    </xf>
    <xf numFmtId="172" fontId="3" fillId="0" borderId="0" xfId="0" applyNumberFormat="1" applyFont="1" applyAlignment="1">
      <alignment vertical="center"/>
    </xf>
    <xf numFmtId="0" fontId="42" fillId="6" borderId="0" xfId="0" applyFont="1" applyFill="1" applyAlignment="1">
      <alignment horizontal="center" vertical="top" wrapText="1"/>
    </xf>
    <xf numFmtId="172" fontId="0" fillId="0" borderId="0" xfId="0" applyNumberFormat="1"/>
    <xf numFmtId="172" fontId="9" fillId="0" borderId="0" xfId="0" applyNumberFormat="1" applyFont="1"/>
    <xf numFmtId="0" fontId="42" fillId="5" borderId="2" xfId="0" applyFont="1" applyFill="1" applyBorder="1" applyAlignment="1">
      <alignment horizontal="center" vertical="top" wrapText="1"/>
    </xf>
    <xf numFmtId="0" fontId="42" fillId="6" borderId="2"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4"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9" fillId="0" borderId="0" xfId="0" applyFont="1" applyAlignment="1">
      <alignment horizontal="center" vertical="top"/>
    </xf>
    <xf numFmtId="0" fontId="9" fillId="0" borderId="0" xfId="0" applyFont="1" applyAlignment="1">
      <alignment horizontal="center" vertical="top" wrapText="1"/>
    </xf>
    <xf numFmtId="0" fontId="38" fillId="0" borderId="0" xfId="0" applyFont="1" applyBorder="1"/>
    <xf numFmtId="0" fontId="31"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2" fillId="6" borderId="18" xfId="0" applyFont="1" applyFill="1" applyBorder="1" applyAlignment="1">
      <alignment horizontal="center" vertical="top" wrapText="1"/>
    </xf>
    <xf numFmtId="0" fontId="5" fillId="0" borderId="0" xfId="1" applyFill="1" applyBorder="1" applyAlignment="1">
      <alignment horizontal="left" vertical="center"/>
    </xf>
    <xf numFmtId="0" fontId="42" fillId="6" borderId="0" xfId="0" applyFont="1" applyFill="1" applyBorder="1" applyAlignment="1">
      <alignment horizontal="center" vertical="top" wrapText="1"/>
    </xf>
    <xf numFmtId="0" fontId="40" fillId="4" borderId="5" xfId="23" applyAlignment="1">
      <alignment horizontal="left" vertical="top"/>
      <protection locked="0"/>
    </xf>
    <xf numFmtId="10" fontId="40" fillId="4" borderId="5" xfId="23" applyNumberFormat="1" applyAlignment="1">
      <alignment horizontal="left" vertical="top"/>
      <protection locked="0"/>
    </xf>
    <xf numFmtId="0" fontId="40" fillId="4" borderId="5" xfId="23" applyAlignment="1">
      <alignment vertical="top"/>
      <protection locked="0"/>
    </xf>
    <xf numFmtId="0" fontId="40" fillId="4" borderId="5" xfId="23">
      <protection locked="0"/>
    </xf>
    <xf numFmtId="1" fontId="40" fillId="4" borderId="5" xfId="23" applyNumberFormat="1" applyAlignment="1">
      <alignment horizontal="right"/>
      <protection locked="0"/>
    </xf>
    <xf numFmtId="1" fontId="40" fillId="4" borderId="5" xfId="23" applyNumberFormat="1" applyAlignment="1">
      <alignment horizontal="right" vertical="top"/>
      <protection locked="0"/>
    </xf>
    <xf numFmtId="0" fontId="45" fillId="0" borderId="0" xfId="1" applyFont="1" applyBorder="1" applyAlignment="1">
      <alignment horizontal="left" wrapText="1"/>
    </xf>
    <xf numFmtId="0" fontId="40" fillId="4" borderId="19" xfId="23" applyBorder="1" applyAlignment="1">
      <alignment horizontal="left"/>
      <protection locked="0"/>
    </xf>
    <xf numFmtId="0" fontId="40" fillId="4" borderId="20" xfId="23" applyBorder="1" applyAlignment="1">
      <alignment horizontal="left"/>
      <protection locked="0"/>
    </xf>
    <xf numFmtId="0" fontId="40" fillId="4" borderId="21"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9" fillId="0" borderId="0" xfId="0" applyNumberFormat="1" applyFont="1" applyAlignment="1">
      <alignment horizontal="right"/>
    </xf>
    <xf numFmtId="172" fontId="42" fillId="6" borderId="0" xfId="0" applyNumberFormat="1" applyFont="1" applyFill="1" applyAlignment="1">
      <alignment horizontal="center" vertical="top" wrapText="1"/>
    </xf>
    <xf numFmtId="0" fontId="42" fillId="6" borderId="0" xfId="0" applyNumberFormat="1" applyFont="1" applyFill="1" applyAlignment="1">
      <alignment horizontal="center" vertical="top" wrapText="1"/>
    </xf>
    <xf numFmtId="0" fontId="0" fillId="0" borderId="0" xfId="0" applyAlignment="1">
      <alignment horizontal="center" vertical="center" wrapText="1"/>
    </xf>
    <xf numFmtId="0" fontId="5" fillId="0" borderId="0" xfId="1" applyBorder="1" applyAlignment="1">
      <alignment horizontal="center" vertical="center"/>
    </xf>
    <xf numFmtId="0" fontId="0" fillId="0" borderId="0" xfId="8" applyNumberFormat="1" applyFont="1" applyFill="1" applyAlignment="1">
      <alignment horizontal="left"/>
    </xf>
    <xf numFmtId="167" fontId="46" fillId="9" borderId="20" xfId="24" applyNumberFormat="1" applyBorder="1" applyAlignment="1" applyProtection="1">
      <alignment horizontal="left" vertical="center" wrapText="1"/>
      <protection locked="0"/>
    </xf>
    <xf numFmtId="0" fontId="47" fillId="0" borderId="0" xfId="0" applyFont="1" applyAlignment="1">
      <alignment vertical="center"/>
    </xf>
    <xf numFmtId="0" fontId="30" fillId="0" borderId="0" xfId="0" applyFont="1" applyAlignment="1">
      <alignment vertical="center"/>
    </xf>
    <xf numFmtId="10" fontId="40" fillId="4" borderId="5" xfId="23" applyNumberFormat="1" applyAlignment="1">
      <alignment horizontal="left" vertical="center"/>
      <protection locked="0"/>
    </xf>
    <xf numFmtId="172" fontId="40" fillId="4" borderId="5" xfId="23" applyNumberFormat="1" applyAlignment="1">
      <alignment horizontal="left" vertical="center"/>
      <protection locked="0"/>
    </xf>
    <xf numFmtId="0" fontId="0" fillId="3" borderId="0" xfId="8" applyFont="1" applyFill="1" applyAlignment="1">
      <alignment horizontal="center"/>
    </xf>
    <xf numFmtId="0" fontId="38" fillId="0" borderId="4" xfId="0" applyFont="1" applyBorder="1"/>
    <xf numFmtId="0" fontId="31" fillId="0" borderId="0" xfId="0" applyFont="1" applyBorder="1" applyAlignment="1">
      <alignment horizontal="left"/>
    </xf>
    <xf numFmtId="0" fontId="48" fillId="0" borderId="0" xfId="0" applyFont="1" applyBorder="1" applyAlignment="1">
      <alignment wrapText="1"/>
    </xf>
    <xf numFmtId="0" fontId="31" fillId="0" borderId="0" xfId="0" applyFont="1" applyBorder="1" applyAlignment="1">
      <alignment horizontal="center"/>
    </xf>
    <xf numFmtId="174" fontId="31" fillId="0" borderId="0" xfId="0" applyNumberFormat="1" applyFont="1" applyBorder="1" applyAlignment="1">
      <alignment horizontal="right"/>
    </xf>
    <xf numFmtId="174" fontId="31" fillId="0" borderId="22" xfId="0" applyNumberFormat="1" applyFont="1" applyBorder="1" applyAlignment="1">
      <alignment horizontal="right"/>
    </xf>
    <xf numFmtId="0" fontId="48" fillId="0" borderId="0" xfId="0" applyFont="1" applyBorder="1" applyAlignment="1">
      <alignment horizontal="left"/>
    </xf>
    <xf numFmtId="0" fontId="48" fillId="0" borderId="23" xfId="0" applyFont="1" applyBorder="1" applyAlignment="1">
      <alignment horizontal="left"/>
    </xf>
    <xf numFmtId="174" fontId="48" fillId="0" borderId="24" xfId="0" applyNumberFormat="1" applyFont="1" applyBorder="1" applyAlignment="1">
      <alignment horizontal="right"/>
    </xf>
    <xf numFmtId="49" fontId="2" fillId="0" borderId="0" xfId="0" applyNumberFormat="1" applyFont="1" applyAlignment="1">
      <alignment vertical="center"/>
    </xf>
    <xf numFmtId="0" fontId="33" fillId="3" borderId="0" xfId="8" applyFont="1" applyFill="1" applyBorder="1"/>
    <xf numFmtId="0" fontId="17" fillId="0" borderId="0" xfId="0" applyFont="1" applyBorder="1" applyAlignment="1">
      <alignment vertical="center" wrapText="1"/>
    </xf>
    <xf numFmtId="0" fontId="39" fillId="0" borderId="0" xfId="0" applyFont="1" applyBorder="1" applyAlignment="1">
      <alignment horizontal="left" wrapText="1"/>
    </xf>
    <xf numFmtId="0" fontId="35" fillId="0" borderId="0" xfId="0" applyFont="1" applyAlignment="1">
      <alignment horizontal="center" vertical="top" wrapText="1"/>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3">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2"/>
      <tableStyleElement type="secondSubtotalRow" dxfId="131"/>
      <tableStyleElement type="thirdSubtotalRow" dxfId="1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S4" totalsRowShown="0" headerRowDxfId="125" dataDxfId="123" headerRowBorderDxfId="124" tableBorderDxfId="122" headerRowCellStyle="Normal 2" dataCellStyle="Normal 2">
  <autoFilter ref="A3:BS4" xr:uid="{2630C6B2-C1EE-47E9-B0E1-38B621DC4CB6}"/>
  <tableColumns count="71">
    <tableColumn id="63" xr3:uid="{EE02FA41-B767-4EDA-8A42-16775A1CE61D}" name="Number" dataDxfId="121" dataCellStyle="Normal 2"/>
    <tableColumn id="1" xr3:uid="{C2547AE1-A085-4B64-A835-5930DF641EFF}" name="Flat / plot" dataDxfId="120" dataCellStyle="Normal 2"/>
    <tableColumn id="2" xr3:uid="{5E685CB6-772D-43F5-947F-8F004694B5D8}" name="Door spec" dataDxfId="119" dataCellStyle="Normal 2"/>
    <tableColumn id="3" xr3:uid="{DA6E3C03-A706-4B73-8852-6750B4D70BA0}" name="Location" dataDxfId="118" dataCellStyle="Normal 2"/>
    <tableColumn id="4" xr3:uid="{0C4D87F5-5C2B-466D-9A4E-1F3B3731B622}" name="Door ref/number" dataDxfId="117" dataCellStyle="Normal 2"/>
    <tableColumn id="5" xr3:uid="{C2DF3D45-E4A7-461C-9D39-335EDF5260F8}" name="Fire Rating" dataDxfId="116" dataCellStyle="Normal 2"/>
    <tableColumn id="6" xr3:uid="{2C999091-B956-44CC-822F-AB4EDFD7E332}" name="Instrument strip" dataDxfId="115" dataCellStyle="Normal 2"/>
    <tableColumn id="7" xr3:uid="{B064A130-78DC-431E-9521-58512D72A4DC}" name="Flipper colour" dataDxfId="114" dataCellStyle="Normal 2"/>
    <tableColumn id="8" xr3:uid="{3B94FCCB-CC65-47C5-8377-A8CC723E2C77}" name="Doorset layout" dataDxfId="113" dataCellStyle="Normal 2"/>
    <tableColumn id="64" xr3:uid="{3822204B-AB43-4164-BD78-7DB1A9CEA471}" name="Handing" dataDxfId="112" dataCellStyle="Normal 2"/>
    <tableColumn id="9" xr3:uid="{648CC17C-1403-4838-9C11-DCE9FE411B0C}" name="Lead door width (mm)" dataDxfId="111" dataCellStyle="Normal 2"/>
    <tableColumn id="10" xr3:uid="{6B663A8E-A3E3-4365-B5A0-635C3DC26C51}" name="Slave door width (mm)" dataDxfId="110" dataCellStyle="Normal 2"/>
    <tableColumn id="11" xr3:uid="{DC51496B-E561-4AB0-912D-42DE11D3FD11}" name="Door height (mm)" dataDxfId="109" dataCellStyle="Normal 2"/>
    <tableColumn id="12" xr3:uid="{A91C5037-F37B-4806-92A5-7C8F8E02DF77}" name="Door thickness (mm)" dataDxfId="108" dataCellStyle="Normal 2"/>
    <tableColumn id="13" xr3:uid="{811715EE-8154-491E-853B-04119F5D1B3C}" name="Aperture fire rating" dataDxfId="107" dataCellStyle="Normal 2"/>
    <tableColumn id="14" xr3:uid="{D5527189-CEBA-49D3-B4D4-411F61006300}" name="Aperture quantity" dataDxfId="106" dataCellStyle="Normal 2"/>
    <tableColumn id="65" xr3:uid="{32CD4C9B-85F6-45B2-B011-B0836C65C07A}" name="Additional costs (£)" dataDxfId="105" dataCellStyle="Normal 2"/>
    <tableColumn id="66" xr3:uid="{805F1A55-7181-420B-82A6-16E593908BF5}" name="Aperture details" dataDxfId="104" dataCellStyle="Normal 2"/>
    <tableColumn id="62" xr3:uid="{E051C50A-4D79-4327-A156-D3CCBD6042BE}" name="Genral comments" dataDxfId="103" dataCellStyle="Normal 2"/>
    <tableColumn id="16" xr3:uid="{61B44BE8-7015-4DA9-B8FC-8E3AED49F8A8}" name="Hinge type" dataDxfId="102" dataCellStyle="Normal 2"/>
    <tableColumn id="17" xr3:uid="{BFEB86BD-1D6F-4779-A2E0-6F771B7275F3}" name="Hinge quantity" dataDxfId="101" dataCellStyle="Normal 2"/>
    <tableColumn id="18" xr3:uid="{2B44A9FC-919B-42B5-8270-212A48A74DBF}" name="Ironmongery" dataDxfId="100" dataCellStyle="Normal 2"/>
    <tableColumn id="19" xr3:uid="{D0325A9D-6F8B-43AA-BA29-613A006ED5AD}" name="Flush bolt quantity " dataDxfId="99" dataCellStyle="Normal 2"/>
    <tableColumn id="20" xr3:uid="{64A84D9A-0E9B-44A9-8B8D-21722651638C}" name="Roller catch quantity" dataDxfId="98" dataCellStyle="Normal 2"/>
    <tableColumn id="21" xr3:uid="{BF743E01-BC3C-4C71-8C45-A44A4E19D021}" name="Frame timber" dataDxfId="97" dataCellStyle="Normal 2"/>
    <tableColumn id="22" xr3:uid="{85E42A7A-6DE8-4DC6-88A0-FECE51C842E1}" name="Frame thickness (mm)" dataDxfId="96" dataCellStyle="Normal 2"/>
    <tableColumn id="23" xr3:uid="{F5C26954-B720-489D-8F32-7EA10C8532B8}" name="Frame width (mm)" dataDxfId="95" dataCellStyle="Normal 2"/>
    <tableColumn id="24" xr3:uid="{02CB49B1-90B8-4CEC-9E34-7844CF63B008}" name="Lintol thickness (mm)" dataDxfId="94" dataCellStyle="Normal 2"/>
    <tableColumn id="25" xr3:uid="{08F24E03-6DF2-48DC-88E7-7EEF8460001D}" name="Stop timber" dataDxfId="93" dataCellStyle="Normal 2"/>
    <tableColumn id="26" xr3:uid="{73748A60-7FED-45DC-B4F3-0C5D10635A35}" name="Stop thickness (mm)" dataDxfId="92" dataCellStyle="Normal 2"/>
    <tableColumn id="27" xr3:uid="{92495BFC-5E5E-428F-B5DC-E22977F1228D}" name="Stop width (mm)" dataDxfId="91" dataCellStyle="Normal 2"/>
    <tableColumn id="28" xr3:uid="{41E3299C-E614-4A4C-BF04-DB83D466CF8F}" name="Undercut (mm)" dataDxfId="90" dataCellStyle="Normal 2"/>
    <tableColumn id="70" xr3:uid="{A95BFC96-47D6-4C7A-AA3F-0310BC2337D6}" name="Include inserts" dataDxfId="89" dataCellStyle="Normal 2"/>
    <tableColumn id="69" xr3:uid="{C548720E-D0B4-42FA-B6A9-EB6E5939F09E}" name="Insert timber" dataDxfId="88" dataCellStyle="Normal 2"/>
    <tableColumn id="68" xr3:uid="{189F1A58-2C50-439E-9365-B80626A8CB0F}" name="insert depth (mm)" dataDxfId="87" dataCellStyle="Normal 2"/>
    <tableColumn id="67" xr3:uid="{8BC0B97B-2B65-4CD5-922B-C9A797E10753}" name="Insert width (mm)" dataDxfId="86" dataCellStyle="Normal 2"/>
    <tableColumn id="15" xr3:uid="{4DA4E20C-E8CD-4128-9E31-5343E60A84AD}" name="Include facings" dataDxfId="85" dataCellStyle="Normal 2"/>
    <tableColumn id="38" xr3:uid="{CE9DF7B3-E259-433F-8EE2-870DD96BAFD8}" name="Facing timber" dataDxfId="84" dataCellStyle="Normal 2"/>
    <tableColumn id="39" xr3:uid="{130FB667-CC1E-4063-AAE5-8999783296B1}" name="Facings width (mm)" dataDxfId="83" dataCellStyle="Normal 2"/>
    <tableColumn id="40" xr3:uid="{C212C7BC-E011-4BDE-8EF9-8CE19C37DC7C}" name="Facings depth (mm)" dataDxfId="82" dataCellStyle="Normal 2"/>
    <tableColumn id="53" xr3:uid="{AA3A7732-0599-41A9-9469-87DEB2005E18}" name="Base blocks timber" dataDxfId="81" dataCellStyle="Normal 2"/>
    <tableColumn id="54" xr3:uid="{99E2F268-6497-4453-BB53-CA7498EB1C54}" name="Base block width (mm)" dataDxfId="80" dataCellStyle="Normal 2"/>
    <tableColumn id="55" xr3:uid="{07E735BC-053B-4BA3-B976-58661EEB43C1}" name="Base block thickness (mm)" dataDxfId="79" dataCellStyle="Normal 2"/>
    <tableColumn id="56" xr3:uid="{00DDC031-77F6-4E6E-B630-DF2C6F62015B}" name="Base block height (mm)" dataDxfId="78" dataCellStyle="Normal 2"/>
    <tableColumn id="71" xr3:uid="{96327642-6AF3-442D-B138-65512B3B5BFB}" name="Include thresholds" dataDxfId="77" dataCellStyle="Normal 2"/>
    <tableColumn id="58" xr3:uid="{EC09E856-2FFB-4D2D-87FB-695D7DB56EDC}" name="Threshold timber" dataDxfId="76" dataCellStyle="Normal 2"/>
    <tableColumn id="59" xr3:uid="{5AF331AE-019F-406E-B557-AAB3DBD57A85}" name="Threshold thickness (mm)" dataDxfId="75" dataCellStyle="Normal 2"/>
    <tableColumn id="60" xr3:uid="{440F6002-C5D6-4D89-8806-CBA2507D6FB7}" name="Threshold width (mm)" dataDxfId="74" dataCellStyle="Normal 2"/>
    <tableColumn id="61" xr3:uid="{6C5F4C8F-327E-4782-A6C0-9F38838FED62}" name="Threshold length (mm)" dataDxfId="73" dataCellStyle="Normal 2"/>
    <tableColumn id="29" xr3:uid="{8EBAD418-4E2E-4DA4-8C81-54B0E36882F6}" name="Door state" dataDxfId="72" dataCellStyle="Normal 2"/>
    <tableColumn id="30" xr3:uid="{D3A5BDD4-08C1-4618-859B-898995181957}" name="Same as" dataDxfId="71" dataCellStyle="Normal 2"/>
    <tableColumn id="31" xr3:uid="{3ADABACE-D726-4053-87A6-950B75D46F2C}" name="Quantity" dataDxfId="70" dataCellStyle="Normal 2"/>
    <tableColumn id="57" xr3:uid="{DF4D45EE-7549-4759-B8CC-216A5BE7600B}" name="Calculation error"/>
    <tableColumn id="36" xr3:uid="{F2F4BA8A-F7A9-4020-87CA-4E84285C7E6F}" name="Trench (mm)" dataDxfId="69" dataCellStyle="Normal 2"/>
    <tableColumn id="37" xr3:uid="{ABAC42E5-BFB5-4779-A129-431B029DE360}" name="Meeting style" dataDxfId="68" dataCellStyle="Normal 2"/>
    <tableColumn id="41" xr3:uid="{FBE20AA2-687F-4811-A06A-A553C940C672}" name="Leg (mm)" dataDxfId="67" dataCellStyle="Normal 2"/>
    <tableColumn id="42" xr3:uid="{10505334-555C-4851-8CEE-DC2337411FB1}" name="Lintol (mm)" dataDxfId="66" dataCellStyle="Normal 2"/>
    <tableColumn id="43" xr3:uid="{924C6EA6-9F27-498E-8512-2AC7CD4A3473}" name="Stop leg (mm)" dataDxfId="65" dataCellStyle="Normal 2"/>
    <tableColumn id="44" xr3:uid="{1CBEE59C-7A46-4747-B47B-E2588C7AF6DD}" name="Stop lintol (mm)" dataDxfId="64" dataCellStyle="Normal 2"/>
    <tableColumn id="49" xr3:uid="{AF5FA26B-8164-461A-BBEA-72843D9EDD9C}" name="Cutting length (mm)" dataDxfId="63" dataCellStyle="Normal 2"/>
    <tableColumn id="32" xr3:uid="{7A0E7F03-BD39-4D34-8997-1E0BCB2E9F27}" name="Facings leg hinge side (mm)_x000a_        " dataDxfId="62" dataCellStyle="Normal 2"/>
    <tableColumn id="45" xr3:uid="{D1EEF98D-C6B2-4248-A39B-0A8C64089A74}" name="Facings lintol hinge side (mm)" dataDxfId="61" dataCellStyle="Normal 2"/>
    <tableColumn id="35" xr3:uid="{BB2DA1A4-4B34-4FA0-9F36-CC8E3E465AE8}" name="Facings leg non-hinge side (mm)" dataDxfId="60" dataCellStyle="Normal 2"/>
    <tableColumn id="33" xr3:uid="{6E70D4DF-8264-4703-AEED-A93622187730}" name="Facings lintol non-hinge side (mm)" dataDxfId="59" dataCellStyle="Normal 2"/>
    <tableColumn id="51" xr3:uid="{8EF06B99-72B7-4E2D-9A05-A0C64523C195}" name="Standard frame width (mm)" dataDxfId="58" dataCellStyle="Normal 2"/>
    <tableColumn id="50" xr3:uid="{953A2212-C4B9-4600-8BAB-6F335615720E}" name="Standard frame thickness (mm)" dataDxfId="57" dataCellStyle="Normal 2"/>
    <tableColumn id="52" xr3:uid="{C3589508-B39C-4876-894B-9C7362462ACD}" name="Frame length (mm)" dataDxfId="56" dataCellStyle="Normal 2"/>
    <tableColumn id="48" xr3:uid="{CE24249C-44E8-4497-ACD7-4AC195ABE1F9}" name="Frame volume (m3)" dataDxfId="55" dataCellStyle="Normal 2"/>
    <tableColumn id="47" xr3:uid="{C49F1C43-C002-4C4D-B81C-5035CBB5B06A}" name="Stop length (mm)" dataDxfId="54" dataCellStyle="Normal 2"/>
    <tableColumn id="46" xr3:uid="{71E42521-2901-443F-9EC6-317412E3B051}" name="Stop volume (m3)" dataDxfId="53" dataCellStyle="Normal 2"/>
    <tableColumn id="34" xr3:uid="{30E0B8EF-072B-43AA-AEFB-471B867DD190}" name="Charge price per door" dataDxfId="5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1" dataDxfId="50">
  <autoFilter ref="A3:B20" xr:uid="{46B05878-3C26-48D2-BABD-E80EB00EAFDE}"/>
  <tableColumns count="2">
    <tableColumn id="1" xr3:uid="{C1DD83A2-653E-4627-8930-ACBCCE77789E}" name="Constant name" dataDxfId="49"/>
    <tableColumn id="2" xr3:uid="{A9145533-B66B-47C9-A95D-53EB03D79361}"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4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I4:J10" totalsRowShown="0" headerRowDxfId="46" dataDxfId="45" dataCellStyle="Input">
  <autoFilter ref="I4:J10" xr:uid="{17A7A251-CB23-4371-B0BB-8F9962D21228}"/>
  <sortState xmlns:xlrd2="http://schemas.microsoft.com/office/spreadsheetml/2017/richdata2" ref="I5:J10">
    <sortCondition ref="J4:J10"/>
  </sortState>
  <tableColumns count="2">
    <tableColumn id="1" xr3:uid="{82F5BB6B-0EC7-4077-B16B-ACCD87098A8D}" name="Standard (mm)" dataDxfId="44" dataCellStyle="Input"/>
    <tableColumn id="3" xr3:uid="{373993A9-4710-478C-9EE7-52600C4EE1CC}" name="Max cut (mm)" dataDxfId="43"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L4:M7" totalsRowShown="0" headerRowDxfId="42" dataDxfId="41">
  <autoFilter ref="L4:M7" xr:uid="{98B60C2B-9BAB-43DB-9D0B-2AF9E4EDFAAF}"/>
  <tableColumns count="2">
    <tableColumn id="1" xr3:uid="{33DFDE00-0307-4FA5-8852-A2E11B18FD2D}" name="Standard (mm)" dataDxfId="40"/>
    <tableColumn id="3" xr3:uid="{B4507771-0E50-4655-A977-CCFE84522E91}" name="Max cut (mm)" dataDxfId="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37" dataDxfId="36" tableBorderDxfId="35">
  <autoFilter ref="G11:H19" xr:uid="{00B1724C-3B19-4B0D-8442-AA99743F92FF}"/>
  <tableColumns count="2">
    <tableColumn id="1" xr3:uid="{C9F49D4B-53E2-488D-9EB3-647AEE3F192C}" name="Item" dataDxfId="34"/>
    <tableColumn id="2" xr3:uid="{475649B0-B57B-45EC-BAE7-B1F0962942E7}" name="Price"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1">
  <autoFilter ref="M11:N19" xr:uid="{EFB736B9-D117-475E-8752-3686B271059F}"/>
  <tableColumns count="2">
    <tableColumn id="1" xr3:uid="{16B15BCE-3840-43C0-8270-35D72856772F}" name="Item" dataDxfId="30"/>
    <tableColumn id="2" xr3:uid="{DA15E9DC-CBB8-4C49-A080-A7D1116A95AF}" name="Price"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28">
  <autoFilter ref="A11:B14" xr:uid="{3AB9E48B-CDF4-4D87-9D2B-60C3D872B911}"/>
  <tableColumns count="2">
    <tableColumn id="1" xr3:uid="{372558CA-34C0-4DAC-8CB7-5AA7B8F7C189}" name="Item"/>
    <tableColumn id="2" xr3:uid="{138F8550-E333-4554-A8B5-74EE555FF4DC}" name="Price"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26">
  <autoFilter ref="P11:Q14" xr:uid="{895C630A-D575-4D52-9F9F-A8C5D69A7612}"/>
  <tableColumns count="2">
    <tableColumn id="1" xr3:uid="{99A74DB6-0D81-4876-BB5F-FEBFAB303A55}" name="Item" dataDxfId="25"/>
    <tableColumn id="2" xr3:uid="{64A14F6A-18C3-4AC3-B109-EE39FA2A2FA5}" name="Price" dataDxfId="2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3">
  <autoFilter ref="S11:T14" xr:uid="{15A36B3F-984D-4A7B-96ED-CF8450EF78C2}"/>
  <tableColumns count="2">
    <tableColumn id="1" xr3:uid="{5378677E-3079-43A4-A740-4E78EA5CE9F9}" name="Item" dataDxfId="22"/>
    <tableColumn id="2" xr3:uid="{4DF3F40E-A359-4E72-B8EB-F311F795740E}" name="Price" dataDxfId="2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0" dataDxfId="19">
  <autoFilter ref="C4:C7" xr:uid="{0902FF45-95D7-4CB3-B877-36956C4D8363}"/>
  <tableColumns count="1">
    <tableColumn id="1" xr3:uid="{50D2381B-209A-4F94-BAC9-AD26CCC2B599}" name="Fire rating" dataDxfId="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7" dataDxfId="16">
  <autoFilter ref="G4:G7" xr:uid="{E68C8121-B1C7-4F44-88A0-4760005BA04B}"/>
  <tableColumns count="1">
    <tableColumn id="1" xr3:uid="{EF3492D1-961F-4120-9E07-95AC7765D076}" name="Doorset Layout"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 dataDxfId="13">
  <autoFilter ref="A4:A7" xr:uid="{46B05878-3C26-48D2-BABD-E80EB00EAFDE}"/>
  <tableColumns count="1">
    <tableColumn id="1" xr3:uid="{1A4F6AEC-2F7E-4A56-B69B-4522423F94AB}" name="Door spec" dataDxfId="1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1" dataDxfId="10" tableBorderDxfId="9">
  <autoFilter ref="E4:E7" xr:uid="{4748AB34-0A5E-4AAC-837B-1180BBF3B96F}"/>
  <tableColumns count="1">
    <tableColumn id="1" xr3:uid="{56FB0A26-AE6B-450B-ADE8-560BDC50B014}" name="Flipper colour" dataDxfId="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7">
  <autoFilter ref="K4:K15" xr:uid="{D0000841-D9B1-4F52-8B4F-5D8B780DC3CC}"/>
  <tableColumns count="1">
    <tableColumn id="1" xr3:uid="{2AD5D4B7-75C8-4A37-8B37-4764C7662513}" name="Aperture quantity" dataDxfId="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5">
  <autoFilter ref="M4:M13" xr:uid="{16BC64D3-E8F0-40DB-BC03-23BC06B38158}"/>
  <tableColumns count="1">
    <tableColumn id="1" xr3:uid="{8FC30FDF-F578-4F23-B254-BCD94615C606}" name="Hinge quantity" dataDxfId="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
  <autoFilter ref="O4:O15" xr:uid="{5186BBEE-A296-4090-A40C-CAEE5313AC17}"/>
  <tableColumns count="1">
    <tableColumn id="1" xr3:uid="{3B933C82-CABA-418F-A60A-5DDB1C654177}" name="Flush bolt quantity" dataDxfId="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
  <autoFilter ref="Q4:Q15" xr:uid="{8F440D9B-3CA6-4D3E-9DAB-600BAB5F6854}"/>
  <tableColumns count="1">
    <tableColumn id="1" xr3:uid="{C73BC335-20CE-4047-AC9D-1CC97D9AEAB5}" name="Roller catch quant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3"/>
      <c r="F1" t="s">
        <v>2</v>
      </c>
    </row>
    <row r="2" spans="1:15" s="81" customFormat="1" ht="30.95" customHeight="1" x14ac:dyDescent="0.3">
      <c r="A2" s="8" t="s">
        <v>1</v>
      </c>
      <c r="B2" s="81" t="str">
        <f>oeFilename &amp; " v" &amp;TEXT(oeReleaseNumber,"0.00")</f>
        <v>Redwells v0.38</v>
      </c>
      <c r="D2" s="82"/>
      <c r="E2" s="83"/>
      <c r="F2" s="84"/>
      <c r="G2" s="85"/>
      <c r="O2" s="81" t="s">
        <v>2</v>
      </c>
    </row>
    <row r="3" spans="1:15" ht="18" customHeight="1" x14ac:dyDescent="0.2">
      <c r="A3" s="21"/>
      <c r="E3"/>
      <c r="G3" s="13"/>
    </row>
    <row r="4" spans="1:15" ht="18" customHeight="1" thickBot="1" x14ac:dyDescent="0.35">
      <c r="A4" s="8" t="s">
        <v>196</v>
      </c>
      <c r="B4" s="87"/>
      <c r="E4"/>
      <c r="G4" s="13"/>
    </row>
    <row r="5" spans="1:15" ht="15" customHeight="1" x14ac:dyDescent="0.25">
      <c r="A5" s="88" t="s">
        <v>197</v>
      </c>
      <c r="B5" s="161"/>
      <c r="E5"/>
    </row>
    <row r="6" spans="1:15" ht="15" customHeight="1" x14ac:dyDescent="0.25">
      <c r="A6" s="89" t="s">
        <v>198</v>
      </c>
      <c r="B6" s="162"/>
      <c r="E6" s="46"/>
    </row>
    <row r="7" spans="1:15" ht="15" customHeight="1" x14ac:dyDescent="0.25">
      <c r="A7" s="89" t="s">
        <v>199</v>
      </c>
      <c r="B7" s="162"/>
      <c r="E7" s="46"/>
    </row>
    <row r="8" spans="1:15" ht="15" customHeight="1" x14ac:dyDescent="0.25">
      <c r="A8" s="89" t="s">
        <v>11</v>
      </c>
      <c r="B8" s="162"/>
      <c r="E8" s="46"/>
    </row>
    <row r="9" spans="1:15" ht="15" customHeight="1" x14ac:dyDescent="0.25">
      <c r="A9" s="89" t="s">
        <v>12</v>
      </c>
      <c r="B9" s="162"/>
      <c r="E9" s="46"/>
    </row>
    <row r="10" spans="1:15" ht="15" customHeight="1" x14ac:dyDescent="0.25">
      <c r="A10" s="89" t="s">
        <v>205</v>
      </c>
      <c r="B10" s="162"/>
      <c r="E10" s="46"/>
    </row>
    <row r="11" spans="1:15" ht="15" customHeight="1" x14ac:dyDescent="0.25">
      <c r="A11" s="89" t="s">
        <v>202</v>
      </c>
      <c r="B11" s="172">
        <v>44112.366736111115</v>
      </c>
      <c r="C11" s="44"/>
      <c r="E11" s="46"/>
    </row>
    <row r="12" spans="1:15" ht="15" customHeight="1" thickBot="1" x14ac:dyDescent="0.3">
      <c r="A12" s="90" t="s">
        <v>203</v>
      </c>
      <c r="B12" s="163"/>
      <c r="C12" s="44"/>
      <c r="E12" s="46"/>
    </row>
    <row r="13" spans="1:15" ht="20.100000000000001" customHeight="1" x14ac:dyDescent="0.2">
      <c r="C13" s="44"/>
      <c r="E13" s="46"/>
    </row>
    <row r="14" spans="1:15" ht="20.100000000000001" customHeight="1" thickBot="1" x14ac:dyDescent="0.35">
      <c r="A14" s="8" t="s">
        <v>218</v>
      </c>
      <c r="B14" s="87"/>
      <c r="C14" s="44"/>
      <c r="E14" s="46"/>
    </row>
    <row r="15" spans="1:15" ht="15" customHeight="1" x14ac:dyDescent="0.25">
      <c r="A15" s="93" t="s">
        <v>217</v>
      </c>
      <c r="B15" s="94"/>
      <c r="C15" s="44"/>
      <c r="E15" s="46"/>
    </row>
    <row r="16" spans="1:15" ht="15" customHeight="1" x14ac:dyDescent="0.25">
      <c r="A16" s="105" t="s">
        <v>240</v>
      </c>
      <c r="B16" s="106"/>
      <c r="C16" s="44"/>
      <c r="E16" s="46"/>
    </row>
    <row r="17" spans="1:6" ht="15" customHeight="1" x14ac:dyDescent="0.25">
      <c r="A17" s="105" t="s">
        <v>239</v>
      </c>
      <c r="B17" s="106"/>
      <c r="C17" s="44"/>
      <c r="E17" s="46"/>
    </row>
    <row r="18" spans="1:6" ht="15" customHeight="1" x14ac:dyDescent="0.25">
      <c r="A18" s="95" t="s">
        <v>219</v>
      </c>
      <c r="B18" s="96"/>
      <c r="C18" s="44"/>
      <c r="E18" s="46"/>
    </row>
    <row r="19" spans="1:6" ht="15" customHeight="1" x14ac:dyDescent="0.25">
      <c r="A19" s="95" t="s">
        <v>220</v>
      </c>
      <c r="B19" s="96"/>
      <c r="C19" s="44"/>
      <c r="E19" s="46"/>
    </row>
    <row r="20" spans="1:6" ht="15" customHeight="1" x14ac:dyDescent="0.25">
      <c r="A20" s="95" t="s">
        <v>221</v>
      </c>
      <c r="B20" s="96"/>
      <c r="C20" s="44"/>
      <c r="E20" s="46"/>
    </row>
    <row r="21" spans="1:6" ht="15" customHeight="1" x14ac:dyDescent="0.25">
      <c r="A21" s="95" t="s">
        <v>222</v>
      </c>
      <c r="B21" s="96"/>
      <c r="C21" s="44"/>
      <c r="E21" s="46"/>
    </row>
    <row r="22" spans="1:6" ht="15" customHeight="1" thickBot="1" x14ac:dyDescent="0.3">
      <c r="A22" s="97" t="s">
        <v>223</v>
      </c>
      <c r="B22" s="98"/>
      <c r="C22" s="44"/>
      <c r="E22" s="46"/>
    </row>
    <row r="23" spans="1:6" ht="30.95" customHeight="1" x14ac:dyDescent="0.2">
      <c r="E23"/>
    </row>
    <row r="24" spans="1:6" ht="30.95" customHeight="1" x14ac:dyDescent="0.2">
      <c r="A24" s="8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336</v>
      </c>
      <c r="B33" s="5" t="s">
        <v>399</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9"/>
      <c r="E40" s="52"/>
      <c r="F40" s="30"/>
    </row>
    <row r="41" spans="1:9" x14ac:dyDescent="0.2">
      <c r="C41" s="28"/>
      <c r="D41" s="189"/>
      <c r="E41" s="52"/>
      <c r="F41" s="30"/>
    </row>
    <row r="42" spans="1:9" x14ac:dyDescent="0.2">
      <c r="C42" s="28"/>
      <c r="D42" s="189"/>
      <c r="E42" s="52"/>
      <c r="F42" s="30"/>
    </row>
    <row r="43" spans="1:9" x14ac:dyDescent="0.2">
      <c r="C43" s="28"/>
      <c r="D43" s="189"/>
      <c r="E43" s="52"/>
      <c r="F43" s="30"/>
    </row>
    <row r="44" spans="1:9" x14ac:dyDescent="0.2">
      <c r="C44" s="28"/>
      <c r="D44" s="189"/>
      <c r="E44" s="52"/>
      <c r="F44" s="30"/>
    </row>
    <row r="45" spans="1:9" x14ac:dyDescent="0.2">
      <c r="A45" s="20"/>
      <c r="B45" s="20"/>
      <c r="C45" s="28"/>
      <c r="D45" s="189"/>
      <c r="E45" s="52"/>
      <c r="F45" s="30"/>
    </row>
    <row r="46" spans="1:9" x14ac:dyDescent="0.2">
      <c r="A46" s="20"/>
      <c r="B46" s="20"/>
      <c r="C46" s="28"/>
      <c r="D46" s="189"/>
      <c r="E46" s="52"/>
      <c r="F46" s="30"/>
    </row>
    <row r="47" spans="1:9" x14ac:dyDescent="0.2">
      <c r="A47" s="20"/>
      <c r="B47" s="20"/>
      <c r="C47" s="28"/>
      <c r="D47" s="189"/>
      <c r="E47" s="52"/>
      <c r="F47" s="30"/>
    </row>
    <row r="48" spans="1:9" x14ac:dyDescent="0.2">
      <c r="A48" s="20"/>
      <c r="B48" s="20"/>
      <c r="C48" s="28"/>
      <c r="D48" s="189"/>
      <c r="E48" s="52"/>
      <c r="F48" s="30"/>
    </row>
    <row r="49" spans="1:6" x14ac:dyDescent="0.2">
      <c r="A49" s="20"/>
      <c r="B49" s="20"/>
      <c r="C49" s="28"/>
      <c r="D49" s="189"/>
      <c r="E49" s="52"/>
      <c r="F49" s="30"/>
    </row>
    <row r="50" spans="1:6" x14ac:dyDescent="0.2">
      <c r="A50" s="20"/>
      <c r="B50" s="20"/>
      <c r="C50" s="28"/>
      <c r="D50" s="189"/>
      <c r="E50" s="52"/>
      <c r="F50" s="30"/>
    </row>
    <row r="51" spans="1:6" x14ac:dyDescent="0.2">
      <c r="A51" s="20"/>
      <c r="B51" s="20"/>
      <c r="C51" s="28"/>
      <c r="D51" s="189"/>
      <c r="E51" s="52"/>
      <c r="F51" s="30"/>
    </row>
    <row r="52" spans="1:6" x14ac:dyDescent="0.2">
      <c r="A52" s="20"/>
      <c r="B52" s="20"/>
      <c r="C52" s="28"/>
      <c r="D52" s="189"/>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9"/>
      <c r="E55" s="52"/>
      <c r="F55" s="30"/>
    </row>
    <row r="56" spans="1:6" ht="15.75" x14ac:dyDescent="0.25">
      <c r="A56" s="25"/>
      <c r="B56" s="20"/>
      <c r="C56" s="28"/>
      <c r="D56" s="189"/>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sheetProtection sheet="1" objects="1" scenarios="1"/>
  <mergeCells count="4">
    <mergeCell ref="D49:D52"/>
    <mergeCell ref="D55:D56"/>
    <mergeCell ref="D40:D43"/>
    <mergeCell ref="D44:D4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47"/>
      <c r="B1" s="147"/>
      <c r="C1" s="147"/>
      <c r="D1" s="147"/>
      <c r="E1" s="147"/>
      <c r="F1" s="147"/>
      <c r="G1" s="86"/>
      <c r="H1" s="91"/>
    </row>
    <row r="2" spans="1:11" ht="69.95" customHeight="1" x14ac:dyDescent="0.25">
      <c r="A2" s="147"/>
      <c r="B2" s="147"/>
      <c r="C2" s="147"/>
      <c r="D2" s="147"/>
      <c r="E2" s="147"/>
      <c r="F2" s="147"/>
      <c r="G2" s="19"/>
    </row>
    <row r="3" spans="1:11" s="92" customFormat="1" ht="69.95" customHeight="1" x14ac:dyDescent="0.25">
      <c r="A3" s="147"/>
      <c r="B3" s="147"/>
      <c r="C3" s="147"/>
      <c r="D3" s="147"/>
      <c r="E3" s="147"/>
      <c r="F3" s="147"/>
      <c r="G3"/>
      <c r="H3"/>
      <c r="I3"/>
      <c r="J3"/>
      <c r="K3"/>
    </row>
    <row r="4" spans="1:11" ht="69.95" customHeight="1" x14ac:dyDescent="0.25">
      <c r="A4" s="147"/>
      <c r="B4" s="147"/>
      <c r="C4" s="147"/>
      <c r="D4" s="147"/>
      <c r="E4" s="147"/>
      <c r="F4" s="147"/>
    </row>
    <row r="5" spans="1:11" ht="69.95" customHeight="1" x14ac:dyDescent="0.25">
      <c r="A5" s="147"/>
      <c r="B5" s="147"/>
      <c r="C5" s="147"/>
      <c r="D5" s="147"/>
      <c r="E5" s="147"/>
      <c r="F5" s="147"/>
    </row>
    <row r="6" spans="1:11" ht="69.95" customHeight="1" x14ac:dyDescent="0.25">
      <c r="A6" s="147"/>
      <c r="B6" s="147"/>
      <c r="C6" s="147"/>
      <c r="D6" s="147"/>
      <c r="E6" s="147"/>
      <c r="F6" s="147"/>
    </row>
    <row r="7" spans="1:11" ht="69.95" customHeight="1" x14ac:dyDescent="0.25">
      <c r="A7" s="147"/>
      <c r="B7" s="147"/>
      <c r="C7" s="147"/>
      <c r="D7" s="147"/>
      <c r="E7" s="147"/>
      <c r="F7" s="147"/>
      <c r="G7" s="86"/>
    </row>
    <row r="8" spans="1:11" s="146" customFormat="1" ht="30" customHeight="1" x14ac:dyDescent="0.3">
      <c r="A8" s="178" t="s">
        <v>378</v>
      </c>
      <c r="B8" s="178" t="s">
        <v>6</v>
      </c>
      <c r="C8" s="178" t="s">
        <v>36</v>
      </c>
      <c r="D8" s="178" t="s">
        <v>379</v>
      </c>
      <c r="E8" s="178" t="s">
        <v>380</v>
      </c>
      <c r="F8" s="178" t="s">
        <v>381</v>
      </c>
    </row>
    <row r="9" spans="1:11" ht="69.95" customHeight="1" x14ac:dyDescent="0.25">
      <c r="A9" s="179">
        <v>1</v>
      </c>
      <c r="B9" s="180" t="s">
        <v>382</v>
      </c>
      <c r="C9" s="147">
        <v>1</v>
      </c>
      <c r="D9" s="181" t="s">
        <v>383</v>
      </c>
      <c r="E9" s="181" t="s">
        <v>394</v>
      </c>
      <c r="F9" s="182">
        <v>120.5129</v>
      </c>
    </row>
    <row r="10" spans="1:11" ht="69.95" customHeight="1" x14ac:dyDescent="0.25">
      <c r="A10" s="147"/>
      <c r="B10" s="147"/>
      <c r="C10" s="147"/>
      <c r="D10" s="147"/>
      <c r="E10" s="147"/>
      <c r="F10" s="147"/>
    </row>
    <row r="11" spans="1:11" ht="30" customHeight="1" x14ac:dyDescent="0.25">
      <c r="A11" s="147"/>
      <c r="B11" s="147"/>
      <c r="C11" s="147"/>
      <c r="D11" s="147"/>
      <c r="E11" s="147"/>
      <c r="F11" s="183">
        <v>120.5129</v>
      </c>
    </row>
    <row r="12" spans="1:11" ht="30" customHeight="1" x14ac:dyDescent="0.25">
      <c r="A12" s="147"/>
      <c r="B12" s="147"/>
      <c r="C12" s="147"/>
      <c r="D12" s="184" t="s">
        <v>384</v>
      </c>
      <c r="E12" s="147"/>
      <c r="F12" s="182">
        <v>24.10258</v>
      </c>
    </row>
    <row r="13" spans="1:11" ht="30" customHeight="1" thickBot="1" x14ac:dyDescent="0.3">
      <c r="A13" s="147"/>
      <c r="B13" s="147"/>
      <c r="C13" s="147"/>
      <c r="D13" s="185" t="s">
        <v>385</v>
      </c>
      <c r="E13" s="147"/>
      <c r="F13" s="186">
        <v>144.61547999999999</v>
      </c>
    </row>
    <row r="14" spans="1:11" ht="90" customHeight="1" thickTop="1" x14ac:dyDescent="0.3">
      <c r="A14" s="190" t="s">
        <v>386</v>
      </c>
      <c r="B14" s="190"/>
      <c r="C14" s="190"/>
      <c r="D14" s="190"/>
      <c r="E14" s="190"/>
      <c r="F14" s="190"/>
    </row>
    <row r="15" spans="1:11" ht="69.95" customHeight="1" x14ac:dyDescent="0.25">
      <c r="A15" s="147"/>
      <c r="B15" s="147"/>
      <c r="C15" s="147"/>
      <c r="D15" s="147"/>
      <c r="E15" s="147"/>
      <c r="F15" s="147"/>
    </row>
    <row r="16" spans="1:11" ht="69.95" customHeight="1" x14ac:dyDescent="0.25">
      <c r="A16" s="147"/>
      <c r="B16" s="147"/>
      <c r="C16" s="147"/>
      <c r="D16" s="147"/>
      <c r="E16" s="147"/>
      <c r="F16" s="147"/>
    </row>
    <row r="17" spans="1:6" ht="69.95" customHeight="1" x14ac:dyDescent="0.25">
      <c r="A17" s="147"/>
      <c r="B17" s="147"/>
      <c r="C17" s="147"/>
      <c r="D17" s="147"/>
      <c r="E17" s="147"/>
      <c r="F17" s="147"/>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sheetProtection sheet="1" objects="1" scenarios="1"/>
  <mergeCells count="1">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4"/>
      <c r="G1" s="134"/>
      <c r="H1" s="91"/>
    </row>
    <row r="2" spans="1:12" ht="32.1" customHeight="1" x14ac:dyDescent="0.25">
      <c r="A2" s="3" t="s">
        <v>204</v>
      </c>
      <c r="C2" s="3"/>
      <c r="D2" s="137" t="str">
        <f xml:space="preserve"> "P/O number: " &amp; PurchaseOrderNoRW &amp; ", Customer: " &amp; CustomerCompany</f>
        <v xml:space="preserve">P/O number: , Customer: </v>
      </c>
      <c r="E2" s="160"/>
      <c r="F2" s="160"/>
      <c r="G2" s="160"/>
      <c r="H2" s="160"/>
      <c r="I2" s="160"/>
      <c r="J2" s="160"/>
      <c r="K2" s="160"/>
      <c r="L2" s="160"/>
    </row>
    <row r="3" spans="1:12" s="92" customFormat="1" ht="30" customHeight="1" x14ac:dyDescent="0.2">
      <c r="A3" s="125" t="s">
        <v>343</v>
      </c>
      <c r="B3" s="125" t="s">
        <v>127</v>
      </c>
      <c r="C3" s="125" t="s">
        <v>67</v>
      </c>
      <c r="D3" s="125" t="s">
        <v>68</v>
      </c>
      <c r="E3" s="125" t="s">
        <v>65</v>
      </c>
      <c r="F3" s="125" t="s">
        <v>126</v>
      </c>
      <c r="G3" s="125" t="s">
        <v>125</v>
      </c>
      <c r="H3" s="126" t="s">
        <v>97</v>
      </c>
      <c r="I3" s="126" t="s">
        <v>207</v>
      </c>
      <c r="J3" s="126" t="s">
        <v>226</v>
      </c>
      <c r="K3" s="151" t="s">
        <v>212</v>
      </c>
      <c r="L3" s="153" t="s">
        <v>206</v>
      </c>
    </row>
    <row r="4" spans="1:12" x14ac:dyDescent="0.2">
      <c r="A4" s="45">
        <v>1</v>
      </c>
      <c r="B4" s="45" t="s">
        <v>87</v>
      </c>
      <c r="C4" s="45" t="s">
        <v>22</v>
      </c>
      <c r="D4" s="45" t="s">
        <v>61</v>
      </c>
      <c r="E4" s="45" t="s">
        <v>85</v>
      </c>
      <c r="F4" s="45">
        <v>32</v>
      </c>
      <c r="G4" s="45">
        <v>55</v>
      </c>
      <c r="H4" s="45">
        <v>2</v>
      </c>
      <c r="I4" s="45">
        <v>1525</v>
      </c>
      <c r="J4" s="45">
        <v>12</v>
      </c>
      <c r="K4" s="45">
        <v>1</v>
      </c>
      <c r="L4">
        <v>908</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4" customWidth="1"/>
    <col min="2" max="2" width="11" style="45" customWidth="1"/>
    <col min="3" max="3" width="9.33203125" style="144" customWidth="1"/>
    <col min="4" max="4" width="10.33203125" style="144" customWidth="1"/>
    <col min="5" max="5" width="11.83203125" style="145"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38"/>
      <c r="C1" s="139"/>
      <c r="D1" s="139"/>
      <c r="E1" s="138"/>
      <c r="F1" s="140"/>
      <c r="G1" s="140"/>
      <c r="H1" s="141"/>
    </row>
    <row r="2" spans="1:16" ht="32.1" customHeight="1" x14ac:dyDescent="0.2">
      <c r="A2" s="3" t="s">
        <v>270</v>
      </c>
      <c r="C2"/>
      <c r="D2" s="137" t="str">
        <f xml:space="preserve"> "P/O number: " &amp; PurchaseOrderNoRW &amp; ", Customer: " &amp; CustomerCompany</f>
        <v xml:space="preserve">P/O number: , Customer: </v>
      </c>
      <c r="E2"/>
      <c r="F2"/>
      <c r="G2"/>
      <c r="H2"/>
      <c r="I2"/>
      <c r="J2"/>
    </row>
    <row r="3" spans="1:16" s="92" customFormat="1" ht="30" customHeight="1" x14ac:dyDescent="0.2">
      <c r="A3" s="129" t="s">
        <v>343</v>
      </c>
      <c r="B3" s="129" t="s">
        <v>69</v>
      </c>
      <c r="C3" s="129" t="s">
        <v>57</v>
      </c>
      <c r="D3" s="129" t="s">
        <v>67</v>
      </c>
      <c r="E3" s="129" t="s">
        <v>75</v>
      </c>
      <c r="F3" s="122" t="s">
        <v>74</v>
      </c>
      <c r="G3" s="122" t="s">
        <v>68</v>
      </c>
      <c r="H3" s="122" t="s">
        <v>65</v>
      </c>
      <c r="I3" s="122" t="s">
        <v>71</v>
      </c>
      <c r="J3" s="122" t="s">
        <v>111</v>
      </c>
      <c r="K3" s="122" t="s">
        <v>109</v>
      </c>
      <c r="L3" s="122" t="s">
        <v>110</v>
      </c>
      <c r="M3" s="122" t="s">
        <v>18</v>
      </c>
      <c r="N3" s="122" t="s">
        <v>15</v>
      </c>
      <c r="O3" s="122" t="s">
        <v>79</v>
      </c>
      <c r="P3" s="122" t="s">
        <v>359</v>
      </c>
    </row>
    <row r="4" spans="1:16" x14ac:dyDescent="0.2">
      <c r="A4" s="45">
        <v>1</v>
      </c>
      <c r="B4" s="45" t="s">
        <v>391</v>
      </c>
      <c r="C4" s="45" t="s">
        <v>58</v>
      </c>
      <c r="D4" s="45" t="s">
        <v>22</v>
      </c>
      <c r="E4" s="45">
        <v>0</v>
      </c>
      <c r="F4" s="45" t="s">
        <v>66</v>
      </c>
      <c r="G4" s="45" t="s">
        <v>61</v>
      </c>
      <c r="H4" s="45" t="s">
        <v>85</v>
      </c>
      <c r="I4" s="45" t="s">
        <v>23</v>
      </c>
      <c r="J4" s="45">
        <v>1500</v>
      </c>
      <c r="K4" s="45">
        <v>838</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59"/>
      <c r="K190" s="59"/>
      <c r="L190" s="59"/>
      <c r="M190" s="59"/>
      <c r="N190" s="59"/>
      <c r="O190" s="59"/>
    </row>
  </sheetData>
  <sheetProtection sheet="1" objects="1" scenarios="1"/>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208</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343</v>
      </c>
      <c r="B3" s="127" t="s">
        <v>123</v>
      </c>
      <c r="C3" s="127" t="s">
        <v>67</v>
      </c>
      <c r="D3" s="127" t="s">
        <v>128</v>
      </c>
      <c r="E3" s="127" t="s">
        <v>122</v>
      </c>
      <c r="F3" s="127" t="s">
        <v>97</v>
      </c>
      <c r="G3" s="127" t="s">
        <v>210</v>
      </c>
      <c r="H3" s="128" t="s">
        <v>212</v>
      </c>
      <c r="I3" s="128" t="s">
        <v>209</v>
      </c>
      <c r="J3"/>
      <c r="K3"/>
    </row>
    <row r="4" spans="1:11" x14ac:dyDescent="0.2">
      <c r="A4" s="45">
        <v>1</v>
      </c>
      <c r="B4" s="45" t="s">
        <v>86</v>
      </c>
      <c r="C4" s="45" t="s">
        <v>22</v>
      </c>
      <c r="D4" s="45">
        <v>46</v>
      </c>
      <c r="E4" s="45">
        <v>50</v>
      </c>
      <c r="F4" s="45">
        <v>2</v>
      </c>
      <c r="G4" s="45">
        <v>1467</v>
      </c>
      <c r="H4" s="45">
        <v>1</v>
      </c>
      <c r="I4" s="45">
        <v>844</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366</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343</v>
      </c>
      <c r="B3" s="127" t="s">
        <v>362</v>
      </c>
      <c r="C3" s="127" t="s">
        <v>364</v>
      </c>
      <c r="D3" s="127" t="s">
        <v>365</v>
      </c>
      <c r="E3" s="127" t="s">
        <v>97</v>
      </c>
      <c r="F3" s="127" t="s">
        <v>207</v>
      </c>
      <c r="G3" s="127" t="s">
        <v>212</v>
      </c>
      <c r="H3" s="128" t="s">
        <v>206</v>
      </c>
      <c r="I3"/>
      <c r="J3"/>
      <c r="K3"/>
    </row>
    <row r="4" spans="1:11" x14ac:dyDescent="0.2">
      <c r="A4" s="45">
        <v>1</v>
      </c>
      <c r="B4" s="45" t="s">
        <v>88</v>
      </c>
      <c r="C4" s="45">
        <v>23</v>
      </c>
      <c r="D4" s="45">
        <v>20</v>
      </c>
      <c r="E4" s="45">
        <v>2</v>
      </c>
      <c r="F4" s="45">
        <v>1525</v>
      </c>
      <c r="G4" s="45">
        <v>1</v>
      </c>
      <c r="H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1"/>
      <c r="C1" s="40"/>
      <c r="D1" s="40"/>
      <c r="E1" s="111"/>
      <c r="F1" s="19"/>
      <c r="G1" s="19"/>
      <c r="H1" s="91"/>
    </row>
    <row r="2" spans="1:11" ht="32.1" customHeight="1" x14ac:dyDescent="0.2">
      <c r="A2" s="152" t="s">
        <v>344</v>
      </c>
      <c r="C2" s="152"/>
      <c r="D2" s="137" t="str">
        <f xml:space="preserve"> "P/O number: " &amp; PurchaseOrderNoRW &amp; ", Customer: " &amp; CustomerCompany</f>
        <v xml:space="preserve">P/O number: , Customer: </v>
      </c>
      <c r="E2"/>
    </row>
    <row r="3" spans="1:11" s="92" customFormat="1" ht="30" customHeight="1" x14ac:dyDescent="0.2">
      <c r="A3" s="122" t="s">
        <v>343</v>
      </c>
      <c r="B3" s="122" t="s">
        <v>130</v>
      </c>
      <c r="C3" s="122" t="s">
        <v>134</v>
      </c>
      <c r="D3" s="122" t="s">
        <v>135</v>
      </c>
      <c r="E3" s="122"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34"/>
      <c r="H1" s="91"/>
    </row>
    <row r="2" spans="1:11" s="86" customFormat="1" ht="32.1" customHeight="1" x14ac:dyDescent="0.2">
      <c r="A2" s="3" t="s">
        <v>211</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343</v>
      </c>
      <c r="B3" s="127" t="s">
        <v>114</v>
      </c>
      <c r="C3" s="127" t="s">
        <v>131</v>
      </c>
      <c r="D3" s="127" t="s">
        <v>115</v>
      </c>
      <c r="E3" s="127" t="s">
        <v>116</v>
      </c>
      <c r="F3" s="127"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4"/>
      <c r="B190" s="45"/>
      <c r="C190" s="144"/>
      <c r="D190" s="144"/>
      <c r="E190" s="145"/>
      <c r="F190" s="59"/>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21" style="145"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38"/>
      <c r="C1" s="139"/>
      <c r="D1" s="142"/>
      <c r="E1" s="142"/>
      <c r="F1" s="142"/>
      <c r="G1" s="137"/>
      <c r="H1" s="137"/>
      <c r="I1" s="137"/>
      <c r="J1" s="137"/>
      <c r="K1" s="137"/>
      <c r="L1" s="137"/>
    </row>
    <row r="2" spans="1:12" s="86" customFormat="1" ht="32.1" customHeight="1" x14ac:dyDescent="0.2">
      <c r="A2" s="3" t="s">
        <v>216</v>
      </c>
      <c r="C2" s="3"/>
      <c r="D2" s="137" t="str">
        <f xml:space="preserve"> "P/O number: " &amp; PurchaseOrderNoRW &amp; ", Customer: " &amp; CustomerCompany</f>
        <v xml:space="preserve">P/O number: , Customer: </v>
      </c>
      <c r="E2" s="137"/>
      <c r="F2" s="137"/>
      <c r="G2" s="137"/>
      <c r="H2" s="137"/>
      <c r="I2" s="137"/>
      <c r="J2" s="137"/>
      <c r="K2" s="137"/>
      <c r="L2" s="137"/>
    </row>
    <row r="3" spans="1:12" s="92" customFormat="1" ht="30" customHeight="1" x14ac:dyDescent="0.2">
      <c r="A3" s="122" t="s">
        <v>343</v>
      </c>
      <c r="B3" s="122" t="s">
        <v>233</v>
      </c>
      <c r="C3" s="122" t="s">
        <v>121</v>
      </c>
      <c r="D3" s="122" t="s">
        <v>120</v>
      </c>
      <c r="E3" s="122" t="s">
        <v>229</v>
      </c>
      <c r="F3" s="122" t="s">
        <v>234</v>
      </c>
      <c r="G3" s="122" t="s">
        <v>347</v>
      </c>
      <c r="H3" s="122" t="s">
        <v>273</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32.83203125" style="145"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91"/>
    </row>
    <row r="2" spans="1:11" s="86" customFormat="1" ht="32.1" customHeight="1" x14ac:dyDescent="0.2">
      <c r="A2" s="3" t="s">
        <v>277</v>
      </c>
      <c r="C2" s="3"/>
      <c r="D2" s="137" t="str">
        <f xml:space="preserve"> "P/O number: " &amp; PurchaseOrderNoRW &amp; ", Customer: " &amp; CustomerCompany</f>
        <v xml:space="preserve">P/O number: , Customer: </v>
      </c>
      <c r="E2" s="149"/>
      <c r="F2" s="150"/>
      <c r="G2" s="150"/>
    </row>
    <row r="3" spans="1:11" s="92" customFormat="1" ht="30" customHeight="1" x14ac:dyDescent="0.2">
      <c r="A3" s="122" t="s">
        <v>343</v>
      </c>
      <c r="B3" s="122" t="s">
        <v>233</v>
      </c>
      <c r="C3" s="122" t="s">
        <v>121</v>
      </c>
      <c r="D3" s="122" t="s">
        <v>120</v>
      </c>
      <c r="E3" s="122" t="s">
        <v>230</v>
      </c>
      <c r="F3" s="122" t="s">
        <v>274</v>
      </c>
      <c r="G3" s="122" t="s">
        <v>346</v>
      </c>
      <c r="H3" s="122" t="s">
        <v>275</v>
      </c>
      <c r="I3"/>
      <c r="J3"/>
      <c r="K3"/>
    </row>
    <row r="4" spans="1:11" x14ac:dyDescent="0.2">
      <c r="A4" s="139"/>
      <c r="B4" s="139"/>
      <c r="C4" s="139"/>
      <c r="D4" s="139"/>
      <c r="E4" s="139"/>
      <c r="F4" s="139"/>
      <c r="G4" s="139"/>
      <c r="H4" s="139"/>
    </row>
    <row r="5" spans="1:11" x14ac:dyDescent="0.2">
      <c r="A5" s="139"/>
      <c r="B5" s="139"/>
      <c r="C5" s="139"/>
      <c r="D5" s="139"/>
      <c r="E5" s="139"/>
      <c r="F5" s="139"/>
      <c r="G5" s="139"/>
      <c r="H5" s="139"/>
    </row>
    <row r="6" spans="1:11" x14ac:dyDescent="0.2">
      <c r="A6" s="139"/>
      <c r="B6" s="139"/>
      <c r="C6" s="139"/>
      <c r="D6" s="139"/>
      <c r="E6" s="139"/>
      <c r="F6" s="139"/>
      <c r="G6" s="139"/>
      <c r="H6" s="139"/>
    </row>
    <row r="7" spans="1:11" x14ac:dyDescent="0.2">
      <c r="A7" s="139"/>
      <c r="B7" s="139"/>
      <c r="C7" s="139"/>
      <c r="D7" s="139"/>
      <c r="E7" s="139"/>
      <c r="F7" s="139"/>
      <c r="G7" s="139"/>
      <c r="H7" s="139"/>
    </row>
    <row r="8" spans="1:11" x14ac:dyDescent="0.2">
      <c r="A8" s="139"/>
      <c r="B8" s="139"/>
      <c r="C8" s="139"/>
      <c r="D8" s="139"/>
      <c r="E8" s="139"/>
      <c r="F8" s="139"/>
      <c r="G8" s="139"/>
      <c r="H8" s="139"/>
    </row>
    <row r="9" spans="1:11" x14ac:dyDescent="0.2">
      <c r="A9" s="139"/>
      <c r="B9" s="139"/>
      <c r="C9" s="139"/>
      <c r="D9" s="139"/>
      <c r="E9" s="139"/>
      <c r="F9" s="139"/>
      <c r="G9" s="139"/>
      <c r="H9" s="139"/>
    </row>
    <row r="10" spans="1:11" x14ac:dyDescent="0.2">
      <c r="A10" s="139"/>
      <c r="B10" s="139"/>
      <c r="C10" s="139"/>
      <c r="D10"/>
      <c r="E10" s="139"/>
      <c r="F10" s="139"/>
      <c r="G10" s="139"/>
      <c r="H10" s="139"/>
    </row>
    <row r="11" spans="1:11" x14ac:dyDescent="0.2">
      <c r="A11" s="139"/>
      <c r="B11" s="139"/>
      <c r="C11" s="139"/>
      <c r="D11" s="139"/>
      <c r="E11" s="139"/>
      <c r="F11" s="139"/>
      <c r="G11" s="139"/>
      <c r="H11" s="139"/>
    </row>
    <row r="12" spans="1:11" x14ac:dyDescent="0.2">
      <c r="A12" s="139"/>
      <c r="B12" s="139"/>
      <c r="C12" s="139"/>
      <c r="D12" s="139"/>
      <c r="E12" s="139"/>
      <c r="F12" s="139"/>
      <c r="G12" s="139"/>
      <c r="H12" s="139"/>
    </row>
    <row r="13" spans="1:11" x14ac:dyDescent="0.2">
      <c r="A13" s="139"/>
      <c r="B13" s="139"/>
      <c r="C13" s="139"/>
      <c r="D13" s="139"/>
      <c r="E13" s="139"/>
      <c r="F13" s="139"/>
      <c r="G13" s="139"/>
      <c r="H13" s="139"/>
    </row>
    <row r="14" spans="1:11" x14ac:dyDescent="0.2">
      <c r="A14" s="139"/>
      <c r="B14" s="139"/>
      <c r="C14" s="139"/>
      <c r="D14" s="139"/>
      <c r="E14" s="139"/>
      <c r="F14" s="139"/>
      <c r="G14" s="139"/>
      <c r="H14" s="139"/>
    </row>
    <row r="15" spans="1:11" x14ac:dyDescent="0.2">
      <c r="A15" s="139"/>
      <c r="B15" s="139"/>
      <c r="C15" s="139"/>
      <c r="D15" s="139"/>
      <c r="E15" s="139"/>
      <c r="F15" s="139"/>
      <c r="G15" s="139"/>
      <c r="H15" s="139"/>
    </row>
    <row r="16" spans="1:11" x14ac:dyDescent="0.2">
      <c r="A16" s="139"/>
      <c r="B16" s="139"/>
      <c r="C16" s="139"/>
      <c r="D16" s="139"/>
      <c r="E16" s="139"/>
      <c r="F16" s="139"/>
      <c r="G16" s="139"/>
      <c r="H16" s="139"/>
    </row>
    <row r="17" spans="1:8" x14ac:dyDescent="0.2">
      <c r="A17" s="139"/>
      <c r="B17" s="139"/>
      <c r="C17" s="139"/>
      <c r="D17" s="139"/>
      <c r="E17" s="139"/>
      <c r="F17" s="139"/>
      <c r="G17" s="139"/>
      <c r="H17" s="139"/>
    </row>
    <row r="18" spans="1:8" x14ac:dyDescent="0.2">
      <c r="A18" s="139"/>
      <c r="B18" s="139"/>
      <c r="C18" s="139"/>
      <c r="D18" s="139"/>
      <c r="E18" s="139"/>
      <c r="F18" s="139"/>
      <c r="G18" s="139"/>
      <c r="H18" s="139"/>
    </row>
    <row r="19" spans="1:8" x14ac:dyDescent="0.2">
      <c r="A19" s="139"/>
      <c r="B19" s="139"/>
      <c r="C19" s="139"/>
      <c r="D19" s="139"/>
      <c r="E19" s="139"/>
      <c r="F19" s="139"/>
      <c r="G19" s="139"/>
      <c r="H19" s="139"/>
    </row>
    <row r="20" spans="1:8" x14ac:dyDescent="0.2">
      <c r="A20" s="139"/>
      <c r="B20" s="139"/>
      <c r="C20" s="139"/>
      <c r="D20" s="139"/>
      <c r="E20" s="139"/>
      <c r="F20" s="139"/>
      <c r="G20" s="139"/>
      <c r="H20" s="139"/>
    </row>
    <row r="21" spans="1:8" x14ac:dyDescent="0.2">
      <c r="A21" s="139"/>
      <c r="B21" s="139"/>
      <c r="C21" s="139"/>
      <c r="D21" s="139"/>
      <c r="E21" s="139"/>
      <c r="F21" s="139"/>
      <c r="G21" s="139"/>
      <c r="H21" s="139"/>
    </row>
    <row r="22" spans="1:8" x14ac:dyDescent="0.2">
      <c r="A22" s="139"/>
      <c r="B22" s="139"/>
      <c r="C22" s="139"/>
      <c r="D22" s="139"/>
      <c r="E22" s="139"/>
      <c r="F22" s="139"/>
      <c r="G22" s="139"/>
      <c r="H22" s="139"/>
    </row>
    <row r="23" spans="1:8" x14ac:dyDescent="0.2">
      <c r="A23" s="139"/>
      <c r="B23" s="139"/>
      <c r="C23" s="139"/>
      <c r="D23" s="139"/>
      <c r="E23" s="139"/>
      <c r="F23" s="139"/>
      <c r="G23" s="139"/>
      <c r="H23" s="139"/>
    </row>
    <row r="24" spans="1:8" x14ac:dyDescent="0.2">
      <c r="A24" s="139"/>
      <c r="B24" s="139"/>
      <c r="C24" s="139"/>
      <c r="D24" s="139"/>
      <c r="E24" s="139"/>
      <c r="F24" s="139"/>
      <c r="G24" s="139"/>
      <c r="H24" s="139"/>
    </row>
    <row r="25" spans="1:8" x14ac:dyDescent="0.2">
      <c r="A25" s="139"/>
      <c r="B25" s="139"/>
      <c r="C25" s="139"/>
      <c r="D25" s="139"/>
      <c r="E25" s="139"/>
      <c r="F25" s="139"/>
      <c r="G25" s="139"/>
      <c r="H25" s="139"/>
    </row>
    <row r="26" spans="1:8" x14ac:dyDescent="0.2">
      <c r="A26" s="139"/>
      <c r="B26" s="139"/>
      <c r="C26" s="139"/>
      <c r="D26" s="139"/>
      <c r="E26" s="139"/>
      <c r="F26" s="139"/>
      <c r="G26" s="139"/>
      <c r="H26" s="139"/>
    </row>
    <row r="27" spans="1:8" x14ac:dyDescent="0.2">
      <c r="A27" s="139"/>
      <c r="B27" s="139"/>
      <c r="C27" s="139"/>
      <c r="D27" s="139"/>
      <c r="E27" s="139"/>
      <c r="F27" s="139"/>
      <c r="G27" s="139"/>
      <c r="H27" s="139"/>
    </row>
    <row r="28" spans="1:8" x14ac:dyDescent="0.2">
      <c r="A28" s="139"/>
      <c r="B28" s="139"/>
      <c r="C28" s="139"/>
      <c r="D28" s="139"/>
      <c r="E28" s="139"/>
      <c r="F28" s="139"/>
      <c r="G28" s="139"/>
      <c r="H28" s="139"/>
    </row>
    <row r="29" spans="1:8" x14ac:dyDescent="0.2">
      <c r="A29" s="139"/>
      <c r="B29" s="139"/>
      <c r="C29" s="139"/>
      <c r="D29" s="139"/>
      <c r="E29" s="139"/>
      <c r="F29" s="139"/>
      <c r="G29" s="139"/>
      <c r="H29" s="139"/>
    </row>
    <row r="30" spans="1:8" x14ac:dyDescent="0.2">
      <c r="A30" s="139"/>
      <c r="B30" s="139"/>
      <c r="C30" s="139"/>
      <c r="D30" s="139"/>
      <c r="E30" s="139"/>
      <c r="F30" s="139"/>
      <c r="G30" s="139"/>
      <c r="H30" s="139"/>
    </row>
    <row r="31" spans="1:8" x14ac:dyDescent="0.2">
      <c r="A31" s="139"/>
      <c r="B31" s="139"/>
      <c r="C31" s="139"/>
      <c r="D31" s="139"/>
      <c r="E31" s="139"/>
      <c r="F31" s="139"/>
      <c r="G31" s="139"/>
      <c r="H31" s="139"/>
    </row>
    <row r="32" spans="1:8" x14ac:dyDescent="0.2">
      <c r="A32" s="139"/>
      <c r="B32" s="139"/>
      <c r="C32" s="139"/>
      <c r="D32" s="139"/>
      <c r="E32" s="139"/>
      <c r="F32" s="139"/>
      <c r="G32" s="139"/>
      <c r="H32" s="139"/>
    </row>
    <row r="33" spans="1:8" x14ac:dyDescent="0.2">
      <c r="A33" s="139"/>
      <c r="B33" s="139"/>
      <c r="C33" s="139"/>
      <c r="D33" s="139"/>
      <c r="E33" s="139"/>
      <c r="F33" s="139"/>
      <c r="G33" s="139"/>
      <c r="H33" s="139"/>
    </row>
    <row r="34" spans="1:8" x14ac:dyDescent="0.2">
      <c r="A34" s="139"/>
      <c r="B34" s="139"/>
      <c r="C34" s="139"/>
      <c r="D34" s="139"/>
      <c r="E34" s="139"/>
      <c r="F34" s="139"/>
      <c r="G34" s="139"/>
      <c r="H34" s="139"/>
    </row>
    <row r="35" spans="1:8" x14ac:dyDescent="0.2">
      <c r="A35" s="139"/>
      <c r="B35" s="139"/>
      <c r="C35" s="139"/>
      <c r="D35" s="139"/>
      <c r="E35" s="139"/>
      <c r="F35" s="139"/>
      <c r="G35" s="139"/>
      <c r="H35" s="139"/>
    </row>
    <row r="36" spans="1:8" x14ac:dyDescent="0.2">
      <c r="A36" s="139"/>
      <c r="B36" s="139"/>
      <c r="C36" s="139"/>
      <c r="D36" s="139"/>
      <c r="E36" s="139"/>
      <c r="F36" s="139"/>
      <c r="G36" s="139"/>
      <c r="H36" s="139"/>
    </row>
    <row r="37" spans="1:8" x14ac:dyDescent="0.2">
      <c r="A37" s="139"/>
      <c r="B37" s="139"/>
      <c r="C37" s="139"/>
      <c r="D37" s="139"/>
      <c r="E37" s="139"/>
      <c r="F37" s="139"/>
      <c r="G37" s="139"/>
      <c r="H37" s="139"/>
    </row>
    <row r="38" spans="1:8" x14ac:dyDescent="0.2">
      <c r="A38" s="139"/>
      <c r="B38" s="139"/>
      <c r="C38" s="139"/>
      <c r="D38" s="139"/>
      <c r="E38" s="139"/>
      <c r="F38" s="139"/>
      <c r="G38" s="139"/>
      <c r="H38" s="139"/>
    </row>
    <row r="39" spans="1:8" x14ac:dyDescent="0.2">
      <c r="A39" s="139"/>
      <c r="B39" s="139"/>
      <c r="C39" s="139"/>
      <c r="D39" s="139"/>
      <c r="E39" s="139"/>
      <c r="F39" s="139"/>
      <c r="G39" s="139"/>
      <c r="H39" s="139"/>
    </row>
    <row r="40" spans="1:8" x14ac:dyDescent="0.2">
      <c r="A40" s="139"/>
      <c r="B40" s="139"/>
      <c r="C40" s="139"/>
      <c r="D40" s="139"/>
      <c r="E40" s="139"/>
      <c r="F40" s="139"/>
      <c r="G40" s="139"/>
      <c r="H40" s="139"/>
    </row>
    <row r="41" spans="1:8" x14ac:dyDescent="0.2">
      <c r="A41" s="139"/>
      <c r="B41" s="139"/>
      <c r="C41" s="139"/>
      <c r="D41" s="139"/>
      <c r="E41" s="139"/>
      <c r="F41" s="139"/>
      <c r="G41" s="139"/>
      <c r="H41" s="139"/>
    </row>
    <row r="42" spans="1:8" x14ac:dyDescent="0.2">
      <c r="A42" s="139"/>
      <c r="B42" s="139"/>
      <c r="C42" s="139"/>
      <c r="D42" s="139"/>
      <c r="E42" s="139"/>
      <c r="F42" s="139"/>
      <c r="G42" s="139"/>
      <c r="H42" s="139"/>
    </row>
    <row r="43" spans="1:8" x14ac:dyDescent="0.2">
      <c r="A43" s="139"/>
      <c r="B43" s="139"/>
      <c r="C43" s="139"/>
      <c r="D43" s="139"/>
      <c r="E43" s="139"/>
      <c r="F43" s="139"/>
      <c r="G43" s="139"/>
      <c r="H43" s="139"/>
    </row>
    <row r="44" spans="1:8" x14ac:dyDescent="0.2">
      <c r="A44" s="139"/>
      <c r="B44" s="139"/>
      <c r="C44" s="139"/>
      <c r="D44" s="139"/>
      <c r="E44" s="139"/>
      <c r="F44" s="139"/>
      <c r="G44" s="139"/>
      <c r="H44" s="139"/>
    </row>
    <row r="45" spans="1:8" x14ac:dyDescent="0.2">
      <c r="A45" s="139"/>
      <c r="B45" s="139"/>
      <c r="C45" s="139"/>
      <c r="D45" s="139"/>
      <c r="E45" s="139"/>
      <c r="F45" s="139"/>
      <c r="G45" s="139"/>
      <c r="H45" s="139"/>
    </row>
    <row r="46" spans="1:8" x14ac:dyDescent="0.2">
      <c r="A46" s="139"/>
      <c r="B46" s="139"/>
      <c r="C46" s="139"/>
      <c r="D46" s="139"/>
      <c r="E46" s="139"/>
      <c r="F46" s="139"/>
      <c r="G46" s="139"/>
      <c r="H46" s="139"/>
    </row>
    <row r="47" spans="1:8" x14ac:dyDescent="0.2">
      <c r="A47" s="139"/>
      <c r="B47" s="139"/>
      <c r="C47" s="139"/>
      <c r="D47" s="139"/>
      <c r="E47" s="139"/>
      <c r="F47" s="139"/>
      <c r="G47" s="139"/>
      <c r="H47" s="139"/>
    </row>
    <row r="48" spans="1:8" x14ac:dyDescent="0.2">
      <c r="A48" s="139"/>
      <c r="B48" s="139"/>
      <c r="C48" s="139"/>
      <c r="D48" s="139"/>
      <c r="E48" s="139"/>
      <c r="F48" s="139"/>
      <c r="G48" s="139"/>
      <c r="H48" s="139"/>
    </row>
    <row r="49" spans="1:8" x14ac:dyDescent="0.2">
      <c r="A49" s="139"/>
      <c r="B49" s="139"/>
      <c r="C49" s="139"/>
      <c r="D49" s="139"/>
      <c r="E49" s="139"/>
      <c r="F49" s="139"/>
      <c r="G49" s="139"/>
      <c r="H49" s="139"/>
    </row>
    <row r="50" spans="1:8" x14ac:dyDescent="0.2">
      <c r="A50" s="139"/>
      <c r="B50" s="139"/>
      <c r="C50" s="139"/>
      <c r="D50" s="139"/>
      <c r="E50" s="139"/>
      <c r="F50" s="139"/>
      <c r="G50" s="139"/>
      <c r="H50" s="139"/>
    </row>
    <row r="51" spans="1:8" x14ac:dyDescent="0.2">
      <c r="A51" s="139"/>
      <c r="B51" s="139"/>
      <c r="C51" s="139"/>
      <c r="D51" s="139"/>
      <c r="E51" s="139"/>
      <c r="F51" s="139"/>
      <c r="G51" s="139"/>
      <c r="H51" s="139"/>
    </row>
    <row r="52" spans="1:8" x14ac:dyDescent="0.2">
      <c r="A52" s="139"/>
      <c r="B52" s="139"/>
      <c r="C52" s="139"/>
      <c r="D52" s="139"/>
      <c r="E52" s="139"/>
      <c r="F52" s="139"/>
      <c r="G52" s="139"/>
      <c r="H52" s="139"/>
    </row>
    <row r="53" spans="1:8" x14ac:dyDescent="0.2">
      <c r="A53" s="139"/>
      <c r="B53" s="139"/>
      <c r="C53" s="139"/>
      <c r="D53" s="139"/>
      <c r="E53" s="139"/>
      <c r="F53" s="139"/>
      <c r="G53" s="139"/>
      <c r="H53" s="139"/>
    </row>
    <row r="54" spans="1:8" x14ac:dyDescent="0.2">
      <c r="A54" s="139"/>
      <c r="B54" s="139"/>
      <c r="C54" s="139"/>
      <c r="D54" s="139"/>
      <c r="E54" s="139"/>
      <c r="F54" s="139"/>
      <c r="G54" s="139"/>
      <c r="H54" s="139"/>
    </row>
    <row r="55" spans="1:8" x14ac:dyDescent="0.2">
      <c r="A55" s="139"/>
      <c r="B55" s="139"/>
      <c r="C55" s="139"/>
      <c r="D55" s="139"/>
      <c r="E55" s="139"/>
      <c r="F55" s="139"/>
      <c r="G55" s="139"/>
      <c r="H55" s="139"/>
    </row>
    <row r="56" spans="1:8" x14ac:dyDescent="0.2">
      <c r="A56" s="139"/>
      <c r="B56" s="139"/>
      <c r="C56" s="139"/>
      <c r="D56" s="139"/>
      <c r="E56" s="139"/>
      <c r="F56" s="139"/>
      <c r="G56" s="139"/>
      <c r="H56" s="139"/>
    </row>
    <row r="57" spans="1:8" x14ac:dyDescent="0.2">
      <c r="A57" s="139"/>
      <c r="B57" s="139"/>
      <c r="C57" s="139"/>
      <c r="D57" s="139"/>
      <c r="E57" s="139"/>
      <c r="F57" s="139"/>
      <c r="G57" s="139"/>
      <c r="H57" s="139"/>
    </row>
    <row r="58" spans="1:8" x14ac:dyDescent="0.2">
      <c r="A58" s="139"/>
      <c r="B58" s="139"/>
      <c r="C58" s="139"/>
      <c r="D58" s="139"/>
      <c r="E58" s="139"/>
      <c r="F58" s="139"/>
      <c r="G58" s="139"/>
      <c r="H58" s="139"/>
    </row>
    <row r="59" spans="1:8" x14ac:dyDescent="0.2">
      <c r="A59" s="139"/>
      <c r="B59" s="139"/>
      <c r="C59" s="139"/>
      <c r="D59" s="139"/>
      <c r="E59" s="139"/>
      <c r="F59" s="139"/>
      <c r="G59" s="139"/>
      <c r="H59" s="139"/>
    </row>
    <row r="60" spans="1:8" x14ac:dyDescent="0.2">
      <c r="A60" s="139"/>
      <c r="B60" s="139"/>
      <c r="C60" s="139"/>
      <c r="D60" s="139"/>
      <c r="E60" s="139"/>
      <c r="F60" s="139"/>
      <c r="G60" s="139"/>
      <c r="H60" s="139"/>
    </row>
    <row r="61" spans="1:8" x14ac:dyDescent="0.2">
      <c r="A61" s="139"/>
      <c r="B61" s="139"/>
      <c r="C61" s="139"/>
      <c r="D61" s="139"/>
      <c r="E61" s="139"/>
      <c r="F61" s="139"/>
      <c r="G61" s="139"/>
      <c r="H61" s="139"/>
    </row>
    <row r="62" spans="1:8" x14ac:dyDescent="0.2">
      <c r="A62" s="139"/>
      <c r="B62" s="139"/>
      <c r="C62" s="139"/>
      <c r="D62" s="139"/>
      <c r="E62" s="139"/>
      <c r="F62" s="139"/>
      <c r="G62" s="139"/>
      <c r="H62" s="139"/>
    </row>
    <row r="63" spans="1:8" x14ac:dyDescent="0.2">
      <c r="A63" s="139"/>
      <c r="B63" s="139"/>
      <c r="C63" s="139"/>
      <c r="D63" s="139"/>
      <c r="E63" s="139"/>
      <c r="F63" s="139"/>
      <c r="G63" s="139"/>
      <c r="H63" s="139"/>
    </row>
    <row r="64" spans="1:8" x14ac:dyDescent="0.2">
      <c r="A64" s="139"/>
      <c r="B64" s="139"/>
      <c r="C64" s="139"/>
      <c r="D64" s="139"/>
      <c r="E64" s="139"/>
      <c r="F64" s="139"/>
      <c r="G64" s="139"/>
      <c r="H64" s="139"/>
    </row>
    <row r="65" spans="1:8" x14ac:dyDescent="0.2">
      <c r="A65" s="139"/>
      <c r="B65" s="139"/>
      <c r="C65" s="139"/>
      <c r="D65" s="139"/>
      <c r="E65" s="139"/>
      <c r="F65" s="139"/>
      <c r="G65" s="139"/>
      <c r="H65" s="139"/>
    </row>
    <row r="66" spans="1:8" x14ac:dyDescent="0.2">
      <c r="A66" s="139"/>
      <c r="B66" s="139"/>
      <c r="C66" s="139"/>
      <c r="D66" s="139"/>
      <c r="E66" s="139"/>
      <c r="F66" s="139"/>
      <c r="G66" s="139"/>
      <c r="H66" s="139"/>
    </row>
    <row r="67" spans="1:8" x14ac:dyDescent="0.2">
      <c r="A67" s="139"/>
      <c r="B67" s="139"/>
      <c r="C67" s="139"/>
      <c r="D67" s="139"/>
      <c r="E67" s="139"/>
      <c r="F67" s="139"/>
      <c r="G67" s="139"/>
      <c r="H67" s="139"/>
    </row>
    <row r="68" spans="1:8" x14ac:dyDescent="0.2">
      <c r="A68" s="139"/>
      <c r="B68" s="139"/>
      <c r="C68" s="139"/>
      <c r="D68" s="139"/>
      <c r="E68" s="139"/>
      <c r="F68" s="139"/>
      <c r="G68" s="139"/>
      <c r="H68" s="139"/>
    </row>
    <row r="69" spans="1:8" x14ac:dyDescent="0.2">
      <c r="A69" s="139"/>
      <c r="B69" s="139"/>
      <c r="C69" s="139"/>
      <c r="D69" s="139"/>
      <c r="E69" s="139"/>
      <c r="F69" s="139"/>
      <c r="G69" s="139"/>
      <c r="H69" s="139"/>
    </row>
    <row r="70" spans="1:8" x14ac:dyDescent="0.2">
      <c r="A70" s="139"/>
      <c r="B70" s="139"/>
      <c r="C70" s="139"/>
      <c r="D70" s="139"/>
      <c r="E70" s="139"/>
      <c r="F70" s="139"/>
      <c r="G70" s="139"/>
      <c r="H70" s="139"/>
    </row>
    <row r="71" spans="1:8" x14ac:dyDescent="0.2">
      <c r="A71" s="139"/>
      <c r="B71" s="139"/>
      <c r="C71" s="139"/>
      <c r="D71" s="139"/>
      <c r="E71" s="139"/>
      <c r="F71" s="139"/>
      <c r="G71" s="139"/>
      <c r="H71" s="139"/>
    </row>
    <row r="72" spans="1:8" x14ac:dyDescent="0.2">
      <c r="A72" s="139"/>
      <c r="B72" s="139"/>
      <c r="C72" s="139"/>
      <c r="D72" s="139"/>
      <c r="E72" s="139"/>
      <c r="F72" s="139"/>
      <c r="G72" s="139"/>
      <c r="H72" s="139"/>
    </row>
    <row r="73" spans="1:8" x14ac:dyDescent="0.2">
      <c r="A73" s="139"/>
      <c r="B73" s="139"/>
      <c r="C73" s="139"/>
      <c r="D73" s="139"/>
      <c r="E73" s="139"/>
      <c r="F73" s="139"/>
      <c r="G73" s="139"/>
      <c r="H73" s="139"/>
    </row>
    <row r="74" spans="1:8" x14ac:dyDescent="0.2">
      <c r="A74" s="139"/>
      <c r="B74" s="139"/>
      <c r="C74" s="139"/>
      <c r="D74" s="139"/>
      <c r="E74" s="139"/>
      <c r="F74" s="139"/>
      <c r="G74" s="139"/>
      <c r="H74" s="139"/>
    </row>
    <row r="75" spans="1:8" x14ac:dyDescent="0.2">
      <c r="A75" s="139"/>
      <c r="B75" s="139"/>
      <c r="C75" s="139"/>
      <c r="D75" s="139"/>
      <c r="E75" s="139"/>
      <c r="F75" s="139"/>
      <c r="G75" s="139"/>
      <c r="H75" s="139"/>
    </row>
    <row r="76" spans="1:8" x14ac:dyDescent="0.2">
      <c r="A76" s="139"/>
      <c r="B76" s="139"/>
      <c r="C76" s="139"/>
      <c r="D76" s="139"/>
      <c r="E76" s="139"/>
      <c r="F76" s="139"/>
      <c r="G76" s="139"/>
      <c r="H76" s="139"/>
    </row>
    <row r="77" spans="1:8" x14ac:dyDescent="0.2">
      <c r="A77" s="139"/>
      <c r="B77" s="139"/>
      <c r="C77" s="139"/>
      <c r="D77" s="139"/>
      <c r="E77" s="139"/>
      <c r="F77" s="139"/>
      <c r="G77" s="139"/>
      <c r="H77" s="139"/>
    </row>
    <row r="78" spans="1:8" x14ac:dyDescent="0.2">
      <c r="A78" s="139"/>
      <c r="B78" s="139"/>
      <c r="C78" s="139"/>
      <c r="D78" s="139"/>
      <c r="E78" s="139"/>
      <c r="F78" s="139"/>
      <c r="G78" s="139"/>
      <c r="H78" s="139"/>
    </row>
    <row r="79" spans="1:8" x14ac:dyDescent="0.2">
      <c r="A79" s="139"/>
      <c r="B79" s="139"/>
      <c r="C79" s="139"/>
      <c r="D79" s="139"/>
      <c r="E79" s="139"/>
      <c r="F79" s="139"/>
      <c r="G79" s="139"/>
      <c r="H79" s="139"/>
    </row>
    <row r="80" spans="1:8" x14ac:dyDescent="0.2">
      <c r="A80" s="139"/>
      <c r="B80" s="139"/>
      <c r="C80" s="139"/>
      <c r="D80" s="139"/>
      <c r="E80" s="139"/>
      <c r="F80" s="139"/>
      <c r="G80" s="139"/>
      <c r="H80" s="139"/>
    </row>
    <row r="81" spans="1:8" x14ac:dyDescent="0.2">
      <c r="A81" s="139"/>
      <c r="B81" s="139"/>
      <c r="C81" s="139"/>
      <c r="D81" s="139"/>
      <c r="E81" s="139"/>
      <c r="F81" s="139"/>
      <c r="G81" s="139"/>
      <c r="H81" s="139"/>
    </row>
    <row r="82" spans="1:8" x14ac:dyDescent="0.2">
      <c r="A82" s="139"/>
      <c r="B82" s="139"/>
      <c r="C82" s="139"/>
      <c r="D82" s="139"/>
      <c r="E82" s="139"/>
      <c r="F82" s="139"/>
      <c r="G82" s="139"/>
      <c r="H82" s="139"/>
    </row>
    <row r="83" spans="1:8" x14ac:dyDescent="0.2">
      <c r="A83" s="139"/>
      <c r="B83" s="139"/>
      <c r="C83" s="139"/>
      <c r="D83" s="139"/>
      <c r="E83" s="139"/>
      <c r="F83" s="139"/>
      <c r="G83" s="139"/>
      <c r="H83" s="139"/>
    </row>
    <row r="84" spans="1:8" x14ac:dyDescent="0.2">
      <c r="A84" s="139"/>
      <c r="B84" s="139"/>
      <c r="C84" s="139"/>
      <c r="D84" s="139"/>
      <c r="E84" s="139"/>
      <c r="F84" s="139"/>
      <c r="G84" s="139"/>
      <c r="H84" s="139"/>
    </row>
    <row r="85" spans="1:8" x14ac:dyDescent="0.2">
      <c r="A85" s="139"/>
      <c r="B85" s="139"/>
      <c r="C85" s="139"/>
      <c r="D85" s="139"/>
      <c r="E85" s="139"/>
      <c r="F85" s="139"/>
      <c r="G85" s="139"/>
      <c r="H85" s="139"/>
    </row>
    <row r="86" spans="1:8" x14ac:dyDescent="0.2">
      <c r="A86" s="139"/>
      <c r="B86" s="139"/>
      <c r="C86" s="139"/>
      <c r="D86" s="139"/>
      <c r="E86" s="139"/>
      <c r="F86" s="139"/>
      <c r="G86" s="139"/>
      <c r="H86" s="139"/>
    </row>
    <row r="87" spans="1:8" x14ac:dyDescent="0.2">
      <c r="A87" s="139"/>
      <c r="B87" s="139"/>
      <c r="C87" s="139"/>
      <c r="D87" s="139"/>
      <c r="E87" s="139"/>
      <c r="F87" s="139"/>
      <c r="G87" s="139"/>
      <c r="H87" s="139"/>
    </row>
    <row r="88" spans="1:8" x14ac:dyDescent="0.2">
      <c r="A88" s="139"/>
      <c r="B88" s="139"/>
      <c r="C88" s="139"/>
      <c r="D88" s="139"/>
      <c r="E88" s="139"/>
      <c r="F88" s="139"/>
      <c r="G88" s="139"/>
      <c r="H88" s="139"/>
    </row>
    <row r="89" spans="1:8" x14ac:dyDescent="0.2">
      <c r="A89" s="139"/>
      <c r="B89" s="139"/>
      <c r="C89" s="139"/>
      <c r="D89" s="139"/>
      <c r="E89" s="139"/>
      <c r="F89" s="139"/>
      <c r="G89" s="139"/>
      <c r="H89" s="139"/>
    </row>
    <row r="90" spans="1:8" x14ac:dyDescent="0.2">
      <c r="A90" s="139"/>
      <c r="B90" s="139"/>
      <c r="C90" s="139"/>
      <c r="D90" s="139"/>
      <c r="E90" s="139"/>
      <c r="F90" s="139"/>
      <c r="G90" s="139"/>
      <c r="H90" s="139"/>
    </row>
    <row r="91" spans="1:8" x14ac:dyDescent="0.2">
      <c r="A91" s="139"/>
      <c r="B91" s="139"/>
      <c r="C91" s="139"/>
      <c r="D91" s="139"/>
      <c r="E91" s="139"/>
      <c r="F91" s="139"/>
      <c r="G91" s="139"/>
      <c r="H91" s="139"/>
    </row>
    <row r="92" spans="1:8" x14ac:dyDescent="0.2">
      <c r="A92" s="139"/>
      <c r="B92" s="139"/>
      <c r="C92" s="139"/>
      <c r="D92" s="139"/>
      <c r="E92" s="139"/>
      <c r="F92" s="139"/>
      <c r="G92" s="139"/>
      <c r="H92" s="139"/>
    </row>
    <row r="93" spans="1:8" x14ac:dyDescent="0.2">
      <c r="A93" s="139"/>
      <c r="B93" s="139"/>
      <c r="C93" s="139"/>
      <c r="D93" s="139"/>
      <c r="E93" s="139"/>
      <c r="F93" s="139"/>
      <c r="G93" s="139"/>
      <c r="H93" s="139"/>
    </row>
    <row r="94" spans="1:8" x14ac:dyDescent="0.2">
      <c r="A94" s="139"/>
      <c r="B94" s="139"/>
      <c r="C94" s="139"/>
      <c r="D94" s="139"/>
      <c r="E94" s="139"/>
      <c r="F94" s="139"/>
      <c r="G94" s="139"/>
      <c r="H94" s="139"/>
    </row>
    <row r="95" spans="1:8" x14ac:dyDescent="0.2">
      <c r="A95" s="139"/>
      <c r="B95" s="139"/>
      <c r="C95" s="139"/>
      <c r="D95" s="139"/>
      <c r="E95" s="139"/>
      <c r="F95" s="139"/>
      <c r="G95" s="139"/>
      <c r="H95" s="139"/>
    </row>
    <row r="96" spans="1:8" x14ac:dyDescent="0.2">
      <c r="A96" s="139"/>
      <c r="B96" s="139"/>
      <c r="C96" s="139"/>
      <c r="D96" s="139"/>
      <c r="E96" s="139"/>
      <c r="F96" s="139"/>
      <c r="G96" s="139"/>
      <c r="H96" s="139"/>
    </row>
    <row r="97" spans="1:8" x14ac:dyDescent="0.2">
      <c r="A97" s="139"/>
      <c r="B97" s="139"/>
      <c r="C97" s="139"/>
      <c r="D97" s="139"/>
      <c r="E97" s="139"/>
      <c r="F97" s="139"/>
      <c r="G97" s="139"/>
      <c r="H97" s="139"/>
    </row>
    <row r="98" spans="1:8" x14ac:dyDescent="0.2">
      <c r="A98" s="139"/>
      <c r="B98" s="139"/>
      <c r="C98" s="139"/>
      <c r="D98" s="139"/>
      <c r="E98" s="139"/>
      <c r="F98" s="139"/>
      <c r="G98" s="139"/>
      <c r="H98" s="139"/>
    </row>
    <row r="99" spans="1:8" x14ac:dyDescent="0.2">
      <c r="A99" s="139"/>
      <c r="B99" s="139"/>
      <c r="C99" s="139"/>
      <c r="D99" s="139"/>
      <c r="E99" s="139"/>
      <c r="F99" s="139"/>
      <c r="G99" s="139"/>
      <c r="H99" s="139"/>
    </row>
    <row r="100" spans="1:8" x14ac:dyDescent="0.2">
      <c r="A100" s="139"/>
      <c r="B100" s="139"/>
      <c r="C100" s="139"/>
      <c r="D100" s="139"/>
      <c r="E100" s="139"/>
      <c r="F100" s="139"/>
      <c r="G100" s="139"/>
      <c r="H100" s="139"/>
    </row>
    <row r="101" spans="1:8" x14ac:dyDescent="0.2">
      <c r="A101" s="139"/>
      <c r="B101" s="139"/>
      <c r="C101" s="139"/>
      <c r="D101" s="139"/>
      <c r="E101" s="139"/>
      <c r="F101" s="139"/>
      <c r="G101" s="139"/>
      <c r="H101" s="139"/>
    </row>
    <row r="102" spans="1:8" x14ac:dyDescent="0.2">
      <c r="A102" s="139"/>
      <c r="B102" s="139"/>
      <c r="C102" s="139"/>
      <c r="D102" s="139"/>
      <c r="E102" s="139"/>
      <c r="F102" s="139"/>
      <c r="G102" s="139"/>
      <c r="H102" s="139"/>
    </row>
    <row r="103" spans="1:8" x14ac:dyDescent="0.2">
      <c r="A103" s="139"/>
      <c r="B103" s="139"/>
      <c r="C103" s="139"/>
      <c r="D103" s="139"/>
      <c r="E103" s="139"/>
      <c r="F103" s="139"/>
      <c r="G103" s="139"/>
      <c r="H103" s="139"/>
    </row>
    <row r="104" spans="1:8" x14ac:dyDescent="0.2">
      <c r="A104" s="139"/>
      <c r="B104" s="139"/>
      <c r="C104" s="139"/>
      <c r="D104" s="139"/>
      <c r="E104" s="139"/>
      <c r="F104" s="139"/>
      <c r="G104" s="139"/>
      <c r="H104" s="139"/>
    </row>
    <row r="105" spans="1:8" x14ac:dyDescent="0.2">
      <c r="A105" s="139"/>
      <c r="B105" s="139"/>
      <c r="C105" s="139"/>
      <c r="D105" s="139"/>
      <c r="E105" s="139"/>
      <c r="F105" s="139"/>
      <c r="G105" s="139"/>
      <c r="H105" s="139"/>
    </row>
    <row r="106" spans="1:8" x14ac:dyDescent="0.2">
      <c r="A106" s="139"/>
      <c r="B106" s="139"/>
      <c r="C106" s="139"/>
      <c r="D106" s="139"/>
      <c r="E106" s="139"/>
      <c r="F106" s="139"/>
      <c r="G106" s="139"/>
      <c r="H106" s="139"/>
    </row>
    <row r="107" spans="1:8" x14ac:dyDescent="0.2">
      <c r="A107" s="139"/>
      <c r="B107" s="139"/>
      <c r="C107" s="139"/>
      <c r="D107" s="139"/>
      <c r="E107" s="139"/>
      <c r="F107" s="139"/>
      <c r="G107" s="139"/>
      <c r="H107" s="139"/>
    </row>
    <row r="108" spans="1:8" x14ac:dyDescent="0.2">
      <c r="A108" s="139"/>
      <c r="B108" s="139"/>
      <c r="C108" s="139"/>
      <c r="D108" s="139"/>
      <c r="E108" s="139"/>
      <c r="F108" s="139"/>
      <c r="G108" s="139"/>
      <c r="H108" s="139"/>
    </row>
    <row r="109" spans="1:8" x14ac:dyDescent="0.2">
      <c r="A109" s="139"/>
      <c r="B109" s="139"/>
      <c r="C109" s="139"/>
      <c r="D109" s="139"/>
      <c r="E109" s="139"/>
      <c r="F109" s="139"/>
      <c r="G109" s="139"/>
      <c r="H109" s="139"/>
    </row>
    <row r="110" spans="1:8" x14ac:dyDescent="0.2">
      <c r="A110" s="139"/>
      <c r="B110" s="139"/>
      <c r="C110" s="139"/>
      <c r="D110" s="139"/>
      <c r="E110" s="139"/>
      <c r="F110" s="139"/>
      <c r="G110" s="139"/>
      <c r="H110" s="139"/>
    </row>
    <row r="111" spans="1:8" x14ac:dyDescent="0.2">
      <c r="A111" s="139"/>
      <c r="B111" s="139"/>
      <c r="C111" s="139"/>
      <c r="D111" s="139"/>
      <c r="E111" s="139"/>
      <c r="F111" s="139"/>
      <c r="G111" s="139"/>
      <c r="H111" s="139"/>
    </row>
    <row r="112" spans="1:8" x14ac:dyDescent="0.2">
      <c r="A112" s="139"/>
      <c r="B112" s="139"/>
      <c r="C112" s="139"/>
      <c r="D112" s="139"/>
      <c r="E112" s="139"/>
      <c r="F112" s="139"/>
      <c r="G112" s="139"/>
      <c r="H112" s="139"/>
    </row>
    <row r="113" spans="1:8" x14ac:dyDescent="0.2">
      <c r="A113" s="139"/>
      <c r="B113" s="139"/>
      <c r="C113" s="139"/>
      <c r="D113" s="139"/>
      <c r="E113" s="139"/>
      <c r="F113" s="139"/>
      <c r="G113" s="139"/>
      <c r="H113" s="139"/>
    </row>
    <row r="114" spans="1:8" x14ac:dyDescent="0.2">
      <c r="A114" s="139"/>
      <c r="B114" s="139"/>
      <c r="C114" s="139"/>
      <c r="D114" s="139"/>
      <c r="E114" s="139"/>
      <c r="F114" s="139"/>
      <c r="G114" s="139"/>
      <c r="H114" s="139"/>
    </row>
    <row r="115" spans="1:8" x14ac:dyDescent="0.2">
      <c r="A115" s="139"/>
      <c r="B115" s="139"/>
      <c r="C115" s="139"/>
      <c r="D115" s="139"/>
      <c r="E115" s="139"/>
      <c r="F115" s="139"/>
      <c r="G115" s="139"/>
      <c r="H115" s="139"/>
    </row>
    <row r="116" spans="1:8" x14ac:dyDescent="0.2">
      <c r="A116" s="139"/>
      <c r="B116" s="139"/>
      <c r="C116" s="139"/>
      <c r="D116" s="139"/>
      <c r="E116" s="139"/>
      <c r="F116" s="139"/>
      <c r="G116" s="139"/>
      <c r="H116" s="139"/>
    </row>
    <row r="117" spans="1:8" x14ac:dyDescent="0.2">
      <c r="A117" s="139"/>
      <c r="B117" s="139"/>
      <c r="C117" s="139"/>
      <c r="D117" s="139"/>
      <c r="E117" s="139"/>
      <c r="F117" s="139"/>
      <c r="G117" s="139"/>
      <c r="H117" s="139"/>
    </row>
    <row r="118" spans="1:8" x14ac:dyDescent="0.2">
      <c r="A118" s="139"/>
      <c r="B118" s="139"/>
      <c r="C118" s="139"/>
      <c r="D118" s="139"/>
      <c r="E118" s="139"/>
      <c r="F118" s="139"/>
      <c r="G118" s="139"/>
      <c r="H118" s="139"/>
    </row>
    <row r="119" spans="1:8" x14ac:dyDescent="0.2">
      <c r="A119" s="139"/>
      <c r="B119" s="139"/>
      <c r="C119" s="139"/>
      <c r="D119" s="139"/>
      <c r="E119" s="139"/>
      <c r="F119" s="139"/>
      <c r="G119" s="139"/>
      <c r="H119" s="139"/>
    </row>
    <row r="120" spans="1:8" x14ac:dyDescent="0.2">
      <c r="A120" s="139"/>
      <c r="B120" s="139"/>
      <c r="C120" s="139"/>
      <c r="D120" s="139"/>
      <c r="E120" s="139"/>
      <c r="F120" s="139"/>
      <c r="G120" s="139"/>
      <c r="H120" s="139"/>
    </row>
    <row r="121" spans="1:8" x14ac:dyDescent="0.2">
      <c r="A121" s="139"/>
      <c r="B121" s="139"/>
      <c r="C121" s="139"/>
      <c r="D121" s="139"/>
      <c r="E121" s="139"/>
      <c r="F121" s="139"/>
      <c r="G121" s="139"/>
      <c r="H121" s="139"/>
    </row>
    <row r="122" spans="1:8" x14ac:dyDescent="0.2">
      <c r="A122" s="139"/>
      <c r="B122" s="139"/>
      <c r="C122" s="139"/>
      <c r="D122" s="139"/>
      <c r="E122" s="139"/>
      <c r="F122" s="139"/>
      <c r="G122" s="139"/>
      <c r="H122" s="139"/>
    </row>
    <row r="123" spans="1:8" x14ac:dyDescent="0.2">
      <c r="A123" s="139"/>
      <c r="B123" s="139"/>
      <c r="C123" s="139"/>
      <c r="D123" s="139"/>
      <c r="E123" s="139"/>
      <c r="F123" s="139"/>
      <c r="G123" s="139"/>
      <c r="H123" s="139"/>
    </row>
    <row r="124" spans="1:8" x14ac:dyDescent="0.2">
      <c r="A124" s="139"/>
      <c r="B124" s="139"/>
      <c r="C124" s="139"/>
      <c r="D124" s="139"/>
      <c r="E124" s="139"/>
      <c r="F124" s="139"/>
      <c r="G124" s="139"/>
      <c r="H124" s="139"/>
    </row>
    <row r="125" spans="1:8" x14ac:dyDescent="0.2">
      <c r="A125" s="139"/>
      <c r="B125" s="139"/>
      <c r="C125" s="139"/>
      <c r="D125" s="139"/>
      <c r="E125" s="139"/>
      <c r="F125" s="139"/>
      <c r="G125" s="139"/>
      <c r="H125" s="139"/>
    </row>
    <row r="126" spans="1:8" x14ac:dyDescent="0.2">
      <c r="A126" s="139"/>
      <c r="B126" s="139"/>
      <c r="C126" s="139"/>
      <c r="D126" s="139"/>
      <c r="E126" s="139"/>
      <c r="F126" s="139"/>
      <c r="G126" s="139"/>
      <c r="H126" s="139"/>
    </row>
    <row r="127" spans="1:8" x14ac:dyDescent="0.2">
      <c r="A127" s="139"/>
      <c r="B127" s="139"/>
      <c r="C127" s="139"/>
      <c r="D127" s="139"/>
      <c r="E127" s="139"/>
      <c r="F127" s="139"/>
      <c r="G127" s="139"/>
      <c r="H127" s="139"/>
    </row>
    <row r="128" spans="1:8" x14ac:dyDescent="0.2">
      <c r="A128" s="139"/>
      <c r="B128" s="139"/>
      <c r="C128" s="139"/>
      <c r="D128" s="139"/>
      <c r="E128" s="139"/>
      <c r="F128" s="139"/>
      <c r="G128" s="139"/>
      <c r="H128" s="139"/>
    </row>
    <row r="129" spans="1:8" x14ac:dyDescent="0.2">
      <c r="A129" s="139"/>
      <c r="B129" s="139"/>
      <c r="C129" s="139"/>
      <c r="D129" s="139"/>
      <c r="E129" s="139"/>
      <c r="F129" s="139"/>
      <c r="G129" s="139"/>
      <c r="H129" s="139"/>
    </row>
    <row r="130" spans="1:8" x14ac:dyDescent="0.2">
      <c r="A130" s="139"/>
      <c r="B130" s="139"/>
      <c r="C130" s="139"/>
      <c r="D130" s="139"/>
      <c r="E130" s="139"/>
      <c r="F130" s="139"/>
      <c r="G130" s="139"/>
      <c r="H130" s="139"/>
    </row>
    <row r="131" spans="1:8" x14ac:dyDescent="0.2">
      <c r="A131" s="139"/>
      <c r="B131" s="139"/>
      <c r="C131" s="139"/>
      <c r="D131" s="139"/>
      <c r="E131" s="139"/>
      <c r="F131" s="139"/>
      <c r="G131" s="139"/>
      <c r="H131" s="139"/>
    </row>
    <row r="132" spans="1:8" x14ac:dyDescent="0.2">
      <c r="A132" s="139"/>
      <c r="B132" s="139"/>
      <c r="C132" s="139"/>
      <c r="D132" s="139"/>
      <c r="E132" s="139"/>
      <c r="F132" s="139"/>
      <c r="G132" s="139"/>
      <c r="H132" s="139"/>
    </row>
    <row r="133" spans="1:8" x14ac:dyDescent="0.2">
      <c r="A133" s="139"/>
      <c r="B133" s="139"/>
      <c r="C133" s="139"/>
      <c r="D133" s="139"/>
      <c r="E133" s="139"/>
      <c r="F133" s="139"/>
      <c r="G133" s="139"/>
      <c r="H133" s="139"/>
    </row>
    <row r="134" spans="1:8" x14ac:dyDescent="0.2">
      <c r="A134" s="139"/>
      <c r="B134" s="139"/>
      <c r="C134" s="139"/>
      <c r="D134" s="139"/>
      <c r="E134" s="139"/>
      <c r="F134" s="139"/>
      <c r="G134" s="139"/>
      <c r="H134" s="139"/>
    </row>
    <row r="135" spans="1:8" x14ac:dyDescent="0.2">
      <c r="A135" s="139"/>
      <c r="B135" s="139"/>
      <c r="C135" s="139"/>
      <c r="D135" s="139"/>
      <c r="E135" s="139"/>
      <c r="F135" s="139"/>
      <c r="G135" s="139"/>
      <c r="H135" s="139"/>
    </row>
    <row r="136" spans="1:8" x14ac:dyDescent="0.2">
      <c r="A136" s="139"/>
      <c r="B136" s="139"/>
      <c r="C136" s="139"/>
      <c r="D136" s="139"/>
      <c r="E136" s="139"/>
      <c r="F136" s="139"/>
      <c r="G136" s="139"/>
      <c r="H136" s="139"/>
    </row>
    <row r="137" spans="1:8" x14ac:dyDescent="0.2">
      <c r="A137" s="139"/>
      <c r="B137" s="139"/>
      <c r="C137" s="139"/>
      <c r="D137" s="139"/>
      <c r="E137" s="139"/>
      <c r="F137" s="139"/>
      <c r="G137" s="139"/>
      <c r="H137" s="139"/>
    </row>
    <row r="138" spans="1:8" x14ac:dyDescent="0.2">
      <c r="A138" s="139"/>
      <c r="B138" s="139"/>
      <c r="C138" s="139"/>
      <c r="D138" s="139"/>
      <c r="E138" s="139"/>
      <c r="F138" s="139"/>
      <c r="G138" s="139"/>
      <c r="H138" s="139"/>
    </row>
    <row r="139" spans="1:8" x14ac:dyDescent="0.2">
      <c r="A139" s="139"/>
      <c r="B139" s="139"/>
      <c r="C139" s="139"/>
      <c r="D139" s="139"/>
      <c r="E139" s="139"/>
      <c r="F139" s="139"/>
      <c r="G139" s="139"/>
      <c r="H139" s="139"/>
    </row>
    <row r="140" spans="1:8" x14ac:dyDescent="0.2">
      <c r="A140" s="139"/>
      <c r="B140" s="139"/>
      <c r="C140" s="139"/>
      <c r="D140" s="139"/>
      <c r="E140" s="139"/>
      <c r="F140" s="139"/>
      <c r="G140" s="139"/>
      <c r="H140" s="139"/>
    </row>
    <row r="141" spans="1:8" x14ac:dyDescent="0.2">
      <c r="A141" s="139"/>
      <c r="B141" s="139"/>
      <c r="C141" s="139"/>
      <c r="D141" s="139"/>
      <c r="E141" s="139"/>
      <c r="F141" s="139"/>
      <c r="G141" s="139"/>
      <c r="H141" s="139"/>
    </row>
    <row r="142" spans="1:8" x14ac:dyDescent="0.2">
      <c r="A142" s="139"/>
      <c r="B142" s="139"/>
      <c r="C142" s="139"/>
      <c r="D142" s="139"/>
      <c r="E142" s="139"/>
      <c r="F142" s="139"/>
      <c r="G142" s="139"/>
      <c r="H142" s="139"/>
    </row>
    <row r="143" spans="1:8" x14ac:dyDescent="0.2">
      <c r="A143" s="139"/>
      <c r="B143" s="139"/>
      <c r="C143" s="139"/>
      <c r="D143" s="139"/>
      <c r="E143" s="139"/>
      <c r="F143" s="139"/>
      <c r="G143" s="139"/>
      <c r="H143" s="139"/>
    </row>
    <row r="144" spans="1:8" x14ac:dyDescent="0.2">
      <c r="A144" s="139"/>
      <c r="B144" s="139"/>
      <c r="C144" s="139"/>
      <c r="D144" s="139"/>
      <c r="E144" s="139"/>
      <c r="F144" s="139"/>
      <c r="G144" s="139"/>
      <c r="H144" s="139"/>
    </row>
    <row r="145" spans="1:8" x14ac:dyDescent="0.2">
      <c r="A145" s="139"/>
      <c r="B145" s="139"/>
      <c r="C145" s="139"/>
      <c r="D145" s="139"/>
      <c r="E145" s="139"/>
      <c r="F145" s="139"/>
      <c r="G145" s="139"/>
      <c r="H145" s="139"/>
    </row>
    <row r="146" spans="1:8" x14ac:dyDescent="0.2">
      <c r="A146" s="139"/>
      <c r="B146" s="139"/>
      <c r="C146" s="139"/>
      <c r="D146" s="139"/>
      <c r="E146" s="139"/>
      <c r="F146" s="139"/>
      <c r="G146" s="139"/>
      <c r="H146" s="139"/>
    </row>
    <row r="147" spans="1:8" x14ac:dyDescent="0.2">
      <c r="A147" s="139"/>
      <c r="B147" s="139"/>
      <c r="C147" s="139"/>
      <c r="D147" s="139"/>
      <c r="E147" s="139"/>
      <c r="F147" s="139"/>
      <c r="G147" s="139"/>
      <c r="H147" s="139"/>
    </row>
    <row r="148" spans="1:8" x14ac:dyDescent="0.2">
      <c r="A148" s="139"/>
      <c r="B148" s="139"/>
      <c r="C148" s="139"/>
      <c r="D148" s="139"/>
      <c r="E148" s="139"/>
      <c r="F148" s="139"/>
      <c r="G148" s="139"/>
      <c r="H148" s="139"/>
    </row>
    <row r="149" spans="1:8" x14ac:dyDescent="0.2">
      <c r="A149" s="139"/>
      <c r="B149" s="139"/>
      <c r="C149" s="139"/>
      <c r="D149" s="139"/>
      <c r="E149" s="139"/>
      <c r="F149" s="139"/>
      <c r="G149" s="139"/>
      <c r="H149" s="139"/>
    </row>
    <row r="150" spans="1:8" x14ac:dyDescent="0.2">
      <c r="A150" s="139"/>
      <c r="B150" s="139"/>
      <c r="C150" s="139"/>
      <c r="D150" s="139"/>
      <c r="E150" s="139"/>
      <c r="F150" s="139"/>
      <c r="G150" s="139"/>
      <c r="H150" s="139"/>
    </row>
    <row r="151" spans="1:8" x14ac:dyDescent="0.2">
      <c r="A151" s="139"/>
      <c r="B151" s="139"/>
      <c r="C151" s="139"/>
      <c r="D151" s="139"/>
      <c r="E151" s="139"/>
      <c r="F151" s="139"/>
      <c r="G151" s="139"/>
      <c r="H151" s="139"/>
    </row>
    <row r="152" spans="1:8" x14ac:dyDescent="0.2">
      <c r="A152" s="139"/>
      <c r="B152" s="139"/>
      <c r="C152" s="139"/>
      <c r="D152" s="139"/>
      <c r="E152" s="139"/>
      <c r="F152" s="139"/>
      <c r="G152" s="139"/>
      <c r="H152" s="139"/>
    </row>
    <row r="153" spans="1:8" x14ac:dyDescent="0.2">
      <c r="A153" s="139"/>
      <c r="B153" s="139"/>
      <c r="C153" s="139"/>
      <c r="D153" s="139"/>
      <c r="E153" s="139"/>
      <c r="F153" s="139"/>
      <c r="G153" s="139"/>
      <c r="H153" s="139"/>
    </row>
    <row r="154" spans="1:8" x14ac:dyDescent="0.2">
      <c r="A154" s="139"/>
      <c r="B154" s="139"/>
      <c r="C154" s="139"/>
      <c r="D154" s="139"/>
      <c r="E154" s="139"/>
      <c r="F154" s="139"/>
      <c r="G154" s="139"/>
      <c r="H154" s="139"/>
    </row>
    <row r="155" spans="1:8" x14ac:dyDescent="0.2">
      <c r="A155" s="139"/>
      <c r="B155" s="139"/>
      <c r="C155" s="139"/>
      <c r="D155" s="139"/>
      <c r="E155" s="139"/>
      <c r="F155" s="139"/>
      <c r="G155" s="139"/>
      <c r="H155" s="139"/>
    </row>
    <row r="156" spans="1:8" x14ac:dyDescent="0.2">
      <c r="A156" s="139"/>
      <c r="B156" s="139"/>
      <c r="C156" s="139"/>
      <c r="D156" s="139"/>
      <c r="E156" s="139"/>
      <c r="F156" s="139"/>
      <c r="G156" s="139"/>
      <c r="H156" s="139"/>
    </row>
    <row r="157" spans="1:8" x14ac:dyDescent="0.2">
      <c r="A157" s="139"/>
      <c r="B157" s="139"/>
      <c r="C157" s="139"/>
      <c r="D157" s="139"/>
      <c r="E157" s="139"/>
      <c r="F157" s="139"/>
      <c r="G157" s="139"/>
      <c r="H157" s="139"/>
    </row>
    <row r="158" spans="1:8" x14ac:dyDescent="0.2">
      <c r="A158" s="139"/>
      <c r="B158" s="139"/>
      <c r="C158" s="139"/>
      <c r="D158" s="139"/>
      <c r="E158" s="139"/>
      <c r="F158" s="139"/>
      <c r="G158" s="139"/>
      <c r="H158" s="139"/>
    </row>
    <row r="159" spans="1:8" x14ac:dyDescent="0.2">
      <c r="A159" s="139"/>
      <c r="B159" s="139"/>
      <c r="C159" s="139"/>
      <c r="D159" s="139"/>
      <c r="E159" s="139"/>
      <c r="F159" s="139"/>
      <c r="G159" s="139"/>
      <c r="H159" s="139"/>
    </row>
    <row r="160" spans="1:8" x14ac:dyDescent="0.2">
      <c r="A160" s="139"/>
      <c r="B160" s="139"/>
      <c r="C160" s="139"/>
      <c r="D160" s="139"/>
      <c r="E160" s="139"/>
      <c r="F160" s="139"/>
      <c r="G160" s="139"/>
      <c r="H160" s="139"/>
    </row>
    <row r="161" spans="1:8" x14ac:dyDescent="0.2">
      <c r="A161" s="139"/>
      <c r="B161" s="139"/>
      <c r="C161" s="139"/>
      <c r="D161" s="139"/>
      <c r="E161" s="139"/>
      <c r="F161" s="139"/>
      <c r="G161" s="139"/>
      <c r="H161" s="139"/>
    </row>
    <row r="162" spans="1:8" x14ac:dyDescent="0.2">
      <c r="A162" s="139"/>
      <c r="B162" s="139"/>
      <c r="C162" s="139"/>
      <c r="D162" s="139"/>
      <c r="E162" s="139"/>
      <c r="F162" s="139"/>
      <c r="G162" s="139"/>
      <c r="H162" s="139"/>
    </row>
    <row r="163" spans="1:8" x14ac:dyDescent="0.2">
      <c r="A163" s="139"/>
      <c r="B163" s="139"/>
      <c r="C163" s="139"/>
      <c r="D163" s="139"/>
      <c r="E163" s="139"/>
      <c r="F163" s="139"/>
      <c r="G163" s="139"/>
      <c r="H163" s="139"/>
    </row>
    <row r="164" spans="1:8" x14ac:dyDescent="0.2">
      <c r="A164" s="139"/>
      <c r="B164" s="139"/>
      <c r="C164" s="139"/>
      <c r="D164" s="139"/>
      <c r="E164" s="139"/>
      <c r="F164" s="139"/>
      <c r="G164" s="139"/>
      <c r="H164" s="139"/>
    </row>
    <row r="165" spans="1:8" x14ac:dyDescent="0.2">
      <c r="A165" s="139"/>
      <c r="B165" s="139"/>
      <c r="C165" s="139"/>
      <c r="D165" s="139"/>
      <c r="E165" s="139"/>
      <c r="F165" s="139"/>
      <c r="G165" s="139"/>
      <c r="H165" s="139"/>
    </row>
    <row r="166" spans="1:8" x14ac:dyDescent="0.2">
      <c r="A166" s="139"/>
      <c r="B166" s="139"/>
      <c r="C166" s="139"/>
      <c r="D166" s="139"/>
      <c r="E166" s="139"/>
      <c r="F166" s="139"/>
      <c r="G166" s="139"/>
      <c r="H166" s="139"/>
    </row>
    <row r="167" spans="1:8" x14ac:dyDescent="0.2">
      <c r="A167" s="139"/>
      <c r="B167" s="139"/>
      <c r="C167" s="139"/>
      <c r="D167" s="139"/>
      <c r="E167" s="139"/>
      <c r="F167" s="139"/>
      <c r="G167" s="139"/>
      <c r="H167" s="139"/>
    </row>
    <row r="168" spans="1:8" x14ac:dyDescent="0.2">
      <c r="A168" s="139"/>
      <c r="B168" s="139"/>
      <c r="C168" s="139"/>
      <c r="D168" s="139"/>
      <c r="E168" s="139"/>
      <c r="F168" s="139"/>
      <c r="G168" s="139"/>
      <c r="H168" s="139"/>
    </row>
    <row r="169" spans="1:8" x14ac:dyDescent="0.2">
      <c r="A169" s="139"/>
      <c r="B169" s="139"/>
      <c r="C169" s="139"/>
      <c r="D169" s="139"/>
      <c r="E169" s="139"/>
      <c r="F169" s="139"/>
      <c r="G169" s="139"/>
      <c r="H169" s="139"/>
    </row>
    <row r="170" spans="1:8" x14ac:dyDescent="0.2">
      <c r="A170" s="139"/>
      <c r="B170" s="139"/>
      <c r="C170" s="139"/>
      <c r="D170" s="139"/>
      <c r="E170" s="139"/>
      <c r="F170" s="139"/>
      <c r="G170" s="139"/>
      <c r="H170" s="139"/>
    </row>
    <row r="171" spans="1:8" x14ac:dyDescent="0.2">
      <c r="A171" s="139"/>
      <c r="B171" s="139"/>
      <c r="C171" s="139"/>
      <c r="D171" s="139"/>
      <c r="E171" s="139"/>
      <c r="F171" s="139"/>
      <c r="G171" s="139"/>
      <c r="H171" s="139"/>
    </row>
    <row r="172" spans="1:8" x14ac:dyDescent="0.2">
      <c r="A172" s="139"/>
      <c r="B172" s="139"/>
      <c r="C172" s="139"/>
      <c r="D172" s="139"/>
      <c r="E172" s="139"/>
      <c r="F172" s="139"/>
      <c r="G172" s="139"/>
      <c r="H172" s="139"/>
    </row>
    <row r="173" spans="1:8" x14ac:dyDescent="0.2">
      <c r="A173" s="139"/>
      <c r="B173" s="139"/>
      <c r="C173" s="139"/>
      <c r="D173" s="139"/>
      <c r="E173" s="139"/>
      <c r="F173" s="139"/>
      <c r="G173" s="139"/>
      <c r="H173" s="139"/>
    </row>
    <row r="174" spans="1:8" x14ac:dyDescent="0.2">
      <c r="A174" s="139"/>
      <c r="B174" s="139"/>
      <c r="C174" s="139"/>
      <c r="D174" s="139"/>
      <c r="E174" s="139"/>
      <c r="F174" s="139"/>
      <c r="G174" s="139"/>
      <c r="H174" s="139"/>
    </row>
    <row r="175" spans="1:8" x14ac:dyDescent="0.2">
      <c r="A175" s="139"/>
      <c r="B175" s="139"/>
      <c r="C175" s="139"/>
      <c r="D175" s="139"/>
      <c r="E175" s="139"/>
      <c r="F175" s="139"/>
      <c r="G175" s="139"/>
      <c r="H175" s="139"/>
    </row>
    <row r="176" spans="1:8" x14ac:dyDescent="0.2">
      <c r="A176" s="139"/>
      <c r="B176" s="139"/>
      <c r="C176" s="139"/>
      <c r="D176" s="139"/>
      <c r="E176" s="139"/>
      <c r="F176" s="139"/>
      <c r="G176" s="139"/>
      <c r="H176" s="139"/>
    </row>
    <row r="177" spans="1:10" x14ac:dyDescent="0.2">
      <c r="A177" s="139"/>
      <c r="B177" s="139"/>
      <c r="C177" s="139"/>
      <c r="D177" s="139"/>
      <c r="E177" s="139"/>
      <c r="F177" s="139"/>
      <c r="G177" s="139"/>
      <c r="H177" s="139"/>
    </row>
    <row r="178" spans="1:10" x14ac:dyDescent="0.2">
      <c r="A178" s="139"/>
      <c r="B178" s="139"/>
      <c r="C178" s="139"/>
      <c r="D178" s="139"/>
      <c r="E178" s="139"/>
      <c r="F178" s="139"/>
      <c r="G178" s="139"/>
      <c r="H178" s="139"/>
    </row>
    <row r="179" spans="1:10" x14ac:dyDescent="0.2">
      <c r="A179" s="139"/>
      <c r="B179" s="139"/>
      <c r="C179" s="139"/>
      <c r="D179" s="139"/>
      <c r="E179" s="139"/>
      <c r="F179" s="139"/>
      <c r="G179" s="139"/>
      <c r="H179" s="139"/>
    </row>
    <row r="180" spans="1:10" x14ac:dyDescent="0.2">
      <c r="A180" s="139"/>
      <c r="B180" s="139"/>
      <c r="C180" s="139"/>
      <c r="D180" s="139"/>
      <c r="E180" s="139"/>
      <c r="F180" s="139"/>
      <c r="G180" s="139"/>
      <c r="H180" s="139"/>
    </row>
    <row r="181" spans="1:10" x14ac:dyDescent="0.2">
      <c r="A181" s="139"/>
      <c r="B181" s="139"/>
      <c r="C181" s="139"/>
      <c r="D181" s="139"/>
      <c r="E181" s="139"/>
      <c r="F181" s="139"/>
      <c r="G181" s="139"/>
      <c r="H181" s="139"/>
    </row>
    <row r="182" spans="1:10" x14ac:dyDescent="0.2">
      <c r="A182" s="139"/>
      <c r="B182" s="139"/>
      <c r="C182" s="139"/>
      <c r="D182" s="139"/>
      <c r="E182" s="139"/>
      <c r="F182" s="139"/>
      <c r="G182" s="139"/>
      <c r="H182" s="139"/>
    </row>
    <row r="183" spans="1:10" x14ac:dyDescent="0.2">
      <c r="A183" s="139"/>
      <c r="B183" s="139"/>
      <c r="C183" s="139"/>
      <c r="D183" s="139"/>
      <c r="E183" s="139"/>
      <c r="F183" s="139"/>
      <c r="G183" s="139"/>
      <c r="H183" s="139"/>
    </row>
    <row r="184" spans="1:10" x14ac:dyDescent="0.2">
      <c r="A184" s="139"/>
      <c r="B184" s="139"/>
      <c r="C184" s="139"/>
      <c r="D184" s="139"/>
      <c r="E184" s="139"/>
      <c r="F184" s="139"/>
      <c r="G184" s="139"/>
      <c r="H184" s="139"/>
    </row>
    <row r="185" spans="1:10" x14ac:dyDescent="0.2">
      <c r="A185" s="112"/>
      <c r="B185" s="112"/>
      <c r="C185" s="112"/>
      <c r="D185" s="112"/>
      <c r="E185" s="112"/>
      <c r="F185" s="112"/>
      <c r="G185" s="112"/>
      <c r="H185" s="112"/>
    </row>
    <row r="186" spans="1:10" x14ac:dyDescent="0.2">
      <c r="A186" s="112"/>
      <c r="B186" s="112"/>
      <c r="C186" s="112"/>
      <c r="D186" s="112"/>
      <c r="E186" s="112"/>
      <c r="F186" s="112"/>
      <c r="G186" s="112"/>
      <c r="H186" s="112"/>
    </row>
    <row r="187" spans="1:10" x14ac:dyDescent="0.2">
      <c r="A187" s="112"/>
      <c r="B187" s="112"/>
      <c r="C187" s="112"/>
      <c r="D187" s="112"/>
      <c r="E187" s="112"/>
      <c r="F187" s="112"/>
      <c r="G187" s="112"/>
      <c r="H187" s="112"/>
    </row>
    <row r="188" spans="1:10" x14ac:dyDescent="0.2">
      <c r="A188" s="112"/>
      <c r="B188" s="112"/>
      <c r="C188" s="112"/>
      <c r="D188" s="112"/>
      <c r="E188" s="112"/>
      <c r="F188" s="112"/>
      <c r="G188" s="112"/>
      <c r="H188" s="112"/>
    </row>
    <row r="189" spans="1:10" x14ac:dyDescent="0.2">
      <c r="A189" s="112"/>
      <c r="B189" s="112"/>
      <c r="C189" s="112"/>
      <c r="D189" s="112"/>
      <c r="E189" s="112"/>
      <c r="F189" s="112"/>
      <c r="G189" s="112"/>
      <c r="H189" s="112"/>
    </row>
    <row r="190" spans="1:10" s="9" customFormat="1" x14ac:dyDescent="0.2">
      <c r="A190" s="112"/>
      <c r="B190" s="112"/>
      <c r="C190" s="112"/>
      <c r="D190" s="112"/>
      <c r="E190" s="112"/>
      <c r="F190" s="112"/>
      <c r="G190" s="112"/>
      <c r="H190" s="112"/>
      <c r="I190"/>
      <c r="J190"/>
    </row>
    <row r="191" spans="1:10" x14ac:dyDescent="0.2">
      <c r="A191" s="112"/>
      <c r="B191" s="112"/>
      <c r="C191" s="112"/>
      <c r="D191" s="112"/>
      <c r="E191" s="112"/>
      <c r="F191" s="112"/>
      <c r="G191" s="112"/>
      <c r="H191" s="112"/>
    </row>
    <row r="192" spans="1:10" x14ac:dyDescent="0.2">
      <c r="A192" s="42"/>
      <c r="B192" s="112"/>
      <c r="C192" s="42"/>
      <c r="D192" s="42"/>
      <c r="E192" s="15"/>
      <c r="F192" s="112"/>
      <c r="G192" s="112"/>
      <c r="H192" s="112"/>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34"/>
      <c r="G1" s="134"/>
      <c r="H1" s="91"/>
    </row>
    <row r="2" spans="1:11" s="86" customFormat="1" ht="32.1" customHeight="1" x14ac:dyDescent="0.2">
      <c r="A2" s="3" t="s">
        <v>215</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343</v>
      </c>
      <c r="B3" s="127" t="s">
        <v>213</v>
      </c>
      <c r="C3" s="127" t="s">
        <v>103</v>
      </c>
      <c r="D3" s="127" t="s">
        <v>102</v>
      </c>
      <c r="E3" s="127" t="s">
        <v>214</v>
      </c>
      <c r="F3"/>
      <c r="G3"/>
      <c r="H3"/>
      <c r="I3"/>
      <c r="J3"/>
      <c r="K3"/>
    </row>
    <row r="4" spans="1:11" x14ac:dyDescent="0.2">
      <c r="A4">
        <v>1</v>
      </c>
      <c r="B4" s="45" t="s">
        <v>21</v>
      </c>
      <c r="C4" s="45">
        <v>22</v>
      </c>
      <c r="D4" s="45">
        <v>38</v>
      </c>
      <c r="E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AM12" sqref="AM12"/>
    </sheetView>
  </sheetViews>
  <sheetFormatPr defaultColWidth="9" defaultRowHeight="12" x14ac:dyDescent="0.2"/>
  <cols>
    <col min="1" max="1" width="11.1640625" style="14" customWidth="1"/>
    <col min="2" max="2" width="14" style="45" customWidth="1"/>
    <col min="3" max="3" width="15.1640625" style="144" customWidth="1"/>
    <col min="4" max="4" width="17.1640625" style="144" customWidth="1"/>
    <col min="5" max="5" width="16.83203125" style="145"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5" bestFit="1" customWidth="1"/>
    <col min="37" max="37" width="14.1640625" style="123" bestFit="1" customWidth="1"/>
    <col min="38" max="38" width="14.6640625" customWidth="1"/>
    <col min="39" max="39" width="15.6640625" customWidth="1"/>
    <col min="40" max="40" width="13.1640625" customWidth="1"/>
  </cols>
  <sheetData>
    <row r="1" spans="1:40" ht="63.95" customHeight="1" x14ac:dyDescent="0.25">
      <c r="A1" s="16"/>
      <c r="C1" s="139"/>
      <c r="D1" s="139"/>
      <c r="E1" s="138"/>
      <c r="F1" s="140"/>
      <c r="G1" s="140"/>
      <c r="H1" s="141"/>
    </row>
    <row r="2" spans="1:40" ht="32.1" customHeight="1" x14ac:dyDescent="0.2">
      <c r="A2" s="3" t="s">
        <v>340</v>
      </c>
      <c r="C2" s="137" t="str">
        <f xml:space="preserve"> "P/O number: " &amp; PurchaseOrderNoRW &amp; ", Customer: " &amp; CustomerCompany</f>
        <v xml:space="preserve">P/O number: , Customer: </v>
      </c>
      <c r="D2" s="170"/>
      <c r="E2" s="169"/>
      <c r="F2" s="143"/>
      <c r="G2" s="143"/>
    </row>
    <row r="3" spans="1:40" s="92" customFormat="1" ht="30" customHeight="1" x14ac:dyDescent="0.2">
      <c r="A3" s="122" t="s">
        <v>343</v>
      </c>
      <c r="B3" s="122" t="s">
        <v>67</v>
      </c>
      <c r="C3" s="122" t="s">
        <v>71</v>
      </c>
      <c r="D3" s="122" t="s">
        <v>127</v>
      </c>
      <c r="E3" s="122" t="s">
        <v>287</v>
      </c>
      <c r="F3" s="122" t="s">
        <v>288</v>
      </c>
      <c r="G3" s="122" t="s">
        <v>291</v>
      </c>
      <c r="H3" s="122" t="s">
        <v>289</v>
      </c>
      <c r="I3" s="122" t="s">
        <v>309</v>
      </c>
      <c r="J3" s="122" t="s">
        <v>312</v>
      </c>
      <c r="K3" s="122" t="s">
        <v>123</v>
      </c>
      <c r="L3" s="122" t="s">
        <v>128</v>
      </c>
      <c r="M3" s="122" t="s">
        <v>122</v>
      </c>
      <c r="N3" s="122" t="s">
        <v>308</v>
      </c>
      <c r="O3" s="122" t="s">
        <v>290</v>
      </c>
      <c r="P3" s="122" t="s">
        <v>310</v>
      </c>
      <c r="Q3" s="122" t="s">
        <v>313</v>
      </c>
      <c r="R3" s="122" t="s">
        <v>68</v>
      </c>
      <c r="S3" s="122" t="s">
        <v>292</v>
      </c>
      <c r="T3" s="122" t="s">
        <v>293</v>
      </c>
      <c r="U3" s="122" t="s">
        <v>294</v>
      </c>
      <c r="V3" s="122" t="s">
        <v>81</v>
      </c>
      <c r="W3" s="122" t="s">
        <v>78</v>
      </c>
      <c r="X3" s="122" t="s">
        <v>295</v>
      </c>
      <c r="Y3" s="122" t="s">
        <v>296</v>
      </c>
      <c r="Z3" s="122" t="s">
        <v>297</v>
      </c>
      <c r="AA3" s="122" t="s">
        <v>15</v>
      </c>
      <c r="AB3" s="122" t="s">
        <v>298</v>
      </c>
      <c r="AC3" s="122" t="s">
        <v>79</v>
      </c>
      <c r="AD3" s="122" t="s">
        <v>299</v>
      </c>
      <c r="AE3" s="122" t="s">
        <v>80</v>
      </c>
      <c r="AF3" s="122" t="s">
        <v>300</v>
      </c>
      <c r="AG3" s="122" t="s">
        <v>301</v>
      </c>
      <c r="AH3" s="122" t="s">
        <v>74</v>
      </c>
      <c r="AI3" s="122" t="s">
        <v>75</v>
      </c>
      <c r="AJ3" s="168" t="s">
        <v>302</v>
      </c>
      <c r="AK3" s="167" t="s">
        <v>353</v>
      </c>
      <c r="AL3" s="122" t="s">
        <v>238</v>
      </c>
      <c r="AM3" s="122" t="s">
        <v>320</v>
      </c>
      <c r="AN3" s="122" t="s">
        <v>360</v>
      </c>
    </row>
    <row r="4" spans="1:40" x14ac:dyDescent="0.2">
      <c r="A4">
        <v>1</v>
      </c>
      <c r="B4" s="45" t="s">
        <v>22</v>
      </c>
      <c r="C4" s="45" t="s">
        <v>23</v>
      </c>
      <c r="D4" s="45" t="s">
        <v>87</v>
      </c>
      <c r="E4" s="45">
        <v>100</v>
      </c>
      <c r="F4" s="45">
        <v>38</v>
      </c>
      <c r="G4" s="45">
        <v>3958</v>
      </c>
      <c r="H4" s="164">
        <v>1.5792420000000001E-2</v>
      </c>
      <c r="I4" s="123">
        <v>1200</v>
      </c>
      <c r="J4" s="123">
        <v>18.950904000000001</v>
      </c>
      <c r="K4" s="45" t="s">
        <v>86</v>
      </c>
      <c r="L4" s="45">
        <v>46</v>
      </c>
      <c r="M4" s="45">
        <v>50</v>
      </c>
      <c r="N4" s="45">
        <v>3778</v>
      </c>
      <c r="O4" s="164">
        <v>9.1238699999999992E-3</v>
      </c>
      <c r="P4" s="123">
        <v>950</v>
      </c>
      <c r="Q4" s="123">
        <v>8.6676764999999989</v>
      </c>
      <c r="R4" s="45" t="s">
        <v>61</v>
      </c>
      <c r="S4" s="123">
        <v>10.5</v>
      </c>
      <c r="T4" s="130">
        <v>61.93</v>
      </c>
      <c r="U4" s="165">
        <v>40</v>
      </c>
      <c r="V4" s="45" t="s">
        <v>76</v>
      </c>
      <c r="W4" s="45">
        <v>3</v>
      </c>
      <c r="X4" s="123">
        <v>7.2</v>
      </c>
      <c r="Y4" s="45">
        <v>0</v>
      </c>
      <c r="Z4" s="123">
        <v>0</v>
      </c>
      <c r="AA4" s="45" t="s">
        <v>26</v>
      </c>
      <c r="AB4" s="165">
        <v>2.4000000000000004</v>
      </c>
      <c r="AC4" s="45">
        <v>1</v>
      </c>
      <c r="AD4" s="45">
        <v>8.9849999999999994</v>
      </c>
      <c r="AE4" s="45">
        <v>0</v>
      </c>
      <c r="AF4" s="123">
        <v>0</v>
      </c>
      <c r="AG4" s="135">
        <v>120.51</v>
      </c>
      <c r="AH4" s="45" t="s">
        <v>66</v>
      </c>
      <c r="AI4" s="45">
        <v>0</v>
      </c>
      <c r="AJ4" s="165">
        <v>0</v>
      </c>
      <c r="AL4" s="135">
        <v>120.51</v>
      </c>
      <c r="AM4" s="123">
        <v>120.5129</v>
      </c>
    </row>
    <row r="5" spans="1:40" x14ac:dyDescent="0.2">
      <c r="A5"/>
      <c r="C5" s="45"/>
      <c r="D5" s="45"/>
      <c r="E5" s="45"/>
      <c r="H5" s="164"/>
      <c r="I5" s="123"/>
      <c r="J5" s="123"/>
      <c r="K5" s="45"/>
      <c r="L5" s="45"/>
      <c r="M5" s="45"/>
      <c r="N5" s="45"/>
      <c r="O5" s="164"/>
      <c r="P5" s="123"/>
      <c r="Q5" s="123"/>
      <c r="R5" s="45"/>
      <c r="S5" s="123"/>
      <c r="T5" s="130"/>
      <c r="U5" s="165"/>
      <c r="V5" s="45"/>
      <c r="W5" s="45"/>
      <c r="X5" s="123"/>
      <c r="Y5" s="45"/>
      <c r="Z5" s="123"/>
      <c r="AA5" s="45"/>
      <c r="AB5" s="165"/>
      <c r="AC5" s="45"/>
      <c r="AF5" s="123"/>
      <c r="AG5" s="135"/>
      <c r="AL5" s="135"/>
      <c r="AM5" s="123"/>
    </row>
    <row r="6" spans="1:40" x14ac:dyDescent="0.2">
      <c r="A6"/>
      <c r="C6" s="45"/>
      <c r="D6" s="45"/>
      <c r="E6" s="45"/>
      <c r="H6" s="164"/>
      <c r="I6" s="123"/>
      <c r="J6" s="123"/>
      <c r="K6" s="45"/>
      <c r="L6" s="45"/>
      <c r="M6" s="45"/>
      <c r="N6" s="45"/>
      <c r="O6" s="164"/>
      <c r="P6" s="123"/>
      <c r="Q6" s="123"/>
      <c r="R6" s="45"/>
      <c r="S6" s="123"/>
      <c r="T6" s="130"/>
      <c r="U6" s="165"/>
      <c r="V6" s="45"/>
      <c r="W6" s="45"/>
      <c r="X6" s="123"/>
      <c r="Y6" s="45"/>
      <c r="Z6" s="123"/>
      <c r="AA6" s="45"/>
      <c r="AB6" s="165"/>
      <c r="AC6" s="45"/>
      <c r="AF6" s="123"/>
      <c r="AG6" s="135"/>
      <c r="AL6" s="135"/>
      <c r="AM6" s="123"/>
    </row>
    <row r="7" spans="1:40" x14ac:dyDescent="0.2">
      <c r="A7"/>
      <c r="C7" s="45"/>
      <c r="D7" s="45"/>
      <c r="E7" s="45"/>
      <c r="H7" s="164"/>
      <c r="I7" s="123"/>
      <c r="J7" s="123"/>
      <c r="K7" s="45"/>
      <c r="L7" s="45"/>
      <c r="M7" s="45"/>
      <c r="N7" s="45"/>
      <c r="O7" s="164"/>
      <c r="P7" s="123"/>
      <c r="Q7" s="123"/>
      <c r="R7" s="45"/>
      <c r="S7" s="123"/>
      <c r="T7" s="130"/>
      <c r="U7" s="165"/>
      <c r="V7" s="45"/>
      <c r="W7" s="45"/>
      <c r="X7" s="123"/>
      <c r="Y7" s="45"/>
      <c r="Z7" s="123"/>
      <c r="AA7" s="45"/>
      <c r="AB7" s="165"/>
      <c r="AC7" s="45"/>
      <c r="AF7" s="123"/>
      <c r="AG7" s="135"/>
      <c r="AL7" s="135"/>
      <c r="AM7" s="123"/>
    </row>
    <row r="8" spans="1:40" x14ac:dyDescent="0.2">
      <c r="A8"/>
      <c r="C8" s="45"/>
      <c r="D8" s="45"/>
      <c r="E8" s="45"/>
      <c r="H8" s="164"/>
      <c r="I8" s="123"/>
      <c r="J8" s="123"/>
      <c r="K8" s="45"/>
      <c r="L8" s="45"/>
      <c r="M8" s="45"/>
      <c r="N8" s="45"/>
      <c r="O8" s="164"/>
      <c r="P8" s="123"/>
      <c r="Q8" s="123"/>
      <c r="R8" s="45"/>
      <c r="S8" s="123"/>
      <c r="T8" s="130"/>
      <c r="U8" s="165"/>
      <c r="V8" s="45"/>
      <c r="W8" s="45"/>
      <c r="X8" s="123"/>
      <c r="Y8" s="45"/>
      <c r="Z8" s="123"/>
      <c r="AA8" s="45"/>
      <c r="AB8" s="165"/>
      <c r="AC8" s="45"/>
      <c r="AF8" s="123"/>
      <c r="AG8" s="135"/>
      <c r="AL8" s="135"/>
      <c r="AM8" s="123"/>
    </row>
    <row r="9" spans="1:40" x14ac:dyDescent="0.2">
      <c r="A9"/>
      <c r="C9" s="45"/>
      <c r="D9" s="45"/>
      <c r="E9" s="45"/>
      <c r="H9" s="164"/>
      <c r="I9" s="123"/>
      <c r="J9" s="123"/>
      <c r="K9" s="45"/>
      <c r="L9" s="45"/>
      <c r="M9" s="45"/>
      <c r="N9" s="45"/>
      <c r="O9" s="164"/>
      <c r="P9" s="123"/>
      <c r="Q9" s="123"/>
      <c r="R9" s="45"/>
      <c r="S9" s="123"/>
      <c r="T9" s="130"/>
      <c r="U9" s="165"/>
      <c r="V9" s="45"/>
      <c r="W9" s="45"/>
      <c r="X9" s="123"/>
      <c r="Y9" s="45"/>
      <c r="Z9" s="123"/>
      <c r="AA9" s="45"/>
      <c r="AB9" s="165"/>
      <c r="AC9" s="45"/>
      <c r="AF9" s="123"/>
      <c r="AG9" s="135"/>
      <c r="AL9" s="135"/>
      <c r="AM9" s="123"/>
    </row>
    <row r="10" spans="1:40" x14ac:dyDescent="0.2">
      <c r="A10"/>
      <c r="C10" s="45"/>
      <c r="D10" s="45"/>
      <c r="E10" s="45"/>
      <c r="H10" s="164"/>
      <c r="I10" s="123"/>
      <c r="J10" s="123"/>
      <c r="K10" s="45"/>
      <c r="L10" s="45"/>
      <c r="M10" s="45"/>
      <c r="N10" s="45"/>
      <c r="O10" s="164"/>
      <c r="P10" s="123"/>
      <c r="Q10" s="123"/>
      <c r="R10" s="45"/>
      <c r="S10" s="123"/>
      <c r="T10" s="130"/>
      <c r="U10" s="165"/>
      <c r="V10" s="45"/>
      <c r="W10" s="45"/>
      <c r="X10" s="123"/>
      <c r="Y10" s="45"/>
      <c r="Z10" s="123"/>
      <c r="AA10" s="45"/>
      <c r="AB10" s="165"/>
      <c r="AC10" s="45"/>
      <c r="AF10" s="123"/>
      <c r="AG10" s="135"/>
      <c r="AL10" s="135"/>
      <c r="AM10" s="123"/>
    </row>
    <row r="11" spans="1:40" x14ac:dyDescent="0.2">
      <c r="A11"/>
      <c r="C11" s="45"/>
      <c r="D11" s="45"/>
      <c r="E11" s="45"/>
      <c r="H11" s="164"/>
      <c r="I11" s="123"/>
      <c r="J11" s="123"/>
      <c r="K11" s="45"/>
      <c r="L11" s="45"/>
      <c r="M11" s="45"/>
      <c r="N11" s="45"/>
      <c r="O11" s="164"/>
      <c r="P11" s="123"/>
      <c r="Q11" s="123"/>
      <c r="R11" s="45"/>
      <c r="S11" s="123"/>
      <c r="T11" s="130"/>
      <c r="U11" s="165"/>
      <c r="V11" s="45"/>
      <c r="W11" s="45"/>
      <c r="X11" s="123"/>
      <c r="Y11" s="45"/>
      <c r="Z11" s="123"/>
      <c r="AA11" s="45"/>
      <c r="AB11" s="165"/>
      <c r="AC11" s="45"/>
      <c r="AF11" s="123"/>
      <c r="AG11" s="148"/>
      <c r="AL11" s="148"/>
      <c r="AM11" s="123"/>
    </row>
    <row r="12" spans="1:40" x14ac:dyDescent="0.2">
      <c r="A12"/>
      <c r="C12" s="45"/>
      <c r="D12" s="45"/>
      <c r="E12" s="45"/>
      <c r="H12" s="164"/>
      <c r="I12" s="123"/>
      <c r="J12" s="123"/>
      <c r="K12" s="45"/>
      <c r="L12" s="45"/>
      <c r="M12" s="45"/>
      <c r="N12" s="45"/>
      <c r="O12" s="164"/>
      <c r="P12" s="123"/>
      <c r="Q12" s="123"/>
      <c r="R12" s="45"/>
      <c r="S12" s="123"/>
      <c r="T12" s="148"/>
      <c r="U12" s="165"/>
      <c r="V12" s="45"/>
      <c r="W12" s="45"/>
      <c r="X12" s="123"/>
      <c r="Y12" s="45"/>
      <c r="Z12" s="123"/>
      <c r="AA12" s="45"/>
      <c r="AB12" s="165"/>
      <c r="AC12" s="45"/>
      <c r="AF12" s="123"/>
      <c r="AG12" s="148"/>
      <c r="AL12" s="148"/>
      <c r="AM12" s="123"/>
    </row>
    <row r="13" spans="1:40" x14ac:dyDescent="0.2">
      <c r="A13"/>
      <c r="C13" s="45"/>
      <c r="D13" s="45"/>
      <c r="E13" s="45"/>
      <c r="H13" s="164"/>
      <c r="I13" s="123"/>
      <c r="J13" s="123"/>
      <c r="K13" s="45"/>
      <c r="L13" s="45"/>
      <c r="M13" s="45"/>
      <c r="N13" s="45"/>
      <c r="O13" s="164"/>
      <c r="P13" s="123"/>
      <c r="Q13" s="123"/>
      <c r="R13" s="45"/>
      <c r="S13" s="123"/>
      <c r="U13" s="165"/>
      <c r="V13" s="45"/>
      <c r="W13" s="45"/>
      <c r="X13" s="123"/>
      <c r="Y13" s="45"/>
      <c r="Z13" s="123"/>
      <c r="AA13" s="45"/>
      <c r="AB13" s="165"/>
      <c r="AC13" s="45"/>
      <c r="AF13" s="123"/>
      <c r="AM13" s="123"/>
    </row>
    <row r="14" spans="1:40" x14ac:dyDescent="0.2">
      <c r="A14"/>
      <c r="C14" s="45"/>
      <c r="D14" s="45"/>
      <c r="E14" s="45"/>
      <c r="H14" s="164"/>
      <c r="I14" s="123"/>
      <c r="J14" s="123"/>
      <c r="K14" s="45"/>
      <c r="L14" s="45"/>
      <c r="M14" s="45"/>
      <c r="N14" s="45"/>
      <c r="O14" s="164"/>
      <c r="P14" s="123"/>
      <c r="Q14" s="123"/>
      <c r="R14" s="45"/>
      <c r="S14" s="123"/>
      <c r="U14" s="165"/>
      <c r="V14" s="45"/>
      <c r="W14" s="45"/>
      <c r="X14" s="123"/>
      <c r="Y14" s="45"/>
      <c r="Z14" s="123"/>
      <c r="AA14" s="45"/>
      <c r="AB14" s="165"/>
      <c r="AC14" s="45"/>
      <c r="AF14" s="123"/>
      <c r="AM14" s="123"/>
    </row>
    <row r="15" spans="1:40" x14ac:dyDescent="0.2">
      <c r="A15"/>
      <c r="C15" s="45"/>
      <c r="D15" s="45"/>
      <c r="E15" s="45"/>
      <c r="H15" s="164"/>
      <c r="I15" s="123"/>
      <c r="J15" s="123"/>
      <c r="K15" s="45"/>
      <c r="L15" s="45"/>
      <c r="M15" s="45"/>
      <c r="N15" s="45"/>
      <c r="O15" s="164"/>
      <c r="P15" s="123"/>
      <c r="Q15" s="123"/>
      <c r="R15" s="45"/>
      <c r="S15" s="123"/>
      <c r="U15" s="165"/>
      <c r="V15" s="45"/>
      <c r="W15" s="45"/>
      <c r="X15" s="123"/>
      <c r="Y15" s="45"/>
      <c r="Z15" s="123"/>
      <c r="AA15" s="45"/>
      <c r="AB15" s="165"/>
      <c r="AC15" s="45"/>
      <c r="AF15" s="123"/>
      <c r="AM15" s="123"/>
    </row>
    <row r="16" spans="1:40" x14ac:dyDescent="0.2">
      <c r="A16"/>
      <c r="C16" s="45"/>
      <c r="D16" s="45"/>
      <c r="E16" s="45"/>
      <c r="H16" s="164"/>
      <c r="I16" s="123"/>
      <c r="J16" s="123"/>
      <c r="K16" s="45"/>
      <c r="L16" s="45"/>
      <c r="M16" s="45"/>
      <c r="N16" s="45"/>
      <c r="O16" s="164"/>
      <c r="P16" s="123"/>
      <c r="Q16" s="123"/>
      <c r="R16" s="45"/>
      <c r="S16" s="123"/>
      <c r="U16" s="165"/>
      <c r="V16" s="45"/>
      <c r="W16" s="45"/>
      <c r="X16" s="123"/>
      <c r="Y16" s="45"/>
      <c r="Z16" s="123"/>
      <c r="AA16" s="45"/>
      <c r="AB16" s="165"/>
      <c r="AC16" s="45"/>
      <c r="AF16" s="123"/>
      <c r="AM16" s="123"/>
    </row>
    <row r="17" spans="1:39" x14ac:dyDescent="0.2">
      <c r="A17"/>
      <c r="C17" s="45"/>
      <c r="D17" s="45"/>
      <c r="E17" s="45"/>
      <c r="H17" s="164"/>
      <c r="I17" s="123"/>
      <c r="J17" s="123"/>
      <c r="K17" s="45"/>
      <c r="L17" s="45"/>
      <c r="M17" s="45"/>
      <c r="N17" s="45"/>
      <c r="O17" s="164"/>
      <c r="P17" s="123"/>
      <c r="Q17" s="123"/>
      <c r="R17" s="45"/>
      <c r="S17" s="123"/>
      <c r="U17" s="165"/>
      <c r="V17" s="45"/>
      <c r="W17" s="45"/>
      <c r="X17" s="123"/>
      <c r="Y17" s="45"/>
      <c r="Z17" s="123"/>
      <c r="AA17" s="45"/>
      <c r="AB17" s="165"/>
      <c r="AC17" s="45"/>
      <c r="AF17" s="123"/>
      <c r="AM17" s="123"/>
    </row>
    <row r="18" spans="1:39" x14ac:dyDescent="0.2">
      <c r="A18"/>
      <c r="C18" s="45"/>
      <c r="D18" s="45"/>
      <c r="E18" s="45"/>
      <c r="H18" s="164"/>
      <c r="I18" s="123"/>
      <c r="J18" s="123"/>
      <c r="K18" s="45"/>
      <c r="L18" s="45"/>
      <c r="M18" s="45"/>
      <c r="N18" s="45"/>
      <c r="O18" s="164"/>
      <c r="P18" s="123"/>
      <c r="Q18" s="123"/>
      <c r="R18" s="45"/>
      <c r="S18" s="123"/>
      <c r="U18" s="165"/>
      <c r="V18" s="45"/>
      <c r="W18" s="45"/>
      <c r="X18" s="123"/>
      <c r="Y18" s="45"/>
      <c r="Z18" s="123"/>
      <c r="AA18" s="45"/>
      <c r="AB18" s="165"/>
      <c r="AC18" s="45"/>
      <c r="AF18" s="123"/>
      <c r="AM18" s="123"/>
    </row>
    <row r="19" spans="1:39" x14ac:dyDescent="0.2">
      <c r="A19"/>
      <c r="C19" s="45"/>
      <c r="D19" s="45"/>
      <c r="E19" s="45"/>
      <c r="H19" s="164"/>
      <c r="I19" s="123"/>
      <c r="J19" s="123"/>
      <c r="K19" s="45"/>
      <c r="L19" s="45"/>
      <c r="M19" s="45"/>
      <c r="N19" s="45"/>
      <c r="O19" s="164"/>
      <c r="P19" s="123"/>
      <c r="Q19" s="123"/>
      <c r="R19" s="45"/>
      <c r="S19" s="123"/>
      <c r="U19" s="165"/>
      <c r="V19" s="45"/>
      <c r="W19" s="45"/>
      <c r="X19" s="123"/>
      <c r="Y19" s="45"/>
      <c r="Z19" s="123"/>
      <c r="AA19" s="45"/>
      <c r="AB19" s="165"/>
      <c r="AC19" s="45"/>
      <c r="AF19" s="123"/>
      <c r="AM19" s="123"/>
    </row>
    <row r="20" spans="1:39" x14ac:dyDescent="0.2">
      <c r="A20"/>
      <c r="C20" s="45"/>
      <c r="D20" s="45"/>
      <c r="E20" s="45"/>
      <c r="H20" s="164"/>
      <c r="I20" s="123"/>
      <c r="J20" s="123"/>
      <c r="K20" s="45"/>
      <c r="L20" s="45"/>
      <c r="M20" s="45"/>
      <c r="N20" s="45"/>
      <c r="O20" s="164"/>
      <c r="P20" s="123"/>
      <c r="Q20" s="123"/>
      <c r="R20" s="45"/>
      <c r="S20" s="123"/>
      <c r="U20" s="165"/>
      <c r="V20" s="45"/>
      <c r="W20" s="45"/>
      <c r="X20" s="123"/>
      <c r="Y20" s="45"/>
      <c r="Z20" s="123"/>
      <c r="AA20" s="45"/>
      <c r="AB20" s="165"/>
      <c r="AC20" s="45"/>
      <c r="AF20" s="123"/>
      <c r="AM20" s="123"/>
    </row>
    <row r="21" spans="1:39" x14ac:dyDescent="0.2">
      <c r="A21"/>
      <c r="C21" s="45"/>
      <c r="D21" s="45"/>
      <c r="E21" s="45"/>
      <c r="H21" s="164"/>
      <c r="I21" s="123"/>
      <c r="J21" s="123"/>
      <c r="K21" s="45"/>
      <c r="L21" s="45"/>
      <c r="M21" s="45"/>
      <c r="N21" s="45"/>
      <c r="O21" s="164"/>
      <c r="P21" s="123"/>
      <c r="Q21" s="123"/>
      <c r="R21" s="45"/>
      <c r="S21" s="123"/>
      <c r="U21" s="165"/>
      <c r="V21" s="45"/>
      <c r="W21" s="45"/>
      <c r="X21" s="123"/>
      <c r="Y21" s="45"/>
      <c r="Z21" s="123"/>
      <c r="AA21" s="45"/>
      <c r="AB21" s="165"/>
      <c r="AC21" s="45"/>
      <c r="AF21" s="123"/>
      <c r="AM21" s="123"/>
    </row>
    <row r="22" spans="1:39" x14ac:dyDescent="0.2">
      <c r="A22"/>
      <c r="C22" s="45"/>
      <c r="D22" s="45"/>
      <c r="E22" s="45"/>
      <c r="H22" s="164"/>
      <c r="I22" s="123"/>
      <c r="J22" s="123"/>
      <c r="K22" s="45"/>
      <c r="L22" s="45"/>
      <c r="M22" s="45"/>
      <c r="N22" s="45"/>
      <c r="O22" s="164"/>
      <c r="P22" s="123"/>
      <c r="Q22" s="123"/>
      <c r="R22" s="45"/>
      <c r="S22" s="123"/>
      <c r="U22" s="165"/>
      <c r="V22" s="45"/>
      <c r="W22" s="45"/>
      <c r="X22" s="123"/>
      <c r="Y22" s="45"/>
      <c r="Z22" s="123"/>
      <c r="AA22" s="45"/>
      <c r="AB22" s="165"/>
      <c r="AC22" s="45"/>
      <c r="AF22" s="123"/>
      <c r="AM22" s="123"/>
    </row>
    <row r="23" spans="1:39" x14ac:dyDescent="0.2">
      <c r="A23"/>
      <c r="C23" s="45"/>
      <c r="D23" s="45"/>
      <c r="E23" s="45"/>
      <c r="H23" s="164"/>
      <c r="I23" s="123"/>
      <c r="J23" s="123"/>
      <c r="K23" s="45"/>
      <c r="L23" s="45"/>
      <c r="M23" s="45"/>
      <c r="N23" s="45"/>
      <c r="O23" s="164"/>
      <c r="P23" s="123"/>
      <c r="Q23" s="123"/>
      <c r="R23" s="45"/>
      <c r="S23" s="123"/>
      <c r="U23" s="165"/>
      <c r="V23" s="45"/>
      <c r="W23" s="45"/>
      <c r="X23" s="123"/>
      <c r="Y23" s="45"/>
      <c r="Z23" s="123"/>
      <c r="AA23" s="45"/>
      <c r="AB23" s="165"/>
      <c r="AC23" s="45"/>
      <c r="AF23" s="123"/>
      <c r="AM23" s="123"/>
    </row>
    <row r="24" spans="1:39" x14ac:dyDescent="0.2">
      <c r="A24"/>
      <c r="C24" s="45"/>
      <c r="D24" s="45"/>
      <c r="E24" s="45"/>
      <c r="H24" s="164"/>
      <c r="I24" s="123"/>
      <c r="J24" s="123"/>
      <c r="K24" s="45"/>
      <c r="L24" s="45"/>
      <c r="M24" s="45"/>
      <c r="N24" s="45"/>
      <c r="O24" s="164"/>
      <c r="P24" s="123"/>
      <c r="Q24" s="123"/>
      <c r="R24" s="45"/>
      <c r="S24" s="123"/>
      <c r="U24" s="165"/>
      <c r="V24" s="45"/>
      <c r="W24" s="45"/>
      <c r="X24" s="123"/>
      <c r="Y24" s="45"/>
      <c r="Z24" s="123"/>
      <c r="AA24" s="45"/>
      <c r="AB24" s="165"/>
      <c r="AC24" s="45"/>
      <c r="AF24" s="123"/>
      <c r="AM24" s="123"/>
    </row>
    <row r="25" spans="1:39" x14ac:dyDescent="0.2">
      <c r="A25"/>
      <c r="C25" s="45"/>
      <c r="D25" s="45"/>
      <c r="E25" s="45"/>
      <c r="H25" s="164"/>
      <c r="I25" s="123"/>
      <c r="J25" s="123"/>
      <c r="K25" s="45"/>
      <c r="L25" s="45"/>
      <c r="M25" s="45"/>
      <c r="N25" s="45"/>
      <c r="O25" s="164"/>
      <c r="P25" s="123"/>
      <c r="Q25" s="123"/>
      <c r="R25" s="45"/>
      <c r="S25" s="123"/>
      <c r="U25" s="165"/>
      <c r="V25" s="45"/>
      <c r="W25" s="45"/>
      <c r="X25" s="123"/>
      <c r="Y25" s="45"/>
      <c r="Z25" s="123"/>
      <c r="AA25" s="45"/>
      <c r="AB25" s="165"/>
      <c r="AC25" s="45"/>
      <c r="AF25" s="123"/>
      <c r="AM25" s="123"/>
    </row>
    <row r="26" spans="1:39" x14ac:dyDescent="0.2">
      <c r="A26"/>
      <c r="C26" s="45"/>
      <c r="D26" s="45"/>
      <c r="E26" s="45"/>
      <c r="H26" s="164"/>
      <c r="I26" s="123"/>
      <c r="J26" s="123"/>
      <c r="K26" s="45"/>
      <c r="L26" s="45"/>
      <c r="M26" s="45"/>
      <c r="N26" s="45"/>
      <c r="O26" s="164"/>
      <c r="P26" s="123"/>
      <c r="Q26" s="123"/>
      <c r="R26" s="45"/>
      <c r="S26" s="123"/>
      <c r="U26" s="165"/>
      <c r="V26" s="45"/>
      <c r="W26" s="45"/>
      <c r="X26" s="123"/>
      <c r="Y26" s="45"/>
      <c r="Z26" s="123"/>
      <c r="AA26" s="45"/>
      <c r="AB26" s="165"/>
      <c r="AC26" s="45"/>
      <c r="AF26" s="123"/>
      <c r="AM26" s="123"/>
    </row>
    <row r="27" spans="1:39" x14ac:dyDescent="0.2">
      <c r="A27"/>
      <c r="C27" s="45"/>
      <c r="D27" s="45"/>
      <c r="E27" s="45"/>
      <c r="H27" s="164"/>
      <c r="I27" s="123"/>
      <c r="J27" s="123"/>
      <c r="K27" s="45"/>
      <c r="L27" s="45"/>
      <c r="M27" s="45"/>
      <c r="N27" s="45"/>
      <c r="O27" s="164"/>
      <c r="P27" s="123"/>
      <c r="Q27" s="123"/>
      <c r="R27" s="45"/>
      <c r="S27" s="123"/>
      <c r="U27" s="165"/>
      <c r="V27" s="45"/>
      <c r="W27" s="45"/>
      <c r="X27" s="123"/>
      <c r="Y27" s="45"/>
      <c r="Z27" s="123"/>
      <c r="AA27" s="45"/>
      <c r="AB27" s="165"/>
      <c r="AC27" s="45"/>
      <c r="AF27" s="123"/>
      <c r="AM27" s="123"/>
    </row>
    <row r="28" spans="1:39" x14ac:dyDescent="0.2">
      <c r="A28"/>
      <c r="C28" s="45"/>
      <c r="D28" s="45"/>
      <c r="E28" s="45"/>
      <c r="H28" s="164"/>
      <c r="I28" s="123"/>
      <c r="J28" s="123"/>
      <c r="K28" s="45"/>
      <c r="L28" s="45"/>
      <c r="M28" s="45"/>
      <c r="N28" s="45"/>
      <c r="O28" s="164"/>
      <c r="P28" s="123"/>
      <c r="Q28" s="123"/>
      <c r="R28" s="45"/>
      <c r="S28" s="123"/>
      <c r="U28" s="165"/>
      <c r="V28" s="45"/>
      <c r="W28" s="45"/>
      <c r="X28" s="123"/>
      <c r="Y28" s="45"/>
      <c r="Z28" s="123"/>
      <c r="AA28" s="45"/>
      <c r="AB28" s="165"/>
      <c r="AC28" s="45"/>
      <c r="AF28" s="123"/>
      <c r="AM28" s="123"/>
    </row>
    <row r="29" spans="1:39" x14ac:dyDescent="0.2">
      <c r="A29"/>
      <c r="C29" s="45"/>
      <c r="D29" s="45"/>
      <c r="E29" s="45"/>
      <c r="H29" s="164"/>
      <c r="I29" s="123"/>
      <c r="J29" s="123"/>
      <c r="K29" s="45"/>
      <c r="L29" s="45"/>
      <c r="M29" s="45"/>
      <c r="N29" s="45"/>
      <c r="O29" s="164"/>
      <c r="P29" s="123"/>
      <c r="Q29" s="123"/>
      <c r="R29" s="45"/>
      <c r="S29" s="123"/>
      <c r="U29" s="165"/>
      <c r="V29" s="45"/>
      <c r="W29" s="45"/>
      <c r="X29" s="123"/>
      <c r="Y29" s="45"/>
      <c r="Z29" s="123"/>
      <c r="AA29" s="45"/>
      <c r="AB29" s="165"/>
      <c r="AC29" s="45"/>
      <c r="AF29" s="123"/>
      <c r="AM29" s="123"/>
    </row>
    <row r="30" spans="1:39" x14ac:dyDescent="0.2">
      <c r="A30"/>
      <c r="C30" s="45"/>
      <c r="D30" s="45"/>
      <c r="E30" s="45"/>
      <c r="H30" s="164"/>
      <c r="I30" s="123"/>
      <c r="J30" s="123"/>
      <c r="K30" s="45"/>
      <c r="L30" s="45"/>
      <c r="M30" s="45"/>
      <c r="N30" s="45"/>
      <c r="O30" s="164"/>
      <c r="P30" s="123"/>
      <c r="Q30" s="123"/>
      <c r="R30" s="45"/>
      <c r="S30" s="123"/>
      <c r="U30" s="165"/>
      <c r="V30" s="45"/>
      <c r="W30" s="45"/>
      <c r="X30" s="123"/>
      <c r="Y30" s="45"/>
      <c r="Z30" s="123"/>
      <c r="AA30" s="45"/>
      <c r="AB30" s="165"/>
      <c r="AC30" s="45"/>
      <c r="AF30" s="123"/>
      <c r="AM30" s="123"/>
    </row>
    <row r="31" spans="1:39" x14ac:dyDescent="0.2">
      <c r="A31"/>
      <c r="C31" s="45"/>
      <c r="D31" s="45"/>
      <c r="E31" s="45"/>
      <c r="H31" s="164"/>
      <c r="I31" s="123"/>
      <c r="J31" s="123"/>
      <c r="K31" s="45"/>
      <c r="L31" s="45"/>
      <c r="M31" s="45"/>
      <c r="N31" s="45"/>
      <c r="O31" s="164"/>
      <c r="P31" s="123"/>
      <c r="Q31" s="123"/>
      <c r="R31" s="45"/>
      <c r="S31" s="123"/>
      <c r="U31" s="165"/>
      <c r="V31" s="45"/>
      <c r="W31" s="45"/>
      <c r="X31" s="123"/>
      <c r="Y31" s="45"/>
      <c r="Z31" s="123"/>
      <c r="AA31" s="45"/>
      <c r="AB31" s="165"/>
      <c r="AC31" s="45"/>
      <c r="AF31" s="123"/>
      <c r="AM31" s="123"/>
    </row>
    <row r="32" spans="1:39" x14ac:dyDescent="0.2">
      <c r="A32"/>
      <c r="C32" s="45"/>
      <c r="D32" s="45"/>
      <c r="E32" s="45"/>
      <c r="H32" s="164"/>
      <c r="I32" s="123"/>
      <c r="J32" s="123"/>
      <c r="K32" s="45"/>
      <c r="L32" s="45"/>
      <c r="M32" s="45"/>
      <c r="N32" s="45"/>
      <c r="O32" s="164"/>
      <c r="P32" s="123"/>
      <c r="Q32" s="123"/>
      <c r="R32" s="45"/>
      <c r="S32" s="123"/>
      <c r="U32" s="165"/>
      <c r="V32" s="45"/>
      <c r="W32" s="45"/>
      <c r="X32" s="123"/>
      <c r="Y32" s="45"/>
      <c r="Z32" s="123"/>
      <c r="AA32" s="45"/>
      <c r="AB32" s="165"/>
      <c r="AC32" s="45"/>
      <c r="AF32" s="123"/>
      <c r="AM32" s="123"/>
    </row>
    <row r="33" spans="1:39" x14ac:dyDescent="0.2">
      <c r="A33"/>
      <c r="C33" s="45"/>
      <c r="D33" s="45"/>
      <c r="E33" s="45"/>
      <c r="H33" s="164"/>
      <c r="I33" s="123"/>
      <c r="J33" s="123"/>
      <c r="K33" s="45"/>
      <c r="L33" s="45"/>
      <c r="M33" s="45"/>
      <c r="N33" s="45"/>
      <c r="O33" s="164"/>
      <c r="P33" s="123"/>
      <c r="Q33" s="123"/>
      <c r="R33" s="45"/>
      <c r="S33" s="123"/>
      <c r="U33" s="165"/>
      <c r="V33" s="45"/>
      <c r="W33" s="45"/>
      <c r="X33" s="123"/>
      <c r="Y33" s="45"/>
      <c r="Z33" s="123"/>
      <c r="AA33" s="45"/>
      <c r="AB33" s="165"/>
      <c r="AC33" s="45"/>
      <c r="AF33" s="123"/>
      <c r="AM33" s="123"/>
    </row>
    <row r="34" spans="1:39" x14ac:dyDescent="0.2">
      <c r="A34"/>
      <c r="C34" s="45"/>
      <c r="D34" s="45"/>
      <c r="E34" s="45"/>
      <c r="H34" s="164"/>
      <c r="I34" s="123"/>
      <c r="J34" s="123"/>
      <c r="K34" s="45"/>
      <c r="L34" s="45"/>
      <c r="M34" s="45"/>
      <c r="N34" s="45"/>
      <c r="O34" s="164"/>
      <c r="P34" s="123"/>
      <c r="Q34" s="123"/>
      <c r="R34" s="45"/>
      <c r="S34" s="123"/>
      <c r="U34" s="165"/>
      <c r="V34" s="45"/>
      <c r="W34" s="45"/>
      <c r="X34" s="123"/>
      <c r="Y34" s="45"/>
      <c r="Z34" s="123"/>
      <c r="AA34" s="45"/>
      <c r="AB34" s="165"/>
      <c r="AC34" s="45"/>
      <c r="AF34" s="123"/>
      <c r="AM34" s="123"/>
    </row>
    <row r="35" spans="1:39" x14ac:dyDescent="0.2">
      <c r="A35"/>
      <c r="C35" s="45"/>
      <c r="D35" s="45"/>
      <c r="E35" s="45"/>
      <c r="H35" s="164"/>
      <c r="I35" s="123"/>
      <c r="J35" s="123"/>
      <c r="K35" s="45"/>
      <c r="L35" s="45"/>
      <c r="M35" s="45"/>
      <c r="N35" s="45"/>
      <c r="O35" s="164"/>
      <c r="P35" s="123"/>
      <c r="Q35" s="123"/>
      <c r="R35" s="45"/>
      <c r="S35" s="123"/>
      <c r="U35" s="165"/>
      <c r="V35" s="45"/>
      <c r="W35" s="45"/>
      <c r="X35" s="123"/>
      <c r="Y35" s="45"/>
      <c r="Z35" s="123"/>
      <c r="AA35" s="45"/>
      <c r="AB35" s="165"/>
      <c r="AC35" s="45"/>
      <c r="AF35" s="123"/>
      <c r="AM35" s="123"/>
    </row>
    <row r="36" spans="1:39" x14ac:dyDescent="0.2">
      <c r="A36"/>
      <c r="C36" s="45"/>
      <c r="D36" s="45"/>
      <c r="E36" s="45"/>
      <c r="H36" s="164"/>
      <c r="I36" s="123"/>
      <c r="J36" s="123"/>
      <c r="K36" s="45"/>
      <c r="L36" s="45"/>
      <c r="M36" s="45"/>
      <c r="N36" s="45"/>
      <c r="O36" s="164"/>
      <c r="P36" s="123"/>
      <c r="Q36" s="123"/>
      <c r="R36" s="45"/>
      <c r="S36" s="123"/>
      <c r="U36" s="165"/>
      <c r="V36" s="45"/>
      <c r="W36" s="45"/>
      <c r="X36" s="123"/>
      <c r="Y36" s="45"/>
      <c r="Z36" s="123"/>
      <c r="AA36" s="45"/>
      <c r="AB36" s="165"/>
      <c r="AC36" s="45"/>
      <c r="AF36" s="123"/>
      <c r="AM36" s="123"/>
    </row>
    <row r="37" spans="1:39" x14ac:dyDescent="0.2">
      <c r="A37"/>
      <c r="C37" s="45"/>
      <c r="D37" s="45"/>
      <c r="E37" s="45"/>
      <c r="H37" s="164"/>
      <c r="I37" s="123"/>
      <c r="J37" s="123"/>
      <c r="K37" s="45"/>
      <c r="L37" s="45"/>
      <c r="M37" s="45"/>
      <c r="N37" s="45"/>
      <c r="O37" s="164"/>
      <c r="P37" s="123"/>
      <c r="Q37" s="123"/>
      <c r="R37" s="45"/>
      <c r="S37" s="123"/>
      <c r="U37" s="165"/>
      <c r="V37" s="45"/>
      <c r="W37" s="45"/>
      <c r="X37" s="123"/>
      <c r="Y37" s="45"/>
      <c r="Z37" s="123"/>
      <c r="AA37" s="45"/>
      <c r="AB37" s="165"/>
      <c r="AC37" s="45"/>
      <c r="AF37" s="123"/>
      <c r="AM37" s="123"/>
    </row>
    <row r="38" spans="1:39" x14ac:dyDescent="0.2">
      <c r="A38"/>
      <c r="C38" s="45"/>
      <c r="D38" s="45"/>
      <c r="E38" s="45"/>
      <c r="H38" s="164"/>
      <c r="I38" s="123"/>
      <c r="J38" s="123"/>
      <c r="K38" s="45"/>
      <c r="L38" s="45"/>
      <c r="M38" s="45"/>
      <c r="N38" s="45"/>
      <c r="O38" s="164"/>
      <c r="P38" s="123"/>
      <c r="Q38" s="123"/>
      <c r="R38" s="45"/>
      <c r="S38" s="123"/>
      <c r="U38" s="165"/>
      <c r="V38" s="45"/>
      <c r="W38" s="45"/>
      <c r="X38" s="123"/>
      <c r="Y38" s="45"/>
      <c r="Z38" s="123"/>
      <c r="AA38" s="45"/>
      <c r="AB38" s="165"/>
      <c r="AC38" s="45"/>
      <c r="AF38" s="123"/>
      <c r="AM38" s="123"/>
    </row>
    <row r="39" spans="1:39" x14ac:dyDescent="0.2">
      <c r="A39"/>
      <c r="C39" s="45"/>
      <c r="D39" s="45"/>
      <c r="E39" s="45"/>
      <c r="H39" s="164"/>
      <c r="I39" s="123"/>
      <c r="J39" s="123"/>
      <c r="K39" s="45"/>
      <c r="L39" s="45"/>
      <c r="M39" s="45"/>
      <c r="N39" s="45"/>
      <c r="O39" s="164"/>
      <c r="P39" s="123"/>
      <c r="Q39" s="123"/>
      <c r="R39" s="45"/>
      <c r="S39" s="123"/>
      <c r="U39" s="165"/>
      <c r="V39" s="45"/>
      <c r="W39" s="45"/>
      <c r="X39" s="123"/>
      <c r="Y39" s="45"/>
      <c r="Z39" s="123"/>
      <c r="AA39" s="45"/>
      <c r="AB39" s="165"/>
      <c r="AC39" s="45"/>
      <c r="AF39" s="123"/>
      <c r="AM39" s="123"/>
    </row>
    <row r="40" spans="1:39" x14ac:dyDescent="0.2">
      <c r="A40"/>
      <c r="C40" s="45"/>
      <c r="D40" s="45"/>
      <c r="E40" s="45"/>
      <c r="H40" s="164"/>
      <c r="I40" s="123"/>
      <c r="J40" s="123"/>
      <c r="K40" s="45"/>
      <c r="L40" s="45"/>
      <c r="M40" s="45"/>
      <c r="N40" s="45"/>
      <c r="O40" s="164"/>
      <c r="P40" s="123"/>
      <c r="Q40" s="123"/>
      <c r="R40" s="45"/>
      <c r="S40" s="123"/>
      <c r="U40" s="165"/>
      <c r="V40" s="45"/>
      <c r="W40" s="45"/>
      <c r="X40" s="123"/>
      <c r="Y40" s="45"/>
      <c r="Z40" s="123"/>
      <c r="AA40" s="45"/>
      <c r="AB40" s="165"/>
      <c r="AC40" s="45"/>
      <c r="AF40" s="123"/>
      <c r="AM40" s="123"/>
    </row>
    <row r="41" spans="1:39" x14ac:dyDescent="0.2">
      <c r="A41"/>
      <c r="C41" s="45"/>
      <c r="D41" s="45"/>
      <c r="E41" s="45"/>
      <c r="H41" s="164"/>
      <c r="I41" s="123"/>
      <c r="J41" s="123"/>
      <c r="K41" s="45"/>
      <c r="L41" s="45"/>
      <c r="M41" s="45"/>
      <c r="N41" s="45"/>
      <c r="O41" s="164"/>
      <c r="P41" s="123"/>
      <c r="Q41" s="123"/>
      <c r="R41" s="45"/>
      <c r="S41" s="123"/>
      <c r="U41" s="165"/>
      <c r="V41" s="45"/>
      <c r="W41" s="45"/>
      <c r="X41" s="123"/>
      <c r="Y41" s="45"/>
      <c r="Z41" s="123"/>
      <c r="AA41" s="45"/>
      <c r="AB41" s="165"/>
      <c r="AC41" s="45"/>
      <c r="AF41" s="123"/>
      <c r="AM41" s="123"/>
    </row>
    <row r="42" spans="1:39" x14ac:dyDescent="0.2">
      <c r="A42"/>
      <c r="C42" s="45"/>
      <c r="D42" s="45"/>
      <c r="E42" s="45"/>
      <c r="H42" s="164"/>
      <c r="I42" s="123"/>
      <c r="J42" s="123"/>
      <c r="K42" s="45"/>
      <c r="L42" s="45"/>
      <c r="M42" s="45"/>
      <c r="N42" s="45"/>
      <c r="O42" s="164"/>
      <c r="P42" s="123"/>
      <c r="Q42" s="123"/>
      <c r="R42" s="45"/>
      <c r="S42" s="123"/>
      <c r="U42" s="165"/>
      <c r="V42" s="45"/>
      <c r="W42" s="45"/>
      <c r="X42" s="123"/>
      <c r="Y42" s="45"/>
      <c r="Z42" s="123"/>
      <c r="AA42" s="45"/>
      <c r="AB42" s="165"/>
      <c r="AC42" s="45"/>
      <c r="AF42" s="123"/>
      <c r="AM42" s="123"/>
    </row>
    <row r="43" spans="1:39" x14ac:dyDescent="0.2">
      <c r="A43"/>
      <c r="C43" s="45"/>
      <c r="D43" s="45"/>
      <c r="E43" s="45"/>
      <c r="H43" s="164"/>
      <c r="I43" s="123"/>
      <c r="J43" s="123"/>
      <c r="K43" s="45"/>
      <c r="L43" s="45"/>
      <c r="M43" s="45"/>
      <c r="N43" s="45"/>
      <c r="O43" s="164"/>
      <c r="P43" s="123"/>
      <c r="Q43" s="123"/>
      <c r="R43" s="45"/>
      <c r="S43" s="123"/>
      <c r="U43" s="165"/>
      <c r="V43" s="45"/>
      <c r="W43" s="45"/>
      <c r="X43" s="123"/>
      <c r="Y43" s="45"/>
      <c r="Z43" s="123"/>
      <c r="AA43" s="45"/>
      <c r="AB43" s="165"/>
      <c r="AC43" s="45"/>
      <c r="AF43" s="123"/>
      <c r="AM43" s="123"/>
    </row>
    <row r="44" spans="1:39" x14ac:dyDescent="0.2">
      <c r="A44"/>
      <c r="C44" s="45"/>
      <c r="D44" s="45"/>
      <c r="E44" s="45"/>
      <c r="H44" s="164"/>
      <c r="I44" s="123"/>
      <c r="J44" s="123"/>
      <c r="K44" s="45"/>
      <c r="L44" s="45"/>
      <c r="M44" s="45"/>
      <c r="N44" s="45"/>
      <c r="O44" s="164"/>
      <c r="P44" s="123"/>
      <c r="Q44" s="123"/>
      <c r="R44" s="45"/>
      <c r="S44" s="123"/>
      <c r="U44" s="165"/>
      <c r="V44" s="45"/>
      <c r="W44" s="45"/>
      <c r="X44" s="123"/>
      <c r="Y44" s="45"/>
      <c r="Z44" s="123"/>
      <c r="AA44" s="45"/>
      <c r="AB44" s="165"/>
      <c r="AC44" s="45"/>
      <c r="AF44" s="123"/>
      <c r="AM44" s="123"/>
    </row>
    <row r="45" spans="1:39" x14ac:dyDescent="0.2">
      <c r="A45"/>
      <c r="C45" s="45"/>
      <c r="D45" s="45"/>
      <c r="E45" s="45"/>
      <c r="H45" s="164"/>
      <c r="I45" s="123"/>
      <c r="J45" s="123"/>
      <c r="K45" s="45"/>
      <c r="L45" s="45"/>
      <c r="M45" s="45"/>
      <c r="N45" s="45"/>
      <c r="O45" s="164"/>
      <c r="P45" s="123"/>
      <c r="Q45" s="123"/>
      <c r="R45" s="45"/>
      <c r="S45" s="123"/>
      <c r="U45" s="165"/>
      <c r="V45" s="45"/>
      <c r="W45" s="45"/>
      <c r="X45" s="123"/>
      <c r="Y45" s="45"/>
      <c r="Z45" s="123"/>
      <c r="AA45" s="45"/>
      <c r="AB45" s="165"/>
      <c r="AC45" s="45"/>
      <c r="AF45" s="123"/>
      <c r="AM45" s="123"/>
    </row>
    <row r="46" spans="1:39" x14ac:dyDescent="0.2">
      <c r="A46"/>
      <c r="C46" s="45"/>
      <c r="D46" s="45"/>
      <c r="E46" s="45"/>
      <c r="H46" s="164"/>
      <c r="I46" s="123"/>
      <c r="J46" s="123"/>
      <c r="K46" s="45"/>
      <c r="L46" s="45"/>
      <c r="M46" s="45"/>
      <c r="N46" s="45"/>
      <c r="O46" s="164"/>
      <c r="P46" s="123"/>
      <c r="Q46" s="123"/>
      <c r="R46" s="45"/>
      <c r="S46" s="123"/>
      <c r="U46" s="165"/>
      <c r="V46" s="45"/>
      <c r="W46" s="45"/>
      <c r="X46" s="123"/>
      <c r="Y46" s="45"/>
      <c r="Z46" s="123"/>
      <c r="AA46" s="45"/>
      <c r="AB46" s="165"/>
      <c r="AC46" s="45"/>
      <c r="AF46" s="123"/>
      <c r="AM46" s="123"/>
    </row>
    <row r="47" spans="1:39" x14ac:dyDescent="0.2">
      <c r="A47"/>
      <c r="C47" s="45"/>
      <c r="D47" s="45"/>
      <c r="E47" s="45"/>
      <c r="H47" s="164"/>
      <c r="I47" s="123"/>
      <c r="J47" s="123"/>
      <c r="K47" s="45"/>
      <c r="L47" s="45"/>
      <c r="M47" s="45"/>
      <c r="N47" s="45"/>
      <c r="O47" s="164"/>
      <c r="P47" s="123"/>
      <c r="Q47" s="123"/>
      <c r="R47" s="45"/>
      <c r="S47" s="123"/>
      <c r="U47" s="165"/>
      <c r="V47" s="45"/>
      <c r="W47" s="45"/>
      <c r="X47" s="123"/>
      <c r="Y47" s="45"/>
      <c r="Z47" s="123"/>
      <c r="AA47" s="45"/>
      <c r="AB47" s="165"/>
      <c r="AC47" s="45"/>
      <c r="AF47" s="123"/>
      <c r="AM47" s="123"/>
    </row>
    <row r="48" spans="1:39" x14ac:dyDescent="0.2">
      <c r="A48"/>
      <c r="C48" s="45"/>
      <c r="D48" s="45"/>
      <c r="E48" s="45"/>
      <c r="H48" s="164"/>
      <c r="I48" s="123"/>
      <c r="J48" s="123"/>
      <c r="K48" s="45"/>
      <c r="L48" s="45"/>
      <c r="M48" s="45"/>
      <c r="N48" s="45"/>
      <c r="O48" s="164"/>
      <c r="P48" s="123"/>
      <c r="Q48" s="123"/>
      <c r="R48" s="45"/>
      <c r="S48" s="123"/>
      <c r="U48" s="165"/>
      <c r="V48" s="45"/>
      <c r="W48" s="45"/>
      <c r="X48" s="123"/>
      <c r="Y48" s="45"/>
      <c r="Z48" s="123"/>
      <c r="AA48" s="45"/>
      <c r="AB48" s="165"/>
      <c r="AC48" s="45"/>
      <c r="AF48" s="123"/>
      <c r="AM48" s="123"/>
    </row>
    <row r="49" spans="1:39" x14ac:dyDescent="0.2">
      <c r="A49"/>
      <c r="C49" s="45"/>
      <c r="D49" s="45"/>
      <c r="E49" s="45"/>
      <c r="H49" s="164"/>
      <c r="I49" s="123"/>
      <c r="J49" s="123"/>
      <c r="K49" s="45"/>
      <c r="L49" s="45"/>
      <c r="M49" s="45"/>
      <c r="N49" s="45"/>
      <c r="O49" s="164"/>
      <c r="P49" s="123"/>
      <c r="Q49" s="123"/>
      <c r="R49" s="45"/>
      <c r="S49" s="123"/>
      <c r="U49" s="165"/>
      <c r="V49" s="45"/>
      <c r="W49" s="45"/>
      <c r="X49" s="123"/>
      <c r="Y49" s="45"/>
      <c r="Z49" s="123"/>
      <c r="AA49" s="45"/>
      <c r="AB49" s="165"/>
      <c r="AC49" s="45"/>
      <c r="AF49" s="123"/>
      <c r="AM49" s="123"/>
    </row>
    <row r="50" spans="1:39" x14ac:dyDescent="0.2">
      <c r="A50"/>
      <c r="C50" s="45"/>
      <c r="D50" s="45"/>
      <c r="E50" s="45"/>
      <c r="H50" s="164"/>
      <c r="I50" s="123"/>
      <c r="J50" s="123"/>
      <c r="K50" s="45"/>
      <c r="L50" s="45"/>
      <c r="M50" s="45"/>
      <c r="N50" s="45"/>
      <c r="O50" s="164"/>
      <c r="P50" s="123"/>
      <c r="Q50" s="123"/>
      <c r="R50" s="45"/>
      <c r="S50" s="123"/>
      <c r="U50" s="165"/>
      <c r="V50" s="45"/>
      <c r="W50" s="45"/>
      <c r="X50" s="123"/>
      <c r="Y50" s="45"/>
      <c r="Z50" s="123"/>
      <c r="AA50" s="45"/>
      <c r="AB50" s="165"/>
      <c r="AC50" s="45"/>
      <c r="AF50" s="123"/>
      <c r="AM50" s="123"/>
    </row>
    <row r="51" spans="1:39" x14ac:dyDescent="0.2">
      <c r="A51"/>
      <c r="C51" s="45"/>
      <c r="D51" s="45"/>
      <c r="E51" s="45"/>
      <c r="H51" s="164"/>
      <c r="I51" s="123"/>
      <c r="J51" s="123"/>
      <c r="L51" s="45"/>
      <c r="M51" s="45"/>
      <c r="N51" s="45"/>
      <c r="O51" s="164"/>
      <c r="P51" s="123"/>
      <c r="Q51" s="123"/>
      <c r="R51" s="45"/>
      <c r="S51" s="123"/>
      <c r="U51" s="165"/>
      <c r="V51" s="45"/>
      <c r="W51" s="45"/>
      <c r="X51" s="123"/>
      <c r="Y51" s="45"/>
      <c r="Z51" s="123"/>
      <c r="AA51" s="45"/>
      <c r="AB51" s="165"/>
      <c r="AC51" s="45"/>
      <c r="AF51" s="123"/>
      <c r="AM51" s="123"/>
    </row>
    <row r="52" spans="1:39" x14ac:dyDescent="0.2">
      <c r="A52"/>
      <c r="C52" s="45"/>
      <c r="D52" s="45"/>
      <c r="E52" s="45"/>
      <c r="H52" s="164"/>
      <c r="I52" s="123"/>
      <c r="J52" s="123"/>
      <c r="L52" s="45"/>
      <c r="M52" s="45"/>
      <c r="N52" s="45"/>
      <c r="O52" s="164"/>
      <c r="P52" s="123"/>
      <c r="Q52" s="123"/>
      <c r="R52" s="45"/>
      <c r="S52" s="123"/>
      <c r="U52" s="165"/>
      <c r="V52" s="45"/>
      <c r="W52" s="45"/>
      <c r="X52" s="123"/>
      <c r="Y52" s="45"/>
      <c r="Z52" s="123"/>
      <c r="AA52" s="45"/>
      <c r="AB52" s="165"/>
      <c r="AC52" s="45"/>
      <c r="AF52" s="123"/>
      <c r="AM52" s="123"/>
    </row>
    <row r="53" spans="1:39" x14ac:dyDescent="0.2">
      <c r="A53"/>
      <c r="C53" s="45"/>
      <c r="D53" s="45"/>
      <c r="E53" s="45"/>
      <c r="H53" s="164"/>
      <c r="I53" s="123"/>
      <c r="J53" s="123"/>
      <c r="L53" s="45"/>
      <c r="M53" s="45"/>
      <c r="N53" s="45"/>
      <c r="O53" s="164"/>
      <c r="P53" s="123"/>
      <c r="Q53" s="123"/>
      <c r="R53" s="45"/>
      <c r="S53" s="123"/>
      <c r="U53" s="165"/>
      <c r="V53" s="45"/>
      <c r="W53" s="45"/>
      <c r="X53" s="123"/>
      <c r="Y53" s="45"/>
      <c r="Z53" s="123"/>
      <c r="AA53" s="45"/>
      <c r="AB53" s="165"/>
      <c r="AC53" s="45"/>
      <c r="AF53" s="123"/>
      <c r="AM53" s="123"/>
    </row>
    <row r="54" spans="1:39" x14ac:dyDescent="0.2">
      <c r="A54"/>
      <c r="C54" s="45"/>
      <c r="D54" s="45"/>
      <c r="E54" s="45"/>
      <c r="H54" s="164"/>
      <c r="I54" s="123"/>
      <c r="J54" s="123"/>
      <c r="L54" s="45"/>
      <c r="M54" s="45"/>
      <c r="N54" s="45"/>
      <c r="O54" s="164"/>
      <c r="P54" s="123"/>
      <c r="Q54" s="123"/>
      <c r="R54" s="45"/>
      <c r="S54" s="123"/>
      <c r="U54" s="165"/>
      <c r="V54" s="45"/>
      <c r="W54" s="45"/>
      <c r="X54" s="123"/>
      <c r="Y54" s="45"/>
      <c r="Z54" s="123"/>
      <c r="AA54" s="45"/>
      <c r="AB54" s="165"/>
      <c r="AC54" s="45"/>
      <c r="AF54" s="123"/>
      <c r="AM54" s="123"/>
    </row>
    <row r="55" spans="1:39" x14ac:dyDescent="0.2">
      <c r="A55"/>
      <c r="C55" s="45"/>
      <c r="D55" s="45"/>
      <c r="E55" s="45"/>
      <c r="H55" s="164"/>
      <c r="I55" s="123"/>
      <c r="J55" s="123"/>
      <c r="L55" s="45"/>
      <c r="M55" s="45"/>
      <c r="N55" s="45"/>
      <c r="O55" s="164"/>
      <c r="P55" s="123"/>
      <c r="Q55" s="123"/>
      <c r="R55" s="45"/>
      <c r="S55" s="123"/>
      <c r="U55" s="165"/>
      <c r="V55" s="45"/>
      <c r="W55" s="45"/>
      <c r="X55" s="123"/>
      <c r="Y55" s="45"/>
      <c r="Z55" s="123"/>
      <c r="AA55" s="45"/>
      <c r="AB55" s="165"/>
      <c r="AC55" s="45"/>
      <c r="AF55" s="123"/>
      <c r="AM55" s="123"/>
    </row>
    <row r="56" spans="1:39" x14ac:dyDescent="0.2">
      <c r="A56"/>
      <c r="C56" s="45"/>
      <c r="D56" s="45"/>
      <c r="E56" s="45"/>
      <c r="H56" s="164"/>
      <c r="I56" s="123"/>
      <c r="J56" s="123"/>
      <c r="L56" s="45"/>
      <c r="M56" s="45"/>
      <c r="N56" s="45"/>
      <c r="O56" s="164"/>
      <c r="P56" s="123"/>
      <c r="Q56" s="123"/>
      <c r="R56" s="45"/>
      <c r="S56" s="123"/>
      <c r="U56" s="165"/>
      <c r="V56" s="45"/>
      <c r="W56" s="45"/>
      <c r="X56" s="123"/>
      <c r="Y56" s="45"/>
      <c r="Z56" s="123"/>
      <c r="AA56" s="45"/>
      <c r="AB56" s="165"/>
      <c r="AC56" s="45"/>
      <c r="AF56" s="123"/>
      <c r="AM56" s="123"/>
    </row>
    <row r="57" spans="1:39" x14ac:dyDescent="0.2">
      <c r="A57"/>
      <c r="C57" s="45"/>
      <c r="D57" s="45"/>
      <c r="E57" s="45"/>
      <c r="H57" s="164"/>
      <c r="I57" s="123"/>
      <c r="J57" s="123"/>
      <c r="L57" s="45"/>
      <c r="M57" s="45"/>
      <c r="N57" s="45"/>
      <c r="O57" s="164"/>
      <c r="P57" s="123"/>
      <c r="Q57" s="123"/>
      <c r="R57" s="45"/>
      <c r="S57" s="123"/>
      <c r="U57" s="165"/>
      <c r="V57" s="45"/>
      <c r="W57" s="45"/>
      <c r="X57" s="123"/>
      <c r="Y57" s="45"/>
      <c r="Z57" s="123"/>
      <c r="AA57" s="45"/>
      <c r="AB57" s="165"/>
      <c r="AC57" s="45"/>
      <c r="AF57" s="123"/>
      <c r="AM57" s="123"/>
    </row>
    <row r="58" spans="1:39" x14ac:dyDescent="0.2">
      <c r="A58"/>
      <c r="C58" s="45"/>
      <c r="D58" s="45"/>
      <c r="E58" s="45"/>
      <c r="H58" s="164"/>
      <c r="I58" s="123"/>
      <c r="J58" s="123"/>
      <c r="L58" s="45"/>
      <c r="M58" s="45"/>
      <c r="N58" s="45"/>
      <c r="O58" s="164"/>
      <c r="P58" s="123"/>
      <c r="Q58" s="123"/>
      <c r="R58" s="45"/>
      <c r="S58" s="123"/>
      <c r="U58" s="165"/>
      <c r="V58" s="45"/>
      <c r="W58" s="45"/>
      <c r="X58" s="123"/>
      <c r="Y58" s="45"/>
      <c r="Z58" s="123"/>
      <c r="AA58" s="45"/>
      <c r="AB58" s="165"/>
      <c r="AC58" s="45"/>
      <c r="AF58" s="123"/>
      <c r="AM58" s="123"/>
    </row>
    <row r="59" spans="1:39" x14ac:dyDescent="0.2">
      <c r="A59"/>
      <c r="C59" s="45"/>
      <c r="D59" s="45"/>
      <c r="E59" s="45"/>
      <c r="H59" s="164"/>
      <c r="I59" s="123"/>
      <c r="J59" s="123"/>
      <c r="L59" s="45"/>
      <c r="M59" s="45"/>
      <c r="N59" s="45"/>
      <c r="O59" s="164"/>
      <c r="P59" s="123"/>
      <c r="Q59" s="123"/>
      <c r="R59" s="45"/>
      <c r="S59" s="123"/>
      <c r="U59" s="165"/>
      <c r="V59" s="45"/>
      <c r="W59" s="45"/>
      <c r="X59" s="123"/>
      <c r="Y59" s="45"/>
      <c r="Z59" s="123"/>
      <c r="AA59" s="45"/>
      <c r="AB59" s="165"/>
      <c r="AC59" s="45"/>
      <c r="AF59" s="123"/>
      <c r="AM59" s="123"/>
    </row>
    <row r="60" spans="1:39" x14ac:dyDescent="0.2">
      <c r="A60"/>
      <c r="C60" s="45"/>
      <c r="D60" s="45"/>
      <c r="E60" s="45"/>
      <c r="H60" s="164"/>
      <c r="I60" s="123"/>
      <c r="J60" s="123"/>
      <c r="L60" s="45"/>
      <c r="M60" s="45"/>
      <c r="N60" s="45"/>
      <c r="O60" s="164"/>
      <c r="P60" s="123"/>
      <c r="Q60" s="123"/>
      <c r="R60" s="45"/>
      <c r="S60" s="123"/>
      <c r="U60" s="165"/>
      <c r="V60" s="45"/>
      <c r="W60" s="45"/>
      <c r="X60" s="123"/>
      <c r="Y60" s="45"/>
      <c r="Z60" s="123"/>
      <c r="AA60" s="45"/>
      <c r="AB60" s="165"/>
      <c r="AC60" s="45"/>
      <c r="AF60" s="123"/>
      <c r="AM60" s="123"/>
    </row>
    <row r="61" spans="1:39" x14ac:dyDescent="0.2">
      <c r="A61"/>
      <c r="C61" s="45"/>
      <c r="D61" s="45"/>
      <c r="E61" s="45"/>
      <c r="H61" s="164"/>
      <c r="I61" s="123"/>
      <c r="J61" s="123"/>
      <c r="L61" s="45"/>
      <c r="M61" s="45"/>
      <c r="N61" s="45"/>
      <c r="O61" s="164"/>
      <c r="P61" s="123"/>
      <c r="Q61" s="123"/>
      <c r="R61" s="45"/>
      <c r="S61" s="123"/>
      <c r="U61" s="165"/>
      <c r="V61" s="45"/>
      <c r="W61" s="45"/>
      <c r="X61" s="123"/>
      <c r="Y61" s="45"/>
      <c r="Z61" s="123"/>
      <c r="AA61" s="45"/>
      <c r="AB61" s="165"/>
      <c r="AC61" s="45"/>
      <c r="AF61" s="123"/>
      <c r="AM61" s="123"/>
    </row>
    <row r="62" spans="1:39" x14ac:dyDescent="0.2">
      <c r="A62"/>
      <c r="C62" s="45"/>
      <c r="D62" s="45"/>
      <c r="E62" s="45"/>
      <c r="H62" s="164"/>
      <c r="I62" s="123"/>
      <c r="J62" s="123"/>
      <c r="L62" s="45"/>
      <c r="M62" s="45"/>
      <c r="N62" s="45"/>
      <c r="O62" s="164"/>
      <c r="P62" s="123"/>
      <c r="Q62" s="123"/>
      <c r="R62" s="45"/>
      <c r="S62" s="123"/>
      <c r="U62" s="165"/>
      <c r="V62" s="45"/>
      <c r="W62" s="45"/>
      <c r="X62" s="123"/>
      <c r="Y62" s="45"/>
      <c r="Z62" s="123"/>
      <c r="AA62" s="45"/>
      <c r="AB62" s="165"/>
      <c r="AC62" s="45"/>
      <c r="AF62" s="123"/>
      <c r="AM62" s="123"/>
    </row>
    <row r="63" spans="1:39" x14ac:dyDescent="0.2">
      <c r="A63"/>
      <c r="C63" s="45"/>
      <c r="D63" s="45"/>
      <c r="E63" s="45"/>
      <c r="H63" s="164"/>
      <c r="I63" s="123"/>
      <c r="J63" s="123"/>
      <c r="L63" s="45"/>
      <c r="M63" s="45"/>
      <c r="N63" s="45"/>
      <c r="O63" s="164"/>
      <c r="P63" s="123"/>
      <c r="Q63" s="123"/>
      <c r="R63" s="45"/>
      <c r="S63" s="123"/>
      <c r="U63" s="165"/>
      <c r="V63" s="45"/>
      <c r="W63" s="45"/>
      <c r="X63" s="123"/>
      <c r="Y63" s="45"/>
      <c r="Z63" s="123"/>
      <c r="AA63" s="45"/>
      <c r="AB63" s="165"/>
      <c r="AC63" s="45"/>
      <c r="AF63" s="123"/>
      <c r="AM63" s="123"/>
    </row>
    <row r="64" spans="1:39" x14ac:dyDescent="0.2">
      <c r="A64"/>
      <c r="C64" s="45"/>
      <c r="D64" s="45"/>
      <c r="E64" s="45"/>
      <c r="H64" s="164"/>
      <c r="I64" s="123"/>
      <c r="J64" s="123"/>
      <c r="L64" s="45"/>
      <c r="M64" s="45"/>
      <c r="N64" s="45"/>
      <c r="O64" s="164"/>
      <c r="P64" s="123"/>
      <c r="Q64" s="123"/>
      <c r="R64" s="45"/>
      <c r="S64" s="123"/>
      <c r="U64" s="165"/>
      <c r="V64" s="45"/>
      <c r="W64" s="45"/>
      <c r="X64" s="123"/>
      <c r="Y64" s="45"/>
      <c r="Z64" s="123"/>
      <c r="AA64" s="45"/>
      <c r="AB64" s="165"/>
      <c r="AC64" s="45"/>
      <c r="AF64" s="123"/>
      <c r="AM64" s="123"/>
    </row>
    <row r="65" spans="1:39" x14ac:dyDescent="0.2">
      <c r="A65"/>
      <c r="C65" s="45"/>
      <c r="D65" s="45"/>
      <c r="E65" s="45"/>
      <c r="H65" s="164"/>
      <c r="I65" s="123"/>
      <c r="J65" s="123"/>
      <c r="L65" s="45"/>
      <c r="M65" s="45"/>
      <c r="N65" s="45"/>
      <c r="O65" s="164"/>
      <c r="P65" s="123"/>
      <c r="Q65" s="123"/>
      <c r="R65" s="45"/>
      <c r="S65" s="123"/>
      <c r="U65" s="165"/>
      <c r="V65" s="45"/>
      <c r="W65" s="45"/>
      <c r="X65" s="123"/>
      <c r="Y65" s="45"/>
      <c r="Z65" s="123"/>
      <c r="AA65" s="45"/>
      <c r="AB65" s="165"/>
      <c r="AC65" s="45"/>
      <c r="AF65" s="123"/>
      <c r="AM65" s="123"/>
    </row>
    <row r="66" spans="1:39" x14ac:dyDescent="0.2">
      <c r="A66"/>
      <c r="C66" s="45"/>
      <c r="D66" s="45"/>
      <c r="E66" s="45"/>
      <c r="H66" s="164"/>
      <c r="I66" s="123"/>
      <c r="J66" s="123"/>
      <c r="L66" s="45"/>
      <c r="M66" s="45"/>
      <c r="N66" s="45"/>
      <c r="O66" s="164"/>
      <c r="P66" s="123"/>
      <c r="Q66" s="123"/>
      <c r="R66" s="45"/>
      <c r="S66" s="123"/>
      <c r="U66" s="165"/>
      <c r="V66" s="45"/>
      <c r="W66" s="45"/>
      <c r="X66" s="123"/>
      <c r="Y66" s="45"/>
      <c r="Z66" s="123"/>
      <c r="AA66" s="45"/>
      <c r="AB66" s="165"/>
      <c r="AC66" s="45"/>
      <c r="AF66" s="123"/>
      <c r="AM66" s="123"/>
    </row>
    <row r="67" spans="1:39" x14ac:dyDescent="0.2">
      <c r="A67"/>
      <c r="C67" s="45"/>
      <c r="D67" s="45"/>
      <c r="E67" s="45"/>
      <c r="H67" s="164"/>
      <c r="I67" s="123"/>
      <c r="J67" s="123"/>
      <c r="L67" s="45"/>
      <c r="M67" s="45"/>
      <c r="N67" s="45"/>
      <c r="O67" s="164"/>
      <c r="P67" s="123"/>
      <c r="Q67" s="123"/>
      <c r="R67" s="45"/>
      <c r="S67" s="123"/>
      <c r="U67" s="165"/>
      <c r="V67" s="45"/>
      <c r="W67" s="45"/>
      <c r="X67" s="123"/>
      <c r="Y67" s="45"/>
      <c r="Z67" s="123"/>
      <c r="AA67" s="45"/>
      <c r="AB67" s="165"/>
      <c r="AC67" s="45"/>
      <c r="AF67" s="123"/>
      <c r="AM67" s="123"/>
    </row>
    <row r="68" spans="1:39" x14ac:dyDescent="0.2">
      <c r="A68"/>
      <c r="C68" s="45"/>
      <c r="D68" s="45"/>
      <c r="E68" s="45"/>
      <c r="H68" s="164"/>
      <c r="I68" s="123"/>
      <c r="J68" s="123"/>
      <c r="L68" s="45"/>
      <c r="M68" s="45"/>
      <c r="N68" s="45"/>
      <c r="O68" s="164"/>
      <c r="P68" s="123"/>
      <c r="Q68" s="123"/>
      <c r="R68" s="45"/>
      <c r="S68" s="123"/>
      <c r="U68" s="165"/>
      <c r="V68" s="45"/>
      <c r="W68" s="45"/>
      <c r="X68" s="123"/>
      <c r="Y68" s="45"/>
      <c r="Z68" s="123"/>
      <c r="AA68" s="45"/>
      <c r="AB68" s="165"/>
      <c r="AC68" s="45"/>
      <c r="AF68" s="123"/>
      <c r="AM68" s="123"/>
    </row>
    <row r="69" spans="1:39" x14ac:dyDescent="0.2">
      <c r="A69"/>
      <c r="C69" s="45"/>
      <c r="D69" s="45"/>
      <c r="E69" s="45"/>
      <c r="H69" s="164"/>
      <c r="I69" s="123"/>
      <c r="J69" s="123"/>
      <c r="L69" s="45"/>
      <c r="M69" s="45"/>
      <c r="N69" s="45"/>
      <c r="O69" s="164"/>
      <c r="P69" s="123"/>
      <c r="Q69" s="123"/>
      <c r="R69" s="45"/>
      <c r="S69" s="123"/>
      <c r="U69" s="165"/>
      <c r="V69" s="45"/>
      <c r="W69" s="45"/>
      <c r="X69" s="123"/>
      <c r="Y69" s="45"/>
      <c r="Z69" s="123"/>
      <c r="AA69" s="45"/>
      <c r="AB69" s="165"/>
      <c r="AC69" s="45"/>
      <c r="AF69" s="123"/>
      <c r="AM69" s="123"/>
    </row>
    <row r="70" spans="1:39" x14ac:dyDescent="0.2">
      <c r="A70"/>
      <c r="C70" s="45"/>
      <c r="D70" s="45"/>
      <c r="E70" s="45"/>
      <c r="H70" s="164"/>
      <c r="I70" s="123"/>
      <c r="J70" s="123"/>
      <c r="L70" s="45"/>
      <c r="M70" s="45"/>
      <c r="N70" s="45"/>
      <c r="O70" s="164"/>
      <c r="P70" s="123"/>
      <c r="Q70" s="123"/>
      <c r="R70" s="45"/>
      <c r="S70" s="123"/>
      <c r="U70" s="165"/>
      <c r="V70" s="45"/>
      <c r="W70" s="45"/>
      <c r="X70" s="123"/>
      <c r="Y70" s="45"/>
      <c r="Z70" s="123"/>
      <c r="AA70" s="45"/>
      <c r="AB70" s="165"/>
      <c r="AC70" s="45"/>
      <c r="AF70" s="123"/>
      <c r="AM70" s="123"/>
    </row>
    <row r="71" spans="1:39" x14ac:dyDescent="0.2">
      <c r="A71"/>
      <c r="C71" s="45"/>
      <c r="D71" s="45"/>
      <c r="E71" s="45"/>
      <c r="H71" s="164"/>
      <c r="I71" s="123"/>
      <c r="J71" s="123"/>
      <c r="L71" s="45"/>
      <c r="M71" s="45"/>
      <c r="N71" s="45"/>
      <c r="O71" s="164"/>
      <c r="P71" s="123"/>
      <c r="Q71" s="123"/>
      <c r="R71" s="45"/>
      <c r="S71" s="123"/>
      <c r="U71" s="165"/>
      <c r="V71" s="45"/>
      <c r="W71" s="45"/>
      <c r="X71" s="123"/>
      <c r="Y71" s="45"/>
      <c r="Z71" s="123"/>
      <c r="AA71" s="45"/>
      <c r="AB71" s="165"/>
      <c r="AC71" s="45"/>
      <c r="AF71" s="123"/>
      <c r="AM71" s="123"/>
    </row>
    <row r="72" spans="1:39" x14ac:dyDescent="0.2">
      <c r="A72"/>
      <c r="C72" s="45"/>
      <c r="D72" s="45"/>
      <c r="E72" s="45"/>
      <c r="H72" s="164"/>
      <c r="I72" s="123"/>
      <c r="J72" s="123"/>
      <c r="L72" s="45"/>
      <c r="M72" s="45"/>
      <c r="N72" s="45"/>
      <c r="O72" s="164"/>
      <c r="P72" s="123"/>
      <c r="Q72" s="123"/>
      <c r="R72" s="45"/>
      <c r="S72" s="123"/>
      <c r="U72" s="165"/>
      <c r="V72" s="45"/>
      <c r="W72" s="45"/>
      <c r="X72" s="123"/>
      <c r="Y72" s="45"/>
      <c r="Z72" s="123"/>
      <c r="AA72" s="45"/>
      <c r="AB72" s="165"/>
      <c r="AC72" s="45"/>
      <c r="AF72" s="123"/>
      <c r="AM72" s="123"/>
    </row>
    <row r="73" spans="1:39" x14ac:dyDescent="0.2">
      <c r="A73"/>
      <c r="C73" s="45"/>
      <c r="D73" s="45"/>
      <c r="E73" s="45"/>
      <c r="H73" s="164"/>
      <c r="I73" s="123"/>
      <c r="J73" s="123"/>
      <c r="L73" s="45"/>
      <c r="M73" s="45"/>
      <c r="N73" s="45"/>
      <c r="O73" s="164"/>
      <c r="P73" s="123"/>
      <c r="Q73" s="123"/>
      <c r="R73" s="45"/>
      <c r="S73" s="123"/>
      <c r="U73" s="165"/>
      <c r="V73" s="45"/>
      <c r="W73" s="45"/>
      <c r="X73" s="123"/>
      <c r="Y73" s="45"/>
      <c r="Z73" s="123"/>
      <c r="AA73" s="45"/>
      <c r="AB73" s="165"/>
      <c r="AC73" s="45"/>
      <c r="AF73" s="123"/>
      <c r="AM73" s="123"/>
    </row>
    <row r="74" spans="1:39" x14ac:dyDescent="0.2">
      <c r="A74"/>
      <c r="C74" s="45"/>
      <c r="D74" s="45"/>
      <c r="E74" s="45"/>
      <c r="H74" s="164"/>
      <c r="I74" s="123"/>
      <c r="J74" s="123"/>
      <c r="L74" s="45"/>
      <c r="M74" s="45"/>
      <c r="N74" s="45"/>
      <c r="O74" s="164"/>
      <c r="P74" s="123"/>
      <c r="Q74" s="123"/>
      <c r="R74" s="45"/>
      <c r="S74" s="123"/>
      <c r="U74" s="165"/>
      <c r="V74" s="45"/>
      <c r="W74" s="45"/>
      <c r="X74" s="123"/>
      <c r="Y74" s="45"/>
      <c r="Z74" s="123"/>
      <c r="AA74" s="45"/>
      <c r="AB74" s="165"/>
      <c r="AC74" s="45"/>
      <c r="AF74" s="123"/>
      <c r="AM74" s="123"/>
    </row>
    <row r="75" spans="1:39" x14ac:dyDescent="0.2">
      <c r="A75"/>
      <c r="C75" s="45"/>
      <c r="D75" s="45"/>
      <c r="E75" s="45"/>
      <c r="H75" s="164"/>
      <c r="I75" s="123"/>
      <c r="J75" s="123"/>
      <c r="L75" s="45"/>
      <c r="M75" s="45"/>
      <c r="N75" s="45"/>
      <c r="O75" s="164"/>
      <c r="P75" s="123"/>
      <c r="Q75" s="123"/>
      <c r="R75" s="45"/>
      <c r="S75" s="123"/>
      <c r="U75" s="165"/>
      <c r="V75" s="45"/>
      <c r="W75" s="45"/>
      <c r="X75" s="123"/>
      <c r="Y75" s="45"/>
      <c r="Z75" s="123"/>
      <c r="AA75" s="45"/>
      <c r="AB75" s="165"/>
      <c r="AC75" s="45"/>
      <c r="AF75" s="123"/>
      <c r="AM75" s="123"/>
    </row>
    <row r="76" spans="1:39" x14ac:dyDescent="0.2">
      <c r="A76"/>
      <c r="C76" s="45"/>
      <c r="D76" s="45"/>
      <c r="E76" s="45"/>
      <c r="H76" s="164"/>
      <c r="I76" s="123"/>
      <c r="J76" s="123"/>
      <c r="L76" s="45"/>
      <c r="M76" s="45"/>
      <c r="N76" s="45"/>
      <c r="O76" s="164"/>
      <c r="P76" s="123"/>
      <c r="Q76" s="123"/>
      <c r="R76" s="45"/>
      <c r="S76" s="123"/>
      <c r="U76" s="165"/>
      <c r="V76" s="45"/>
      <c r="W76" s="45"/>
      <c r="X76" s="123"/>
      <c r="Y76" s="45"/>
      <c r="Z76" s="123"/>
      <c r="AA76" s="45"/>
      <c r="AB76" s="165"/>
      <c r="AC76" s="45"/>
      <c r="AF76" s="123"/>
      <c r="AM76" s="123"/>
    </row>
    <row r="77" spans="1:39" x14ac:dyDescent="0.2">
      <c r="A77"/>
      <c r="C77" s="45"/>
      <c r="D77" s="45"/>
      <c r="E77" s="45"/>
      <c r="H77" s="164"/>
      <c r="I77" s="123"/>
      <c r="J77" s="123"/>
      <c r="L77" s="45"/>
      <c r="M77" s="45"/>
      <c r="N77" s="45"/>
      <c r="O77" s="164"/>
      <c r="P77" s="123"/>
      <c r="Q77" s="123"/>
      <c r="R77" s="45"/>
      <c r="S77" s="123"/>
      <c r="U77" s="165"/>
      <c r="V77" s="45"/>
      <c r="W77" s="45"/>
      <c r="X77" s="123"/>
      <c r="Y77" s="45"/>
      <c r="Z77" s="123"/>
      <c r="AA77" s="45"/>
      <c r="AB77" s="165"/>
      <c r="AC77" s="45"/>
      <c r="AF77" s="123"/>
      <c r="AM77" s="123"/>
    </row>
    <row r="78" spans="1:39" x14ac:dyDescent="0.2">
      <c r="A78"/>
      <c r="C78" s="45"/>
      <c r="D78" s="45"/>
      <c r="E78" s="45"/>
      <c r="H78" s="164"/>
      <c r="I78" s="123"/>
      <c r="J78" s="123"/>
      <c r="L78" s="45"/>
      <c r="M78" s="45"/>
      <c r="N78" s="45"/>
      <c r="O78" s="164"/>
      <c r="P78" s="123"/>
      <c r="Q78" s="123"/>
      <c r="R78" s="45"/>
      <c r="S78" s="123"/>
      <c r="U78" s="165"/>
      <c r="V78" s="45"/>
      <c r="W78" s="45"/>
      <c r="X78" s="123"/>
      <c r="Y78" s="45"/>
      <c r="Z78" s="123"/>
      <c r="AA78" s="45"/>
      <c r="AB78" s="165"/>
      <c r="AC78" s="45"/>
      <c r="AF78" s="123"/>
      <c r="AM78" s="123"/>
    </row>
    <row r="79" spans="1:39" x14ac:dyDescent="0.2">
      <c r="A79"/>
      <c r="C79" s="45"/>
      <c r="D79" s="45"/>
      <c r="E79" s="45"/>
      <c r="H79" s="164"/>
      <c r="I79" s="123"/>
      <c r="J79" s="123"/>
      <c r="L79" s="45"/>
      <c r="M79" s="45"/>
      <c r="N79" s="45"/>
      <c r="O79" s="164"/>
      <c r="P79" s="123"/>
      <c r="Q79" s="123"/>
      <c r="R79" s="45"/>
      <c r="S79" s="123"/>
      <c r="U79" s="165"/>
      <c r="V79" s="45"/>
      <c r="W79" s="45"/>
      <c r="X79" s="123"/>
      <c r="Y79" s="45"/>
      <c r="Z79" s="123"/>
      <c r="AA79" s="45"/>
      <c r="AB79" s="165"/>
      <c r="AC79" s="45"/>
      <c r="AF79" s="123"/>
      <c r="AM79" s="123"/>
    </row>
    <row r="80" spans="1:39" x14ac:dyDescent="0.2">
      <c r="A80"/>
      <c r="C80" s="45"/>
      <c r="D80" s="45"/>
      <c r="E80" s="45"/>
      <c r="H80" s="164"/>
      <c r="I80" s="123"/>
      <c r="J80" s="123"/>
      <c r="L80" s="45"/>
      <c r="M80" s="45"/>
      <c r="N80" s="45"/>
      <c r="O80" s="164"/>
      <c r="P80" s="123"/>
      <c r="Q80" s="123"/>
      <c r="R80" s="45"/>
      <c r="S80" s="123"/>
      <c r="U80" s="165"/>
      <c r="V80" s="45"/>
      <c r="W80" s="45"/>
      <c r="X80" s="123"/>
      <c r="Y80" s="45"/>
      <c r="Z80" s="123"/>
      <c r="AA80" s="45"/>
      <c r="AB80" s="165"/>
      <c r="AC80" s="45"/>
      <c r="AF80" s="123"/>
      <c r="AM80" s="123"/>
    </row>
    <row r="81" spans="1:39" x14ac:dyDescent="0.2">
      <c r="A81"/>
      <c r="C81" s="45"/>
      <c r="D81" s="45"/>
      <c r="E81" s="45"/>
      <c r="H81" s="164"/>
      <c r="I81" s="123"/>
      <c r="J81" s="123"/>
      <c r="L81" s="45"/>
      <c r="M81" s="45"/>
      <c r="N81" s="45"/>
      <c r="O81" s="164"/>
      <c r="P81" s="123"/>
      <c r="Q81" s="123"/>
      <c r="R81" s="45"/>
      <c r="S81" s="123"/>
      <c r="U81" s="165"/>
      <c r="V81" s="45"/>
      <c r="W81" s="45"/>
      <c r="X81" s="123"/>
      <c r="Y81" s="45"/>
      <c r="Z81" s="123"/>
      <c r="AA81" s="45"/>
      <c r="AB81" s="165"/>
      <c r="AC81" s="45"/>
      <c r="AF81" s="123"/>
      <c r="AM81" s="123"/>
    </row>
    <row r="82" spans="1:39" x14ac:dyDescent="0.2">
      <c r="A82"/>
      <c r="C82" s="45"/>
      <c r="D82" s="45"/>
      <c r="E82" s="45"/>
      <c r="H82" s="164"/>
      <c r="I82" s="123"/>
      <c r="J82" s="123"/>
      <c r="L82" s="45"/>
      <c r="M82" s="45"/>
      <c r="N82" s="45"/>
      <c r="O82" s="164"/>
      <c r="P82" s="123"/>
      <c r="Q82" s="123"/>
      <c r="R82" s="45"/>
      <c r="S82" s="123"/>
      <c r="U82" s="165"/>
      <c r="V82" s="45"/>
      <c r="W82" s="45"/>
      <c r="X82" s="123"/>
      <c r="Y82" s="45"/>
      <c r="Z82" s="123"/>
      <c r="AA82" s="45"/>
      <c r="AB82" s="165"/>
      <c r="AC82" s="45"/>
      <c r="AF82" s="123"/>
      <c r="AM82" s="123"/>
    </row>
    <row r="83" spans="1:39" x14ac:dyDescent="0.2">
      <c r="A83"/>
      <c r="C83" s="45"/>
      <c r="D83" s="45"/>
      <c r="E83" s="45"/>
      <c r="H83" s="164"/>
      <c r="I83" s="123"/>
      <c r="J83" s="123"/>
      <c r="L83" s="45"/>
      <c r="M83" s="45"/>
      <c r="N83" s="45"/>
      <c r="O83" s="164"/>
      <c r="P83" s="123"/>
      <c r="Q83" s="123"/>
      <c r="R83" s="45"/>
      <c r="S83" s="123"/>
      <c r="U83" s="165"/>
      <c r="V83" s="45"/>
      <c r="W83" s="45"/>
      <c r="X83" s="123"/>
      <c r="Y83" s="45"/>
      <c r="Z83" s="123"/>
      <c r="AA83" s="45"/>
      <c r="AB83" s="165"/>
      <c r="AC83" s="45"/>
      <c r="AF83" s="123"/>
      <c r="AM83" s="123"/>
    </row>
    <row r="84" spans="1:39" x14ac:dyDescent="0.2">
      <c r="A84"/>
      <c r="C84" s="45"/>
      <c r="D84" s="45"/>
      <c r="E84" s="45"/>
      <c r="H84" s="164"/>
      <c r="I84" s="123"/>
      <c r="J84" s="123"/>
      <c r="L84" s="45"/>
      <c r="M84" s="45"/>
      <c r="N84" s="45"/>
      <c r="O84" s="164"/>
      <c r="P84" s="123"/>
      <c r="Q84" s="123"/>
      <c r="R84" s="45"/>
      <c r="S84" s="123"/>
      <c r="U84" s="165"/>
      <c r="V84" s="45"/>
      <c r="W84" s="45"/>
      <c r="X84" s="123"/>
      <c r="Y84" s="45"/>
      <c r="Z84" s="123"/>
      <c r="AA84" s="45"/>
      <c r="AB84" s="165"/>
      <c r="AC84" s="45"/>
      <c r="AF84" s="123"/>
      <c r="AM84" s="123"/>
    </row>
    <row r="85" spans="1:39" x14ac:dyDescent="0.2">
      <c r="A85"/>
      <c r="C85" s="45"/>
      <c r="D85" s="45"/>
      <c r="E85" s="45"/>
      <c r="H85" s="164"/>
      <c r="I85" s="123"/>
      <c r="J85" s="123"/>
      <c r="L85" s="45"/>
      <c r="M85" s="45"/>
      <c r="N85" s="45"/>
      <c r="O85" s="164"/>
      <c r="P85" s="123"/>
      <c r="Q85" s="123"/>
      <c r="R85" s="45"/>
      <c r="S85" s="123"/>
      <c r="U85" s="165"/>
      <c r="V85" s="45"/>
      <c r="W85" s="45"/>
      <c r="X85" s="123"/>
      <c r="Y85" s="45"/>
      <c r="Z85" s="123"/>
      <c r="AA85" s="45"/>
      <c r="AB85" s="165"/>
      <c r="AC85" s="45"/>
      <c r="AF85" s="123"/>
      <c r="AM85" s="123"/>
    </row>
    <row r="86" spans="1:39" x14ac:dyDescent="0.2">
      <c r="A86"/>
      <c r="C86" s="45"/>
      <c r="D86" s="45"/>
      <c r="E86" s="45"/>
      <c r="H86" s="164"/>
      <c r="I86" s="123"/>
      <c r="J86" s="123"/>
      <c r="L86" s="45"/>
      <c r="M86" s="45"/>
      <c r="N86" s="45"/>
      <c r="O86" s="164"/>
      <c r="P86" s="123"/>
      <c r="Q86" s="123"/>
      <c r="R86" s="45"/>
      <c r="S86" s="123"/>
      <c r="U86" s="165"/>
      <c r="V86" s="45"/>
      <c r="W86" s="45"/>
      <c r="X86" s="123"/>
      <c r="Y86" s="45"/>
      <c r="Z86" s="123"/>
      <c r="AA86" s="45"/>
      <c r="AB86" s="165"/>
      <c r="AC86" s="45"/>
      <c r="AF86" s="123"/>
      <c r="AM86" s="123"/>
    </row>
    <row r="87" spans="1:39" x14ac:dyDescent="0.2">
      <c r="A87"/>
      <c r="C87" s="45"/>
      <c r="D87" s="45"/>
      <c r="E87" s="45"/>
      <c r="H87" s="164"/>
      <c r="I87" s="123"/>
      <c r="J87" s="123"/>
      <c r="L87" s="45"/>
      <c r="M87" s="45"/>
      <c r="N87" s="45"/>
      <c r="O87" s="164"/>
      <c r="P87" s="123"/>
      <c r="Q87" s="123"/>
      <c r="R87" s="45"/>
      <c r="S87" s="123"/>
      <c r="U87" s="165"/>
      <c r="V87" s="45"/>
      <c r="W87" s="45"/>
      <c r="X87" s="123"/>
      <c r="Y87" s="45"/>
      <c r="Z87" s="123"/>
      <c r="AA87" s="45"/>
      <c r="AB87" s="165"/>
      <c r="AC87" s="45"/>
      <c r="AF87" s="123"/>
      <c r="AM87" s="123"/>
    </row>
    <row r="88" spans="1:39" x14ac:dyDescent="0.2">
      <c r="A88"/>
      <c r="C88" s="45"/>
      <c r="D88" s="45"/>
      <c r="E88" s="45"/>
      <c r="H88" s="164"/>
      <c r="I88" s="123"/>
      <c r="J88" s="123"/>
      <c r="L88" s="45"/>
      <c r="M88" s="45"/>
      <c r="N88" s="45"/>
      <c r="O88" s="164"/>
      <c r="P88" s="123"/>
      <c r="Q88" s="123"/>
      <c r="R88" s="45"/>
      <c r="S88" s="123"/>
      <c r="U88" s="165"/>
      <c r="V88" s="45"/>
      <c r="W88" s="45"/>
      <c r="X88" s="123"/>
      <c r="Y88" s="45"/>
      <c r="Z88" s="123"/>
      <c r="AA88" s="45"/>
      <c r="AB88" s="165"/>
      <c r="AC88" s="45"/>
      <c r="AF88" s="123"/>
      <c r="AM88" s="123"/>
    </row>
    <row r="89" spans="1:39" x14ac:dyDescent="0.2">
      <c r="A89"/>
      <c r="C89" s="45"/>
      <c r="D89" s="45"/>
      <c r="E89" s="45"/>
      <c r="H89" s="164"/>
      <c r="I89" s="123"/>
      <c r="J89" s="123"/>
      <c r="L89" s="45"/>
      <c r="M89" s="45"/>
      <c r="N89" s="45"/>
      <c r="O89" s="164"/>
      <c r="P89" s="123"/>
      <c r="Q89" s="123"/>
      <c r="R89" s="45"/>
      <c r="S89" s="123"/>
      <c r="U89" s="165"/>
      <c r="V89" s="45"/>
      <c r="W89" s="45"/>
      <c r="X89" s="123"/>
      <c r="Y89" s="45"/>
      <c r="Z89" s="123"/>
      <c r="AA89" s="45"/>
      <c r="AB89" s="165"/>
      <c r="AC89" s="45"/>
      <c r="AF89" s="123"/>
      <c r="AM89" s="123"/>
    </row>
    <row r="90" spans="1:39" x14ac:dyDescent="0.2">
      <c r="A90"/>
      <c r="C90" s="45"/>
      <c r="D90" s="45"/>
      <c r="E90" s="45"/>
      <c r="H90" s="164"/>
      <c r="I90" s="123"/>
      <c r="J90" s="123"/>
      <c r="L90" s="45"/>
      <c r="M90" s="45"/>
      <c r="N90" s="45"/>
      <c r="O90" s="164"/>
      <c r="P90" s="123"/>
      <c r="Q90" s="123"/>
      <c r="R90" s="45"/>
      <c r="S90" s="123"/>
      <c r="U90" s="165"/>
      <c r="V90" s="45"/>
      <c r="W90" s="45"/>
      <c r="X90" s="123"/>
      <c r="Y90" s="45"/>
      <c r="Z90" s="123"/>
      <c r="AA90" s="45"/>
      <c r="AB90" s="165"/>
      <c r="AC90" s="45"/>
      <c r="AF90" s="123"/>
      <c r="AM90" s="123"/>
    </row>
    <row r="91" spans="1:39" x14ac:dyDescent="0.2">
      <c r="A91"/>
      <c r="C91" s="45"/>
      <c r="D91" s="45"/>
      <c r="E91" s="45"/>
      <c r="H91" s="164"/>
      <c r="I91" s="123"/>
      <c r="J91" s="123"/>
      <c r="L91" s="45"/>
      <c r="M91" s="45"/>
      <c r="N91" s="45"/>
      <c r="O91" s="164"/>
      <c r="P91" s="123"/>
      <c r="Q91" s="123"/>
      <c r="R91" s="45"/>
      <c r="S91" s="123"/>
      <c r="U91" s="165"/>
      <c r="V91" s="45"/>
      <c r="W91" s="45"/>
      <c r="X91" s="123"/>
      <c r="Y91" s="45"/>
      <c r="Z91" s="123"/>
      <c r="AA91" s="45"/>
      <c r="AB91" s="165"/>
      <c r="AC91" s="45"/>
      <c r="AF91" s="123"/>
      <c r="AM91" s="123"/>
    </row>
    <row r="92" spans="1:39" x14ac:dyDescent="0.2">
      <c r="A92"/>
      <c r="C92" s="45"/>
      <c r="D92" s="45"/>
      <c r="E92" s="45"/>
      <c r="H92" s="164"/>
      <c r="I92" s="123"/>
      <c r="J92" s="123"/>
      <c r="L92" s="45"/>
      <c r="M92" s="45"/>
      <c r="N92" s="45"/>
      <c r="O92" s="164"/>
      <c r="P92" s="123"/>
      <c r="Q92" s="123"/>
      <c r="R92" s="45"/>
      <c r="S92" s="123"/>
      <c r="U92" s="165"/>
      <c r="V92" s="45"/>
      <c r="W92" s="45"/>
      <c r="X92" s="123"/>
      <c r="Y92" s="45"/>
      <c r="Z92" s="123"/>
      <c r="AA92" s="45"/>
      <c r="AB92" s="165"/>
      <c r="AC92" s="45"/>
      <c r="AF92" s="123"/>
      <c r="AM92" s="123"/>
    </row>
    <row r="93" spans="1:39" x14ac:dyDescent="0.2">
      <c r="A93"/>
      <c r="C93" s="45"/>
      <c r="D93" s="45"/>
      <c r="E93" s="45"/>
      <c r="H93" s="164"/>
      <c r="I93" s="123"/>
      <c r="J93" s="123"/>
      <c r="L93" s="45"/>
      <c r="M93" s="45"/>
      <c r="N93" s="45"/>
      <c r="O93" s="164"/>
      <c r="P93" s="123"/>
      <c r="Q93" s="123"/>
      <c r="R93" s="45"/>
      <c r="S93" s="123"/>
      <c r="U93" s="165"/>
      <c r="V93" s="45"/>
      <c r="W93" s="45"/>
      <c r="X93" s="123"/>
      <c r="Y93" s="45"/>
      <c r="Z93" s="123"/>
      <c r="AA93" s="45"/>
      <c r="AB93" s="165"/>
      <c r="AC93" s="45"/>
      <c r="AF93" s="123"/>
      <c r="AM93" s="123"/>
    </row>
    <row r="94" spans="1:39" x14ac:dyDescent="0.2">
      <c r="A94"/>
      <c r="C94" s="45"/>
      <c r="D94" s="45"/>
      <c r="E94" s="45"/>
      <c r="H94" s="164"/>
      <c r="I94" s="123"/>
      <c r="J94" s="123"/>
      <c r="L94" s="45"/>
      <c r="M94" s="45"/>
      <c r="N94" s="45"/>
      <c r="O94" s="164"/>
      <c r="P94" s="123"/>
      <c r="Q94" s="123"/>
      <c r="R94" s="45"/>
      <c r="S94" s="123"/>
      <c r="U94" s="165"/>
      <c r="V94" s="45"/>
      <c r="W94" s="45"/>
      <c r="X94" s="123"/>
      <c r="Y94" s="45"/>
      <c r="Z94" s="123"/>
      <c r="AA94" s="45"/>
      <c r="AB94" s="165"/>
      <c r="AC94" s="45"/>
      <c r="AF94" s="123"/>
      <c r="AM94" s="123"/>
    </row>
    <row r="95" spans="1:39" x14ac:dyDescent="0.2">
      <c r="A95"/>
      <c r="C95" s="45"/>
      <c r="D95" s="45"/>
      <c r="E95" s="45"/>
      <c r="H95" s="164"/>
      <c r="I95" s="123"/>
      <c r="J95" s="123"/>
      <c r="L95" s="45"/>
      <c r="M95" s="45"/>
      <c r="N95" s="45"/>
      <c r="O95" s="164"/>
      <c r="P95" s="123"/>
      <c r="Q95" s="123"/>
      <c r="R95" s="45"/>
      <c r="S95" s="123"/>
      <c r="U95" s="165"/>
      <c r="V95" s="45"/>
      <c r="W95" s="45"/>
      <c r="X95" s="123"/>
      <c r="Y95" s="45"/>
      <c r="Z95" s="123"/>
      <c r="AA95" s="45"/>
      <c r="AB95" s="165"/>
      <c r="AC95" s="45"/>
      <c r="AF95" s="123"/>
      <c r="AM95" s="123"/>
    </row>
    <row r="96" spans="1:39" x14ac:dyDescent="0.2">
      <c r="A96"/>
      <c r="C96" s="45"/>
      <c r="D96" s="45"/>
      <c r="E96" s="45"/>
      <c r="H96" s="164"/>
      <c r="I96" s="123"/>
      <c r="J96" s="123"/>
      <c r="L96" s="45"/>
      <c r="M96" s="45"/>
      <c r="N96" s="45"/>
      <c r="O96" s="164"/>
      <c r="P96" s="123"/>
      <c r="Q96" s="123"/>
      <c r="R96" s="45"/>
      <c r="S96" s="123"/>
      <c r="U96" s="165"/>
      <c r="V96" s="45"/>
      <c r="W96" s="45"/>
      <c r="X96" s="123"/>
      <c r="Y96" s="45"/>
      <c r="Z96" s="123"/>
      <c r="AA96" s="45"/>
      <c r="AB96" s="165"/>
      <c r="AC96" s="45"/>
      <c r="AF96" s="123"/>
      <c r="AM96" s="123"/>
    </row>
    <row r="97" spans="1:39" x14ac:dyDescent="0.2">
      <c r="A97"/>
      <c r="C97" s="45"/>
      <c r="D97" s="45"/>
      <c r="E97" s="45"/>
      <c r="H97" s="164"/>
      <c r="I97" s="123"/>
      <c r="J97" s="123"/>
      <c r="L97" s="45"/>
      <c r="M97" s="45"/>
      <c r="N97" s="45"/>
      <c r="O97" s="164"/>
      <c r="P97" s="123"/>
      <c r="Q97" s="123"/>
      <c r="R97" s="45"/>
      <c r="S97" s="123"/>
      <c r="U97" s="165"/>
      <c r="V97" s="45"/>
      <c r="W97" s="45"/>
      <c r="X97" s="123"/>
      <c r="Y97" s="45"/>
      <c r="Z97" s="123"/>
      <c r="AA97" s="45"/>
      <c r="AB97" s="165"/>
      <c r="AC97" s="45"/>
      <c r="AF97" s="123"/>
      <c r="AM97" s="123"/>
    </row>
    <row r="98" spans="1:39" x14ac:dyDescent="0.2">
      <c r="A98"/>
      <c r="C98" s="45"/>
      <c r="D98" s="45"/>
      <c r="E98" s="45"/>
      <c r="H98" s="164"/>
      <c r="I98" s="123"/>
      <c r="J98" s="123"/>
      <c r="L98" s="45"/>
      <c r="M98" s="45"/>
      <c r="N98" s="45"/>
      <c r="O98" s="164"/>
      <c r="P98" s="123"/>
      <c r="Q98" s="123"/>
      <c r="R98" s="45"/>
      <c r="S98" s="123"/>
      <c r="U98" s="165"/>
      <c r="V98" s="45"/>
      <c r="W98" s="45"/>
      <c r="X98" s="123"/>
      <c r="Y98" s="45"/>
      <c r="Z98" s="123"/>
      <c r="AA98" s="45"/>
      <c r="AB98" s="165"/>
      <c r="AC98" s="45"/>
      <c r="AF98" s="123"/>
      <c r="AM98" s="123"/>
    </row>
    <row r="99" spans="1:39" x14ac:dyDescent="0.2">
      <c r="A99"/>
      <c r="C99" s="45"/>
      <c r="D99" s="45"/>
      <c r="E99" s="45"/>
      <c r="H99" s="164"/>
      <c r="I99" s="123"/>
      <c r="J99" s="123"/>
      <c r="L99" s="45"/>
      <c r="M99" s="45"/>
      <c r="N99" s="45"/>
      <c r="O99" s="164"/>
      <c r="P99" s="123"/>
      <c r="Q99" s="123"/>
      <c r="R99" s="45"/>
      <c r="S99" s="123"/>
      <c r="U99" s="165"/>
      <c r="V99" s="45"/>
      <c r="W99" s="45"/>
      <c r="X99" s="123"/>
      <c r="Y99" s="45"/>
      <c r="Z99" s="123"/>
      <c r="AA99" s="45"/>
      <c r="AB99" s="165"/>
      <c r="AC99" s="45"/>
      <c r="AF99" s="123"/>
      <c r="AM99" s="123"/>
    </row>
    <row r="100" spans="1:39" x14ac:dyDescent="0.2">
      <c r="A100"/>
      <c r="C100" s="45"/>
      <c r="D100" s="45"/>
      <c r="E100" s="45"/>
      <c r="H100" s="164"/>
      <c r="I100" s="123"/>
      <c r="J100" s="123"/>
      <c r="L100" s="45"/>
      <c r="M100" s="45"/>
      <c r="N100" s="45"/>
      <c r="O100" s="164"/>
      <c r="P100" s="123"/>
      <c r="Q100" s="123"/>
      <c r="R100" s="45"/>
      <c r="S100" s="123"/>
      <c r="U100" s="165"/>
      <c r="V100" s="45"/>
      <c r="W100" s="45"/>
      <c r="X100" s="123"/>
      <c r="Y100" s="45"/>
      <c r="Z100" s="123"/>
      <c r="AA100" s="45"/>
      <c r="AB100" s="165"/>
      <c r="AC100" s="45"/>
      <c r="AF100" s="123"/>
      <c r="AM100" s="123"/>
    </row>
    <row r="101" spans="1:39" x14ac:dyDescent="0.2">
      <c r="A101"/>
      <c r="C101" s="45"/>
      <c r="D101" s="45"/>
      <c r="E101" s="45"/>
      <c r="H101" s="164"/>
      <c r="I101" s="123"/>
      <c r="J101" s="123"/>
      <c r="L101" s="45"/>
      <c r="M101" s="45"/>
      <c r="N101" s="45"/>
      <c r="O101" s="164"/>
      <c r="P101" s="123"/>
      <c r="Q101" s="123"/>
      <c r="R101" s="45"/>
      <c r="S101" s="123"/>
      <c r="U101" s="165"/>
      <c r="V101" s="45"/>
      <c r="W101" s="45"/>
      <c r="X101" s="123"/>
      <c r="Y101" s="45"/>
      <c r="Z101" s="123"/>
      <c r="AA101" s="45"/>
      <c r="AB101" s="165"/>
      <c r="AC101" s="45"/>
      <c r="AF101" s="123"/>
      <c r="AM101" s="123"/>
    </row>
    <row r="102" spans="1:39" x14ac:dyDescent="0.2">
      <c r="A102"/>
      <c r="C102" s="45"/>
      <c r="D102" s="45"/>
      <c r="E102" s="45"/>
      <c r="H102" s="164"/>
      <c r="I102" s="123"/>
      <c r="J102" s="123"/>
      <c r="L102" s="45"/>
      <c r="M102" s="45"/>
      <c r="N102" s="45"/>
      <c r="O102" s="164"/>
      <c r="P102" s="123"/>
      <c r="Q102" s="123"/>
      <c r="R102" s="45"/>
      <c r="S102" s="123"/>
      <c r="U102" s="165"/>
      <c r="V102" s="45"/>
      <c r="W102" s="45"/>
      <c r="X102" s="123"/>
      <c r="Y102" s="45"/>
      <c r="Z102" s="123"/>
      <c r="AA102" s="45"/>
      <c r="AB102" s="165"/>
      <c r="AC102" s="45"/>
      <c r="AF102" s="123"/>
      <c r="AM102" s="123"/>
    </row>
    <row r="103" spans="1:39" x14ac:dyDescent="0.2">
      <c r="A103"/>
      <c r="C103" s="45"/>
      <c r="D103" s="45"/>
      <c r="E103" s="45"/>
      <c r="H103" s="164"/>
      <c r="I103" s="123"/>
      <c r="J103" s="123"/>
      <c r="L103" s="45"/>
      <c r="M103" s="45"/>
      <c r="N103" s="45"/>
      <c r="O103" s="164"/>
      <c r="P103" s="123"/>
      <c r="Q103" s="123"/>
      <c r="R103" s="45"/>
      <c r="S103" s="123"/>
      <c r="U103" s="165"/>
      <c r="V103" s="45"/>
      <c r="W103" s="45"/>
      <c r="X103" s="123"/>
      <c r="Y103" s="45"/>
      <c r="Z103" s="123"/>
      <c r="AA103" s="45"/>
      <c r="AB103" s="165"/>
      <c r="AC103" s="45"/>
      <c r="AF103" s="123"/>
      <c r="AM103" s="123"/>
    </row>
    <row r="104" spans="1:39" x14ac:dyDescent="0.2">
      <c r="A104"/>
      <c r="C104" s="45"/>
      <c r="D104" s="45"/>
      <c r="E104" s="45"/>
      <c r="H104" s="164"/>
      <c r="I104" s="123"/>
      <c r="J104" s="123"/>
      <c r="L104" s="45"/>
      <c r="M104" s="45"/>
      <c r="N104" s="45"/>
      <c r="O104" s="164"/>
      <c r="P104" s="123"/>
      <c r="Q104" s="123"/>
      <c r="R104" s="45"/>
      <c r="S104" s="123"/>
      <c r="U104" s="165"/>
      <c r="V104" s="45"/>
      <c r="W104" s="45"/>
      <c r="X104" s="123"/>
      <c r="Y104" s="45"/>
      <c r="Z104" s="123"/>
      <c r="AA104" s="45"/>
      <c r="AB104" s="165"/>
      <c r="AC104" s="45"/>
      <c r="AF104" s="123"/>
      <c r="AM104" s="123"/>
    </row>
    <row r="105" spans="1:39" x14ac:dyDescent="0.2">
      <c r="A105"/>
      <c r="C105" s="45"/>
      <c r="D105" s="45"/>
      <c r="E105" s="45"/>
      <c r="H105" s="164"/>
      <c r="I105" s="123"/>
      <c r="J105" s="123"/>
      <c r="L105" s="45"/>
      <c r="M105" s="45"/>
      <c r="N105" s="45"/>
      <c r="O105" s="164"/>
      <c r="P105" s="123"/>
      <c r="Q105" s="123"/>
      <c r="R105" s="45"/>
      <c r="S105" s="123"/>
      <c r="U105" s="165"/>
      <c r="V105" s="45"/>
      <c r="W105" s="45"/>
      <c r="X105" s="123"/>
      <c r="Y105" s="45"/>
      <c r="Z105" s="123"/>
      <c r="AA105" s="45"/>
      <c r="AB105" s="165"/>
      <c r="AC105" s="45"/>
      <c r="AF105" s="123"/>
      <c r="AM105" s="123"/>
    </row>
    <row r="106" spans="1:39" x14ac:dyDescent="0.2">
      <c r="A106"/>
      <c r="C106" s="45"/>
      <c r="D106" s="45"/>
      <c r="E106" s="45"/>
      <c r="H106" s="164"/>
      <c r="I106" s="123"/>
      <c r="J106" s="123"/>
      <c r="L106" s="45"/>
      <c r="M106" s="45"/>
      <c r="N106" s="45"/>
      <c r="O106" s="164"/>
      <c r="P106" s="123"/>
      <c r="Q106" s="123"/>
      <c r="R106" s="45"/>
      <c r="S106" s="123"/>
      <c r="U106" s="165"/>
      <c r="V106" s="45"/>
      <c r="W106" s="45"/>
      <c r="X106" s="123"/>
      <c r="Y106" s="45"/>
      <c r="Z106" s="123"/>
      <c r="AA106" s="45"/>
      <c r="AB106" s="165"/>
      <c r="AC106" s="45"/>
      <c r="AF106" s="123"/>
      <c r="AM106" s="123"/>
    </row>
    <row r="107" spans="1:39" x14ac:dyDescent="0.2">
      <c r="A107"/>
      <c r="C107" s="45"/>
      <c r="D107" s="45"/>
      <c r="E107" s="45"/>
      <c r="H107" s="164"/>
      <c r="I107" s="123"/>
      <c r="J107" s="123"/>
      <c r="L107" s="45"/>
      <c r="M107" s="45"/>
      <c r="N107" s="45"/>
      <c r="O107" s="164"/>
      <c r="P107" s="123"/>
      <c r="Q107" s="123"/>
      <c r="R107" s="45"/>
      <c r="S107" s="123"/>
      <c r="U107" s="165"/>
      <c r="V107" s="45"/>
      <c r="W107" s="45"/>
      <c r="X107" s="123"/>
      <c r="Y107" s="45"/>
      <c r="Z107" s="123"/>
      <c r="AA107" s="45"/>
      <c r="AB107" s="165"/>
      <c r="AC107" s="45"/>
      <c r="AF107" s="123"/>
      <c r="AM107" s="123"/>
    </row>
    <row r="108" spans="1:39" x14ac:dyDescent="0.2">
      <c r="A108"/>
      <c r="C108" s="45"/>
      <c r="D108" s="45"/>
      <c r="E108" s="45"/>
      <c r="H108" s="164"/>
      <c r="I108" s="123"/>
      <c r="J108" s="123"/>
      <c r="L108" s="45"/>
      <c r="M108" s="45"/>
      <c r="N108" s="45"/>
      <c r="O108" s="164"/>
      <c r="P108" s="123"/>
      <c r="Q108" s="123"/>
      <c r="R108" s="45"/>
      <c r="S108" s="123"/>
      <c r="U108" s="165"/>
      <c r="V108" s="45"/>
      <c r="W108" s="45"/>
      <c r="X108" s="123"/>
      <c r="Y108" s="45"/>
      <c r="Z108" s="123"/>
      <c r="AA108" s="45"/>
      <c r="AB108" s="165"/>
      <c r="AC108" s="45"/>
      <c r="AF108" s="123"/>
      <c r="AM108" s="123"/>
    </row>
    <row r="109" spans="1:39" x14ac:dyDescent="0.2">
      <c r="A109"/>
      <c r="C109" s="45"/>
      <c r="D109" s="45"/>
      <c r="E109" s="45"/>
      <c r="H109" s="164"/>
      <c r="I109" s="123"/>
      <c r="J109" s="123"/>
      <c r="L109" s="45"/>
      <c r="M109" s="45"/>
      <c r="N109" s="45"/>
      <c r="O109" s="164"/>
      <c r="P109" s="123"/>
      <c r="Q109" s="123"/>
      <c r="R109" s="45"/>
      <c r="S109" s="123"/>
      <c r="U109" s="165"/>
      <c r="V109" s="45"/>
      <c r="W109" s="45"/>
      <c r="X109" s="123"/>
      <c r="Y109" s="45"/>
      <c r="Z109" s="123"/>
      <c r="AA109" s="45"/>
      <c r="AB109" s="165"/>
      <c r="AC109" s="45"/>
      <c r="AF109" s="123"/>
      <c r="AM109" s="123"/>
    </row>
    <row r="110" spans="1:39" x14ac:dyDescent="0.2">
      <c r="A110"/>
      <c r="C110" s="45"/>
      <c r="D110" s="45"/>
      <c r="E110" s="45"/>
      <c r="H110" s="164"/>
      <c r="I110" s="123"/>
      <c r="J110" s="123"/>
      <c r="L110" s="45"/>
      <c r="M110" s="45"/>
      <c r="N110" s="45"/>
      <c r="O110" s="164"/>
      <c r="P110" s="123"/>
      <c r="Q110" s="123"/>
      <c r="R110" s="45"/>
      <c r="S110" s="123"/>
      <c r="U110" s="165"/>
      <c r="V110" s="45"/>
      <c r="W110" s="45"/>
      <c r="X110" s="123"/>
      <c r="Y110" s="45"/>
      <c r="Z110" s="123"/>
      <c r="AA110" s="45"/>
      <c r="AB110" s="165"/>
      <c r="AC110" s="45"/>
      <c r="AF110" s="123"/>
      <c r="AM110" s="123"/>
    </row>
    <row r="111" spans="1:39" x14ac:dyDescent="0.2">
      <c r="A111"/>
      <c r="C111" s="45"/>
      <c r="D111" s="45"/>
      <c r="E111" s="45"/>
      <c r="H111" s="164"/>
      <c r="I111" s="123"/>
      <c r="J111" s="123"/>
      <c r="L111" s="45"/>
      <c r="M111" s="45"/>
      <c r="N111" s="45"/>
      <c r="O111" s="164"/>
      <c r="P111" s="123"/>
      <c r="Q111" s="123"/>
      <c r="R111" s="45"/>
      <c r="S111" s="123"/>
      <c r="U111" s="165"/>
      <c r="V111" s="45"/>
      <c r="W111" s="45"/>
      <c r="X111" s="123"/>
      <c r="Y111" s="45"/>
      <c r="Z111" s="123"/>
      <c r="AA111" s="45"/>
      <c r="AB111" s="165"/>
      <c r="AC111" s="45"/>
      <c r="AF111" s="123"/>
      <c r="AM111" s="123"/>
    </row>
    <row r="112" spans="1:39" x14ac:dyDescent="0.2">
      <c r="A112"/>
      <c r="C112" s="45"/>
      <c r="D112" s="45"/>
      <c r="E112" s="45"/>
      <c r="H112" s="164"/>
      <c r="I112" s="123"/>
      <c r="J112" s="123"/>
      <c r="L112" s="45"/>
      <c r="M112" s="45"/>
      <c r="N112" s="45"/>
      <c r="O112" s="164"/>
      <c r="P112" s="123"/>
      <c r="Q112" s="123"/>
      <c r="R112" s="45"/>
      <c r="S112" s="123"/>
      <c r="U112" s="165"/>
      <c r="V112" s="45"/>
      <c r="W112" s="45"/>
      <c r="X112" s="123"/>
      <c r="Y112" s="45"/>
      <c r="Z112" s="123"/>
      <c r="AA112" s="45"/>
      <c r="AB112" s="165"/>
      <c r="AC112" s="45"/>
      <c r="AF112" s="123"/>
      <c r="AM112" s="123"/>
    </row>
    <row r="113" spans="1:39" x14ac:dyDescent="0.2">
      <c r="A113"/>
      <c r="C113" s="45"/>
      <c r="D113" s="45"/>
      <c r="E113" s="45"/>
      <c r="H113" s="164"/>
      <c r="I113" s="123"/>
      <c r="J113" s="123"/>
      <c r="L113" s="45"/>
      <c r="M113" s="45"/>
      <c r="N113" s="45"/>
      <c r="O113" s="164"/>
      <c r="P113" s="123"/>
      <c r="Q113" s="123"/>
      <c r="R113" s="45"/>
      <c r="S113" s="123"/>
      <c r="U113" s="165"/>
      <c r="V113" s="45"/>
      <c r="W113" s="45"/>
      <c r="X113" s="123"/>
      <c r="Y113" s="45"/>
      <c r="Z113" s="123"/>
      <c r="AA113" s="45"/>
      <c r="AB113" s="165"/>
      <c r="AC113" s="45"/>
      <c r="AF113" s="123"/>
      <c r="AM113" s="123"/>
    </row>
    <row r="114" spans="1:39" x14ac:dyDescent="0.2">
      <c r="A114"/>
      <c r="C114" s="45"/>
      <c r="D114" s="45"/>
      <c r="E114" s="45"/>
      <c r="H114" s="164"/>
      <c r="I114" s="123"/>
      <c r="J114" s="123"/>
      <c r="L114" s="45"/>
      <c r="M114" s="45"/>
      <c r="N114" s="45"/>
      <c r="O114" s="164"/>
      <c r="P114" s="123"/>
      <c r="Q114" s="123"/>
      <c r="R114" s="45"/>
      <c r="S114" s="123"/>
      <c r="U114" s="165"/>
      <c r="V114" s="45"/>
      <c r="W114" s="45"/>
      <c r="X114" s="123"/>
      <c r="Y114" s="45"/>
      <c r="Z114" s="123"/>
      <c r="AA114" s="45"/>
      <c r="AB114" s="165"/>
      <c r="AC114" s="45"/>
      <c r="AF114" s="123"/>
      <c r="AM114" s="123"/>
    </row>
    <row r="115" spans="1:39" x14ac:dyDescent="0.2">
      <c r="A115"/>
      <c r="C115" s="45"/>
      <c r="D115" s="45"/>
      <c r="E115" s="45"/>
      <c r="H115" s="164"/>
      <c r="I115" s="123"/>
      <c r="J115" s="123"/>
      <c r="L115" s="45"/>
      <c r="M115" s="45"/>
      <c r="N115" s="45"/>
      <c r="O115" s="164"/>
      <c r="P115" s="123"/>
      <c r="Q115" s="123"/>
      <c r="R115" s="45"/>
      <c r="S115" s="123"/>
      <c r="U115" s="165"/>
      <c r="V115" s="45"/>
      <c r="W115" s="45"/>
      <c r="X115" s="123"/>
      <c r="Y115" s="45"/>
      <c r="Z115" s="123"/>
      <c r="AA115" s="45"/>
      <c r="AB115" s="165"/>
      <c r="AC115" s="45"/>
      <c r="AF115" s="123"/>
      <c r="AM115" s="123"/>
    </row>
    <row r="116" spans="1:39" x14ac:dyDescent="0.2">
      <c r="A116"/>
      <c r="C116" s="45"/>
      <c r="D116" s="45"/>
      <c r="E116" s="45"/>
      <c r="I116" s="123"/>
      <c r="J116" s="123"/>
      <c r="L116" s="45"/>
      <c r="M116" s="45"/>
      <c r="N116" s="45"/>
      <c r="O116" s="164"/>
      <c r="P116" s="123"/>
      <c r="Q116" s="123"/>
      <c r="R116" s="45"/>
      <c r="S116" s="123"/>
      <c r="U116" s="165"/>
      <c r="V116" s="45"/>
      <c r="W116" s="45"/>
      <c r="X116" s="123"/>
      <c r="Y116" s="45"/>
      <c r="Z116" s="123"/>
      <c r="AA116" s="45"/>
      <c r="AB116" s="165"/>
      <c r="AC116" s="45"/>
      <c r="AF116" s="123"/>
      <c r="AM116" s="123"/>
    </row>
    <row r="117" spans="1:39" x14ac:dyDescent="0.2">
      <c r="A117"/>
      <c r="C117" s="45"/>
      <c r="D117" s="45"/>
      <c r="E117" s="45"/>
      <c r="I117" s="123"/>
      <c r="J117" s="123"/>
      <c r="L117" s="45"/>
      <c r="M117" s="45"/>
      <c r="N117" s="45"/>
      <c r="O117" s="164"/>
      <c r="P117" s="123"/>
      <c r="Q117" s="123"/>
      <c r="R117" s="45"/>
      <c r="S117" s="123"/>
      <c r="U117" s="165"/>
      <c r="V117" s="45"/>
      <c r="W117" s="45"/>
      <c r="X117" s="123"/>
      <c r="Y117" s="45"/>
      <c r="Z117" s="123"/>
      <c r="AA117" s="45"/>
      <c r="AB117" s="165"/>
      <c r="AC117" s="45"/>
      <c r="AF117" s="123"/>
      <c r="AM117" s="123"/>
    </row>
    <row r="118" spans="1:39" x14ac:dyDescent="0.2">
      <c r="A118"/>
      <c r="C118" s="45"/>
      <c r="D118" s="45"/>
      <c r="E118" s="45"/>
      <c r="I118" s="123"/>
      <c r="J118" s="123"/>
      <c r="L118" s="45"/>
      <c r="M118" s="45"/>
      <c r="N118" s="45"/>
      <c r="O118" s="164"/>
      <c r="P118" s="123"/>
      <c r="Q118" s="123"/>
      <c r="R118" s="45"/>
      <c r="S118" s="123"/>
      <c r="U118" s="165"/>
      <c r="V118" s="45"/>
      <c r="W118" s="45"/>
      <c r="X118" s="123"/>
      <c r="Y118" s="45"/>
      <c r="Z118" s="123"/>
      <c r="AA118" s="45"/>
      <c r="AB118" s="165"/>
      <c r="AC118" s="45"/>
      <c r="AF118" s="123"/>
      <c r="AM118" s="123"/>
    </row>
    <row r="119" spans="1:39" x14ac:dyDescent="0.2">
      <c r="A119"/>
      <c r="C119" s="45"/>
      <c r="D119" s="45"/>
      <c r="E119" s="45"/>
      <c r="I119" s="123"/>
      <c r="J119" s="123"/>
      <c r="L119" s="45"/>
      <c r="M119" s="45"/>
      <c r="N119" s="45"/>
      <c r="O119" s="164"/>
      <c r="P119" s="123"/>
      <c r="Q119" s="123"/>
      <c r="R119" s="45"/>
      <c r="S119" s="123"/>
      <c r="U119" s="165"/>
      <c r="V119" s="45"/>
      <c r="W119" s="45"/>
      <c r="X119" s="123"/>
      <c r="Y119" s="45"/>
      <c r="Z119" s="123"/>
      <c r="AA119" s="45"/>
      <c r="AB119" s="165"/>
      <c r="AC119" s="45"/>
      <c r="AF119" s="123"/>
      <c r="AM119" s="123"/>
    </row>
    <row r="120" spans="1:39" x14ac:dyDescent="0.2">
      <c r="A120"/>
      <c r="C120" s="45"/>
      <c r="D120" s="45"/>
      <c r="E120" s="45"/>
      <c r="I120" s="123"/>
      <c r="J120" s="123"/>
      <c r="L120" s="45"/>
      <c r="M120" s="45"/>
      <c r="N120" s="45"/>
      <c r="O120" s="164"/>
      <c r="P120" s="123"/>
      <c r="Q120" s="123"/>
      <c r="R120" s="45"/>
      <c r="S120" s="123"/>
      <c r="U120" s="165"/>
      <c r="V120" s="45"/>
      <c r="W120" s="45"/>
      <c r="X120" s="123"/>
      <c r="Y120" s="45"/>
      <c r="Z120" s="123"/>
      <c r="AA120" s="45"/>
      <c r="AB120" s="165"/>
      <c r="AC120" s="45"/>
      <c r="AF120" s="123"/>
      <c r="AM120" s="123"/>
    </row>
    <row r="121" spans="1:39" x14ac:dyDescent="0.2">
      <c r="A121"/>
      <c r="C121" s="45"/>
      <c r="D121" s="45"/>
      <c r="E121" s="45"/>
      <c r="I121" s="123"/>
      <c r="J121" s="123"/>
      <c r="L121" s="45"/>
      <c r="M121" s="45"/>
      <c r="N121" s="45"/>
      <c r="O121" s="164"/>
      <c r="P121" s="123"/>
      <c r="Q121" s="123"/>
      <c r="R121" s="45"/>
      <c r="S121" s="123"/>
      <c r="U121" s="165"/>
      <c r="V121" s="45"/>
      <c r="W121" s="45"/>
      <c r="X121" s="123"/>
      <c r="Y121" s="45"/>
      <c r="Z121" s="123"/>
      <c r="AA121" s="45"/>
      <c r="AB121" s="165"/>
      <c r="AC121" s="45"/>
      <c r="AF121" s="123"/>
      <c r="AM121" s="123"/>
    </row>
    <row r="122" spans="1:39" x14ac:dyDescent="0.2">
      <c r="A122"/>
      <c r="C122" s="45"/>
      <c r="D122" s="45"/>
      <c r="E122" s="45"/>
      <c r="I122" s="123"/>
      <c r="J122" s="123"/>
      <c r="L122" s="45"/>
      <c r="M122" s="45"/>
      <c r="N122" s="45"/>
      <c r="O122" s="164"/>
      <c r="P122" s="123"/>
      <c r="Q122" s="123"/>
      <c r="R122" s="45"/>
      <c r="S122" s="123"/>
      <c r="U122" s="165"/>
      <c r="V122" s="45"/>
      <c r="W122" s="45"/>
      <c r="X122" s="123"/>
      <c r="Y122" s="45"/>
      <c r="Z122" s="123"/>
      <c r="AA122" s="45"/>
      <c r="AB122" s="165"/>
      <c r="AC122" s="45"/>
      <c r="AF122" s="123"/>
      <c r="AM122" s="123"/>
    </row>
    <row r="123" spans="1:39" x14ac:dyDescent="0.2">
      <c r="A123"/>
      <c r="C123" s="45"/>
      <c r="D123" s="45"/>
      <c r="E123" s="45"/>
      <c r="I123" s="123"/>
      <c r="J123" s="123"/>
      <c r="L123" s="45"/>
      <c r="M123" s="45"/>
      <c r="N123" s="45"/>
      <c r="O123" s="164"/>
      <c r="P123" s="123"/>
      <c r="Q123" s="123"/>
      <c r="R123" s="45"/>
      <c r="S123" s="123"/>
      <c r="U123" s="165"/>
      <c r="V123" s="45"/>
      <c r="W123" s="45"/>
      <c r="X123" s="123"/>
      <c r="Y123" s="45"/>
      <c r="Z123" s="123"/>
      <c r="AA123" s="45"/>
      <c r="AB123" s="165"/>
      <c r="AC123" s="45"/>
      <c r="AF123" s="123"/>
      <c r="AM123" s="123"/>
    </row>
    <row r="124" spans="1:39" x14ac:dyDescent="0.2">
      <c r="A124"/>
      <c r="C124" s="45"/>
      <c r="D124" s="45"/>
      <c r="E124" s="45"/>
      <c r="I124" s="123"/>
      <c r="J124" s="123"/>
      <c r="L124" s="45"/>
      <c r="M124" s="45"/>
      <c r="N124" s="45"/>
      <c r="O124" s="164"/>
      <c r="P124" s="123"/>
      <c r="Q124" s="123"/>
      <c r="R124" s="45"/>
      <c r="S124" s="123"/>
      <c r="U124" s="165"/>
      <c r="V124" s="45"/>
      <c r="W124" s="45"/>
      <c r="X124" s="123"/>
      <c r="Y124" s="45"/>
      <c r="Z124" s="123"/>
      <c r="AA124" s="45"/>
      <c r="AB124" s="165"/>
      <c r="AC124" s="45"/>
      <c r="AF124" s="123"/>
      <c r="AM124" s="123"/>
    </row>
    <row r="125" spans="1:39" x14ac:dyDescent="0.2">
      <c r="A125"/>
      <c r="C125" s="45"/>
      <c r="D125" s="45"/>
      <c r="E125" s="45"/>
      <c r="I125" s="123"/>
      <c r="J125" s="123"/>
      <c r="L125" s="45"/>
      <c r="M125" s="45"/>
      <c r="N125" s="45"/>
      <c r="O125" s="164"/>
      <c r="P125" s="123"/>
      <c r="Q125" s="123"/>
      <c r="R125" s="45"/>
      <c r="S125" s="123"/>
      <c r="U125" s="165"/>
      <c r="V125" s="45"/>
      <c r="W125" s="45"/>
      <c r="X125" s="123"/>
      <c r="Y125" s="45"/>
      <c r="Z125" s="123"/>
      <c r="AA125" s="45"/>
      <c r="AB125" s="165"/>
      <c r="AC125" s="45"/>
      <c r="AF125" s="123"/>
      <c r="AM125" s="123"/>
    </row>
    <row r="126" spans="1:39" x14ac:dyDescent="0.2">
      <c r="A126"/>
      <c r="C126" s="45"/>
      <c r="D126" s="45"/>
      <c r="E126" s="45"/>
      <c r="I126" s="123"/>
      <c r="J126" s="123"/>
      <c r="L126" s="45"/>
      <c r="M126" s="45"/>
      <c r="N126" s="45"/>
      <c r="O126" s="164"/>
      <c r="P126" s="123"/>
      <c r="Q126" s="123"/>
      <c r="R126" s="45"/>
      <c r="S126" s="123"/>
      <c r="U126" s="165"/>
      <c r="V126" s="45"/>
      <c r="W126" s="45"/>
      <c r="X126" s="123"/>
      <c r="Y126" s="45"/>
      <c r="Z126" s="123"/>
      <c r="AA126" s="45"/>
      <c r="AB126" s="165"/>
      <c r="AC126" s="45"/>
      <c r="AF126" s="123"/>
      <c r="AM126" s="123"/>
    </row>
    <row r="127" spans="1:39" x14ac:dyDescent="0.2">
      <c r="A127"/>
      <c r="C127" s="45"/>
      <c r="D127" s="45"/>
      <c r="E127" s="45"/>
      <c r="I127" s="123"/>
      <c r="J127" s="123"/>
      <c r="L127" s="45"/>
      <c r="M127" s="45"/>
      <c r="N127" s="45"/>
      <c r="O127" s="164"/>
      <c r="P127" s="123"/>
      <c r="Q127" s="123"/>
      <c r="R127" s="45"/>
      <c r="S127" s="123"/>
      <c r="U127" s="165"/>
      <c r="V127" s="45"/>
      <c r="W127" s="45"/>
      <c r="X127" s="123"/>
      <c r="Y127" s="45"/>
      <c r="Z127" s="123"/>
      <c r="AA127" s="45"/>
      <c r="AB127" s="165"/>
      <c r="AC127" s="45"/>
      <c r="AF127" s="123"/>
      <c r="AM127" s="123"/>
    </row>
    <row r="128" spans="1:39" x14ac:dyDescent="0.2">
      <c r="A128"/>
      <c r="C128" s="45"/>
      <c r="D128" s="45"/>
      <c r="E128" s="45"/>
      <c r="I128" s="123"/>
      <c r="J128" s="123"/>
      <c r="L128" s="45"/>
      <c r="M128" s="45"/>
      <c r="N128" s="45"/>
      <c r="O128" s="164"/>
      <c r="P128" s="123"/>
      <c r="Q128" s="123"/>
      <c r="R128" s="45"/>
      <c r="S128" s="123"/>
      <c r="U128" s="165"/>
      <c r="V128" s="45"/>
      <c r="W128" s="45"/>
      <c r="X128" s="123"/>
      <c r="Y128" s="45"/>
      <c r="Z128" s="123"/>
      <c r="AA128" s="45"/>
      <c r="AB128" s="165"/>
      <c r="AC128" s="45"/>
      <c r="AF128" s="123"/>
      <c r="AM128" s="123"/>
    </row>
    <row r="129" spans="1:39" x14ac:dyDescent="0.2">
      <c r="A129"/>
      <c r="C129" s="45"/>
      <c r="D129" s="45"/>
      <c r="E129" s="45"/>
      <c r="I129" s="123"/>
      <c r="J129" s="123"/>
      <c r="L129" s="45"/>
      <c r="M129" s="45"/>
      <c r="N129" s="45"/>
      <c r="O129" s="164"/>
      <c r="P129" s="123"/>
      <c r="Q129" s="123"/>
      <c r="R129" s="45"/>
      <c r="S129" s="123"/>
      <c r="U129" s="165"/>
      <c r="V129" s="45"/>
      <c r="W129" s="45"/>
      <c r="X129" s="123"/>
      <c r="Y129" s="45"/>
      <c r="Z129" s="123"/>
      <c r="AA129" s="45"/>
      <c r="AB129" s="165"/>
      <c r="AC129" s="45"/>
      <c r="AF129" s="123"/>
      <c r="AM129" s="123"/>
    </row>
    <row r="130" spans="1:39" x14ac:dyDescent="0.2">
      <c r="A130"/>
      <c r="C130" s="45"/>
      <c r="D130" s="45"/>
      <c r="E130" s="45"/>
      <c r="I130" s="123"/>
      <c r="J130" s="123"/>
      <c r="L130" s="45"/>
      <c r="M130" s="45"/>
      <c r="N130" s="45"/>
      <c r="O130" s="164"/>
      <c r="P130" s="123"/>
      <c r="Q130" s="123"/>
      <c r="R130" s="45"/>
      <c r="S130" s="123"/>
      <c r="U130" s="165"/>
      <c r="V130" s="45"/>
      <c r="W130" s="45"/>
      <c r="X130" s="123"/>
      <c r="Y130" s="45"/>
      <c r="Z130" s="123"/>
      <c r="AA130" s="45"/>
      <c r="AB130" s="165"/>
      <c r="AC130" s="45"/>
      <c r="AF130" s="123"/>
      <c r="AM130" s="123"/>
    </row>
    <row r="131" spans="1:39" x14ac:dyDescent="0.2">
      <c r="A131"/>
      <c r="C131" s="45"/>
      <c r="D131" s="45"/>
      <c r="E131" s="45"/>
      <c r="I131" s="123"/>
      <c r="J131" s="123"/>
      <c r="L131" s="45"/>
      <c r="M131" s="45"/>
      <c r="N131" s="45"/>
      <c r="O131" s="164"/>
      <c r="P131" s="123"/>
      <c r="Q131" s="123"/>
      <c r="R131" s="45"/>
      <c r="S131" s="123"/>
      <c r="U131" s="165"/>
      <c r="V131" s="45"/>
      <c r="W131" s="45"/>
      <c r="X131" s="123"/>
      <c r="Y131" s="45"/>
      <c r="Z131" s="123"/>
      <c r="AA131" s="45"/>
      <c r="AB131" s="165"/>
      <c r="AC131" s="45"/>
      <c r="AF131" s="123"/>
      <c r="AM131" s="123"/>
    </row>
    <row r="132" spans="1:39" x14ac:dyDescent="0.2">
      <c r="A132"/>
      <c r="C132" s="45"/>
      <c r="D132" s="45"/>
      <c r="E132" s="45"/>
      <c r="I132" s="123"/>
      <c r="J132" s="123"/>
      <c r="L132" s="45"/>
      <c r="M132" s="45"/>
      <c r="N132" s="45"/>
      <c r="O132" s="164"/>
      <c r="P132" s="123"/>
      <c r="Q132" s="123"/>
      <c r="R132" s="45"/>
      <c r="S132" s="123"/>
      <c r="U132" s="165"/>
      <c r="V132" s="45"/>
      <c r="W132" s="45"/>
      <c r="X132" s="123"/>
      <c r="Y132" s="45"/>
      <c r="Z132" s="123"/>
      <c r="AA132" s="45"/>
      <c r="AB132" s="165"/>
      <c r="AC132" s="45"/>
      <c r="AF132" s="123"/>
      <c r="AM132" s="123"/>
    </row>
    <row r="133" spans="1:39" x14ac:dyDescent="0.2">
      <c r="A133"/>
      <c r="C133" s="45"/>
      <c r="D133" s="45"/>
      <c r="E133" s="45"/>
      <c r="I133" s="123"/>
      <c r="J133" s="123"/>
      <c r="L133" s="45"/>
      <c r="M133" s="45"/>
      <c r="N133" s="45"/>
      <c r="O133" s="164"/>
      <c r="P133" s="123"/>
      <c r="Q133" s="123"/>
      <c r="R133" s="45"/>
      <c r="S133" s="123"/>
      <c r="U133" s="165"/>
      <c r="V133" s="45"/>
      <c r="W133" s="45"/>
      <c r="X133" s="123"/>
      <c r="Y133" s="45"/>
      <c r="Z133" s="123"/>
      <c r="AA133" s="45"/>
      <c r="AB133" s="165"/>
      <c r="AC133" s="45"/>
      <c r="AF133" s="123"/>
      <c r="AM133" s="123"/>
    </row>
    <row r="134" spans="1:39" x14ac:dyDescent="0.2">
      <c r="A134"/>
      <c r="C134" s="45"/>
      <c r="D134" s="45"/>
      <c r="E134" s="45"/>
      <c r="I134" s="123"/>
      <c r="J134" s="123"/>
      <c r="L134" s="45"/>
      <c r="M134" s="45"/>
      <c r="N134" s="45"/>
      <c r="O134" s="164"/>
      <c r="P134" s="123"/>
      <c r="Q134" s="123"/>
      <c r="R134" s="45"/>
      <c r="S134" s="123"/>
      <c r="U134" s="165"/>
      <c r="V134" s="45"/>
      <c r="W134" s="45"/>
      <c r="X134" s="123"/>
      <c r="Y134" s="45"/>
      <c r="Z134" s="123"/>
      <c r="AA134" s="45"/>
      <c r="AB134" s="165"/>
      <c r="AC134" s="45"/>
      <c r="AF134" s="123"/>
      <c r="AM134" s="123"/>
    </row>
    <row r="135" spans="1:39" x14ac:dyDescent="0.2">
      <c r="A135"/>
      <c r="C135" s="45"/>
      <c r="D135" s="45"/>
      <c r="E135" s="45"/>
      <c r="I135" s="123"/>
      <c r="J135" s="123"/>
      <c r="L135" s="45"/>
      <c r="M135" s="45"/>
      <c r="N135" s="45"/>
      <c r="O135" s="164"/>
      <c r="P135" s="123"/>
      <c r="Q135" s="123"/>
      <c r="R135" s="45"/>
      <c r="S135" s="123"/>
      <c r="U135" s="165"/>
      <c r="V135" s="45"/>
      <c r="W135" s="45"/>
      <c r="X135" s="123"/>
      <c r="Y135" s="45"/>
      <c r="Z135" s="123"/>
      <c r="AA135" s="45"/>
      <c r="AB135" s="165"/>
      <c r="AC135" s="45"/>
      <c r="AF135" s="123"/>
      <c r="AM135" s="123"/>
    </row>
    <row r="136" spans="1:39" x14ac:dyDescent="0.2">
      <c r="A136"/>
      <c r="C136" s="45"/>
      <c r="D136" s="45"/>
      <c r="E136" s="45"/>
      <c r="I136" s="123"/>
      <c r="J136" s="123"/>
      <c r="L136" s="45"/>
      <c r="M136" s="45"/>
      <c r="N136" s="45"/>
      <c r="O136" s="164"/>
      <c r="P136" s="123"/>
      <c r="Q136" s="123"/>
      <c r="R136" s="45"/>
      <c r="S136" s="123"/>
      <c r="U136" s="165"/>
      <c r="V136" s="45"/>
      <c r="W136" s="45"/>
      <c r="X136" s="123"/>
      <c r="Y136" s="45"/>
      <c r="Z136" s="123"/>
      <c r="AA136" s="45"/>
      <c r="AB136" s="165"/>
      <c r="AC136" s="45"/>
      <c r="AF136" s="123"/>
      <c r="AM136" s="123"/>
    </row>
    <row r="137" spans="1:39" x14ac:dyDescent="0.2">
      <c r="A137"/>
      <c r="C137" s="45"/>
      <c r="D137" s="45"/>
      <c r="E137" s="45"/>
      <c r="I137" s="123"/>
      <c r="J137" s="123"/>
      <c r="L137" s="45"/>
      <c r="M137" s="45"/>
      <c r="N137" s="45"/>
      <c r="O137" s="164"/>
      <c r="P137" s="123"/>
      <c r="Q137" s="123"/>
      <c r="R137" s="45"/>
      <c r="S137" s="123"/>
      <c r="U137" s="165"/>
      <c r="V137" s="45"/>
      <c r="W137" s="45"/>
      <c r="X137" s="123"/>
      <c r="Y137" s="45"/>
      <c r="Z137" s="123"/>
      <c r="AA137" s="45"/>
      <c r="AB137" s="165"/>
      <c r="AC137" s="45"/>
      <c r="AF137" s="123"/>
      <c r="AM137" s="123"/>
    </row>
    <row r="138" spans="1:39" x14ac:dyDescent="0.2">
      <c r="A138"/>
      <c r="C138" s="45"/>
      <c r="D138" s="45"/>
      <c r="E138" s="45"/>
      <c r="I138" s="123"/>
      <c r="J138" s="123"/>
      <c r="L138" s="45"/>
      <c r="M138" s="45"/>
      <c r="N138" s="45"/>
      <c r="O138" s="164"/>
      <c r="P138" s="123"/>
      <c r="Q138" s="123"/>
      <c r="R138" s="45"/>
      <c r="S138" s="123"/>
      <c r="U138" s="165"/>
      <c r="V138" s="45"/>
      <c r="W138" s="45"/>
      <c r="X138" s="123"/>
      <c r="Y138" s="45"/>
      <c r="Z138" s="123"/>
      <c r="AA138" s="45"/>
      <c r="AB138" s="165"/>
      <c r="AC138" s="45"/>
      <c r="AF138" s="123"/>
      <c r="AM138" s="123"/>
    </row>
    <row r="139" spans="1:39" x14ac:dyDescent="0.2">
      <c r="A139"/>
      <c r="C139" s="45"/>
      <c r="D139" s="45"/>
      <c r="E139" s="45"/>
      <c r="I139" s="123"/>
      <c r="J139" s="123"/>
      <c r="L139" s="45"/>
      <c r="M139" s="45"/>
      <c r="N139" s="45"/>
      <c r="O139" s="164"/>
      <c r="P139" s="123"/>
      <c r="Q139" s="123"/>
      <c r="R139" s="45"/>
      <c r="S139" s="123"/>
      <c r="U139" s="165"/>
      <c r="V139" s="45"/>
      <c r="W139" s="45"/>
      <c r="X139" s="123"/>
      <c r="Y139" s="45"/>
      <c r="Z139" s="123"/>
      <c r="AA139" s="45"/>
      <c r="AB139" s="165"/>
      <c r="AC139" s="45"/>
      <c r="AF139" s="123"/>
      <c r="AM139" s="123"/>
    </row>
    <row r="140" spans="1:39" x14ac:dyDescent="0.2">
      <c r="A140"/>
      <c r="C140" s="45"/>
      <c r="D140" s="45"/>
      <c r="E140" s="45"/>
      <c r="I140" s="123"/>
      <c r="J140" s="123"/>
      <c r="L140" s="45"/>
      <c r="M140" s="45"/>
      <c r="N140" s="45"/>
      <c r="O140" s="164"/>
      <c r="P140" s="123"/>
      <c r="Q140" s="123"/>
      <c r="R140" s="45"/>
      <c r="S140" s="123"/>
      <c r="U140" s="165"/>
      <c r="V140" s="45"/>
      <c r="W140" s="45"/>
      <c r="X140" s="123"/>
      <c r="Y140" s="45"/>
      <c r="Z140" s="123"/>
      <c r="AA140" s="45"/>
      <c r="AB140" s="165"/>
      <c r="AC140" s="45"/>
      <c r="AF140" s="123"/>
      <c r="AM140" s="123"/>
    </row>
    <row r="141" spans="1:39" x14ac:dyDescent="0.2">
      <c r="A141"/>
      <c r="C141" s="45"/>
      <c r="D141" s="45"/>
      <c r="E141" s="45"/>
      <c r="I141" s="123"/>
      <c r="J141" s="123"/>
      <c r="L141" s="45"/>
      <c r="M141" s="45"/>
      <c r="N141" s="45"/>
      <c r="O141" s="164"/>
      <c r="P141" s="123"/>
      <c r="Q141" s="123"/>
      <c r="R141" s="45"/>
      <c r="S141" s="123"/>
      <c r="U141" s="165"/>
      <c r="V141" s="45"/>
      <c r="W141" s="45"/>
      <c r="X141" s="123"/>
      <c r="Y141" s="45"/>
      <c r="Z141" s="123"/>
      <c r="AA141" s="45"/>
      <c r="AB141" s="165"/>
      <c r="AC141" s="45"/>
      <c r="AF141" s="123"/>
      <c r="AM141" s="123"/>
    </row>
    <row r="142" spans="1:39" x14ac:dyDescent="0.2">
      <c r="A142"/>
      <c r="C142" s="45"/>
      <c r="D142" s="45"/>
      <c r="E142" s="45"/>
      <c r="I142" s="123"/>
      <c r="J142" s="123"/>
      <c r="L142" s="45"/>
      <c r="M142" s="45"/>
      <c r="N142" s="45"/>
      <c r="O142" s="164"/>
      <c r="P142" s="123"/>
      <c r="Q142" s="123"/>
      <c r="R142" s="45"/>
      <c r="S142" s="123"/>
      <c r="U142" s="165"/>
      <c r="V142" s="45"/>
      <c r="W142" s="45"/>
      <c r="X142" s="123"/>
      <c r="Y142" s="45"/>
      <c r="Z142" s="123"/>
      <c r="AA142" s="45"/>
      <c r="AB142" s="165"/>
      <c r="AC142" s="45"/>
      <c r="AF142" s="123"/>
      <c r="AM142" s="123"/>
    </row>
    <row r="143" spans="1:39" x14ac:dyDescent="0.2">
      <c r="A143"/>
      <c r="C143" s="45"/>
      <c r="D143" s="45"/>
      <c r="E143" s="45"/>
      <c r="I143" s="123"/>
      <c r="J143" s="123"/>
      <c r="L143" s="45"/>
      <c r="M143" s="45"/>
      <c r="N143" s="45"/>
      <c r="O143" s="164"/>
      <c r="P143" s="123"/>
      <c r="Q143" s="123"/>
      <c r="R143" s="45"/>
      <c r="S143" s="123"/>
      <c r="U143" s="165"/>
      <c r="V143" s="45"/>
      <c r="W143" s="45"/>
      <c r="X143" s="123"/>
      <c r="Y143" s="45"/>
      <c r="Z143" s="123"/>
      <c r="AA143" s="45"/>
      <c r="AB143" s="165"/>
      <c r="AC143" s="45"/>
      <c r="AF143" s="123"/>
      <c r="AM143" s="123"/>
    </row>
    <row r="144" spans="1:39" x14ac:dyDescent="0.2">
      <c r="A144"/>
      <c r="C144" s="45"/>
      <c r="D144" s="45"/>
      <c r="E144" s="45"/>
      <c r="I144" s="123"/>
      <c r="J144" s="123"/>
      <c r="L144" s="45"/>
      <c r="M144" s="45"/>
      <c r="N144" s="45"/>
      <c r="O144" s="164"/>
      <c r="P144" s="123"/>
      <c r="Q144" s="123"/>
      <c r="R144" s="45"/>
      <c r="S144" s="123"/>
      <c r="U144" s="165"/>
      <c r="V144" s="45"/>
      <c r="W144" s="45"/>
      <c r="X144" s="123"/>
      <c r="Y144" s="45"/>
      <c r="Z144" s="123"/>
      <c r="AA144" s="45"/>
      <c r="AB144" s="165"/>
      <c r="AC144" s="45"/>
      <c r="AF144" s="123"/>
      <c r="AM144" s="123"/>
    </row>
    <row r="145" spans="1:39" x14ac:dyDescent="0.2">
      <c r="A145"/>
      <c r="C145" s="45"/>
      <c r="D145" s="45"/>
      <c r="E145" s="45"/>
      <c r="I145" s="123"/>
      <c r="J145" s="123"/>
      <c r="L145" s="45"/>
      <c r="M145" s="45"/>
      <c r="N145" s="45"/>
      <c r="O145" s="164"/>
      <c r="P145" s="123"/>
      <c r="Q145" s="123"/>
      <c r="R145" s="45"/>
      <c r="S145" s="123"/>
      <c r="U145" s="165"/>
      <c r="V145" s="45"/>
      <c r="W145" s="45"/>
      <c r="X145" s="123"/>
      <c r="Y145" s="45"/>
      <c r="Z145" s="123"/>
      <c r="AA145" s="45"/>
      <c r="AB145" s="165"/>
      <c r="AC145" s="45"/>
      <c r="AF145" s="123"/>
      <c r="AM145" s="123"/>
    </row>
    <row r="146" spans="1:39" x14ac:dyDescent="0.2">
      <c r="A146"/>
      <c r="C146" s="45"/>
      <c r="D146" s="45"/>
      <c r="E146" s="45"/>
      <c r="I146" s="123"/>
      <c r="J146" s="123"/>
      <c r="L146" s="45"/>
      <c r="M146" s="45"/>
      <c r="N146" s="45"/>
      <c r="O146" s="164"/>
      <c r="P146" s="123"/>
      <c r="Q146" s="123"/>
      <c r="R146" s="45"/>
      <c r="S146" s="123"/>
      <c r="U146" s="165"/>
      <c r="V146" s="45"/>
      <c r="W146" s="45"/>
      <c r="X146" s="123"/>
      <c r="Y146" s="45"/>
      <c r="Z146" s="123"/>
      <c r="AA146" s="45"/>
      <c r="AB146" s="165"/>
      <c r="AC146" s="45"/>
      <c r="AF146" s="123"/>
      <c r="AM146" s="123"/>
    </row>
    <row r="147" spans="1:39" x14ac:dyDescent="0.2">
      <c r="A147"/>
      <c r="C147" s="45"/>
      <c r="D147" s="45"/>
      <c r="E147" s="45"/>
      <c r="I147" s="123"/>
      <c r="J147" s="123"/>
      <c r="L147" s="45"/>
      <c r="M147" s="45"/>
      <c r="N147" s="45"/>
      <c r="O147" s="164"/>
      <c r="P147" s="123"/>
      <c r="Q147" s="123"/>
      <c r="R147" s="45"/>
      <c r="S147" s="123"/>
      <c r="U147" s="165"/>
      <c r="V147" s="45"/>
      <c r="W147" s="45"/>
      <c r="X147" s="123"/>
      <c r="Y147" s="45"/>
      <c r="Z147" s="123"/>
      <c r="AA147" s="45"/>
      <c r="AB147" s="165"/>
      <c r="AC147" s="45"/>
      <c r="AF147" s="123"/>
      <c r="AM147" s="123"/>
    </row>
    <row r="148" spans="1:39" x14ac:dyDescent="0.2">
      <c r="A148"/>
      <c r="C148" s="45"/>
      <c r="D148" s="45"/>
      <c r="E148" s="45"/>
      <c r="I148" s="123"/>
      <c r="J148" s="123"/>
      <c r="L148" s="45"/>
      <c r="M148" s="45"/>
      <c r="N148" s="45"/>
      <c r="O148" s="164"/>
      <c r="P148" s="123"/>
      <c r="Q148" s="123"/>
      <c r="R148" s="45"/>
      <c r="S148" s="123"/>
      <c r="U148" s="165"/>
      <c r="V148" s="45"/>
      <c r="W148" s="45"/>
      <c r="X148" s="123"/>
      <c r="Y148" s="45"/>
      <c r="Z148" s="123"/>
      <c r="AA148" s="45"/>
      <c r="AB148" s="165"/>
      <c r="AC148" s="45"/>
      <c r="AF148" s="123"/>
      <c r="AM148" s="123"/>
    </row>
    <row r="149" spans="1:39" x14ac:dyDescent="0.2">
      <c r="A149"/>
      <c r="C149" s="45"/>
      <c r="D149" s="45"/>
      <c r="E149" s="45"/>
      <c r="I149" s="123"/>
      <c r="J149" s="123"/>
      <c r="L149" s="45"/>
      <c r="M149" s="45"/>
      <c r="N149" s="45"/>
      <c r="O149" s="164"/>
      <c r="P149" s="123"/>
      <c r="Q149" s="123"/>
      <c r="R149" s="45"/>
      <c r="S149" s="123"/>
      <c r="U149" s="165"/>
      <c r="V149" s="45"/>
      <c r="W149" s="45"/>
      <c r="X149" s="123"/>
      <c r="Y149" s="45"/>
      <c r="Z149" s="123"/>
      <c r="AA149" s="45"/>
      <c r="AB149" s="165"/>
      <c r="AC149" s="45"/>
      <c r="AF149" s="123"/>
      <c r="AM149" s="123"/>
    </row>
    <row r="150" spans="1:39" x14ac:dyDescent="0.2">
      <c r="A150"/>
      <c r="C150" s="45"/>
      <c r="D150" s="45"/>
      <c r="E150" s="45"/>
      <c r="I150" s="123"/>
      <c r="J150" s="123"/>
      <c r="L150" s="45"/>
      <c r="M150" s="45"/>
      <c r="N150" s="45"/>
      <c r="O150" s="164"/>
      <c r="P150" s="123"/>
      <c r="Q150" s="123"/>
      <c r="R150" s="45"/>
      <c r="S150" s="123"/>
      <c r="U150" s="165"/>
      <c r="V150" s="45"/>
      <c r="W150" s="45"/>
      <c r="X150" s="123"/>
      <c r="Y150" s="45"/>
      <c r="Z150" s="123"/>
      <c r="AA150" s="45"/>
      <c r="AB150" s="165"/>
      <c r="AC150" s="45"/>
      <c r="AF150" s="123"/>
      <c r="AM150" s="123"/>
    </row>
    <row r="151" spans="1:39" x14ac:dyDescent="0.2">
      <c r="A151"/>
      <c r="C151" s="45"/>
      <c r="D151" s="45"/>
      <c r="E151" s="45"/>
      <c r="I151" s="123"/>
      <c r="J151" s="123"/>
      <c r="L151" s="45"/>
      <c r="M151" s="45"/>
      <c r="N151" s="45"/>
      <c r="O151" s="164"/>
      <c r="P151" s="123"/>
      <c r="Q151" s="123"/>
      <c r="R151" s="45"/>
      <c r="S151" s="123"/>
      <c r="U151" s="165"/>
      <c r="V151" s="45"/>
      <c r="W151" s="45"/>
      <c r="X151" s="123"/>
      <c r="Y151" s="45"/>
      <c r="Z151" s="123"/>
      <c r="AA151" s="45"/>
      <c r="AB151" s="165"/>
      <c r="AC151" s="45"/>
      <c r="AF151" s="123"/>
      <c r="AM151" s="123"/>
    </row>
    <row r="152" spans="1:39" x14ac:dyDescent="0.2">
      <c r="A152"/>
      <c r="C152" s="45"/>
      <c r="D152" s="45"/>
      <c r="E152" s="45"/>
      <c r="I152" s="123"/>
      <c r="J152" s="123"/>
      <c r="L152" s="45"/>
      <c r="M152" s="45"/>
      <c r="N152" s="45"/>
      <c r="O152" s="164"/>
      <c r="P152" s="123"/>
      <c r="Q152" s="123"/>
      <c r="R152" s="45"/>
      <c r="S152" s="123"/>
      <c r="U152" s="165"/>
      <c r="V152" s="45"/>
      <c r="W152" s="45"/>
      <c r="X152" s="123"/>
      <c r="Y152" s="45"/>
      <c r="Z152" s="123"/>
      <c r="AA152" s="45"/>
      <c r="AC152" s="45"/>
      <c r="AF152" s="123"/>
      <c r="AM152" s="123"/>
    </row>
    <row r="153" spans="1:39" x14ac:dyDescent="0.2">
      <c r="A153"/>
      <c r="C153" s="45"/>
      <c r="D153" s="45"/>
      <c r="E153" s="45"/>
      <c r="I153" s="123"/>
      <c r="J153" s="123"/>
      <c r="L153" s="45"/>
      <c r="M153" s="45"/>
      <c r="N153" s="45"/>
      <c r="O153" s="164"/>
      <c r="P153" s="123"/>
      <c r="Q153" s="123"/>
      <c r="R153" s="45"/>
      <c r="S153" s="123"/>
      <c r="U153" s="165"/>
      <c r="V153" s="45"/>
      <c r="W153" s="45"/>
      <c r="X153" s="123"/>
      <c r="Y153" s="45"/>
      <c r="Z153" s="123"/>
      <c r="AA153" s="45"/>
      <c r="AC153" s="45"/>
      <c r="AF153" s="123"/>
      <c r="AM153" s="123"/>
    </row>
    <row r="154" spans="1:39" x14ac:dyDescent="0.2">
      <c r="A154"/>
      <c r="C154" s="45"/>
      <c r="D154" s="45"/>
      <c r="E154" s="45"/>
      <c r="I154" s="123"/>
      <c r="J154" s="123"/>
      <c r="L154" s="45"/>
      <c r="M154" s="45"/>
      <c r="N154" s="45"/>
      <c r="O154" s="164"/>
      <c r="P154" s="123"/>
      <c r="Q154" s="123"/>
      <c r="R154" s="45"/>
      <c r="S154" s="123"/>
      <c r="U154" s="165"/>
      <c r="V154" s="45"/>
      <c r="W154" s="45"/>
      <c r="X154" s="123"/>
      <c r="Y154" s="45"/>
      <c r="Z154" s="123"/>
      <c r="AA154" s="45"/>
      <c r="AC154" s="45"/>
      <c r="AF154" s="123"/>
      <c r="AM154" s="123"/>
    </row>
    <row r="155" spans="1:39" x14ac:dyDescent="0.2">
      <c r="A155"/>
      <c r="C155" s="45"/>
      <c r="D155" s="45"/>
      <c r="E155" s="45"/>
      <c r="I155" s="123"/>
      <c r="J155" s="123"/>
      <c r="L155" s="45"/>
      <c r="M155" s="45"/>
      <c r="N155" s="45"/>
      <c r="O155" s="164"/>
      <c r="P155" s="123"/>
      <c r="Q155" s="123"/>
      <c r="R155" s="45"/>
      <c r="S155" s="123"/>
      <c r="U155" s="165"/>
      <c r="V155" s="45"/>
      <c r="W155" s="45"/>
      <c r="X155" s="123"/>
      <c r="Y155" s="45"/>
      <c r="Z155" s="123"/>
      <c r="AA155" s="45"/>
      <c r="AC155" s="45"/>
      <c r="AF155" s="123"/>
      <c r="AM155" s="123"/>
    </row>
    <row r="156" spans="1:39" x14ac:dyDescent="0.2">
      <c r="A156"/>
      <c r="C156" s="45"/>
      <c r="D156" s="45"/>
      <c r="E156" s="45"/>
      <c r="I156" s="123"/>
      <c r="J156" s="123"/>
      <c r="L156" s="45"/>
      <c r="M156" s="45"/>
      <c r="N156" s="45"/>
      <c r="O156" s="164"/>
      <c r="P156" s="123"/>
      <c r="Q156" s="123"/>
      <c r="R156" s="45"/>
      <c r="S156" s="123"/>
      <c r="U156" s="165"/>
      <c r="V156" s="45"/>
      <c r="W156" s="45"/>
      <c r="X156" s="123"/>
      <c r="Y156" s="45"/>
      <c r="Z156" s="123"/>
      <c r="AA156" s="45"/>
      <c r="AC156" s="45"/>
      <c r="AF156" s="123"/>
      <c r="AM156" s="123"/>
    </row>
    <row r="157" spans="1:39" x14ac:dyDescent="0.2">
      <c r="A157"/>
      <c r="C157" s="45"/>
      <c r="D157" s="45"/>
      <c r="E157" s="45"/>
      <c r="I157" s="123"/>
      <c r="J157" s="123"/>
      <c r="L157" s="45"/>
      <c r="M157" s="45"/>
      <c r="N157" s="45"/>
      <c r="O157" s="164"/>
      <c r="P157" s="123"/>
      <c r="Q157" s="123"/>
      <c r="R157" s="45"/>
      <c r="S157" s="123"/>
      <c r="U157" s="165"/>
      <c r="V157" s="45"/>
      <c r="W157" s="45"/>
      <c r="X157" s="123"/>
      <c r="Y157" s="45"/>
      <c r="Z157" s="123"/>
      <c r="AA157" s="45"/>
      <c r="AC157" s="45"/>
      <c r="AF157" s="123"/>
      <c r="AM157" s="123"/>
    </row>
    <row r="158" spans="1:39" x14ac:dyDescent="0.2">
      <c r="A158"/>
      <c r="C158" s="45"/>
      <c r="D158" s="45"/>
      <c r="E158" s="45"/>
      <c r="I158" s="123"/>
      <c r="J158" s="123"/>
      <c r="L158" s="45"/>
      <c r="M158" s="45"/>
      <c r="N158" s="45"/>
      <c r="O158" s="164"/>
      <c r="P158" s="123"/>
      <c r="Q158" s="123"/>
      <c r="R158" s="45"/>
      <c r="S158" s="123"/>
      <c r="U158" s="165"/>
      <c r="V158" s="45"/>
      <c r="W158" s="45"/>
      <c r="X158" s="123"/>
      <c r="Y158" s="45"/>
      <c r="Z158" s="123"/>
      <c r="AA158" s="45"/>
      <c r="AC158" s="45"/>
      <c r="AF158" s="123"/>
      <c r="AM158" s="123"/>
    </row>
    <row r="159" spans="1:39" x14ac:dyDescent="0.2">
      <c r="A159"/>
      <c r="C159" s="45"/>
      <c r="D159" s="45"/>
      <c r="E159" s="45"/>
      <c r="I159" s="123"/>
      <c r="J159" s="123"/>
      <c r="L159" s="45"/>
      <c r="M159" s="45"/>
      <c r="N159" s="45"/>
      <c r="O159" s="164"/>
      <c r="P159" s="123"/>
      <c r="Q159" s="123"/>
      <c r="R159" s="45"/>
      <c r="S159" s="123"/>
      <c r="U159" s="165"/>
      <c r="V159" s="45"/>
      <c r="W159" s="45"/>
      <c r="X159" s="123"/>
      <c r="Y159" s="45"/>
      <c r="Z159" s="123"/>
      <c r="AA159" s="45"/>
      <c r="AC159" s="45"/>
      <c r="AF159" s="123"/>
      <c r="AM159" s="123"/>
    </row>
    <row r="160" spans="1:39" x14ac:dyDescent="0.2">
      <c r="A160"/>
      <c r="C160" s="45"/>
      <c r="D160" s="45"/>
      <c r="E160" s="45"/>
      <c r="I160" s="123"/>
      <c r="J160" s="123"/>
      <c r="N160" s="45"/>
      <c r="O160" s="164"/>
      <c r="P160" s="123"/>
      <c r="Q160" s="123"/>
      <c r="R160" s="45"/>
      <c r="S160" s="123"/>
      <c r="U160" s="165"/>
      <c r="V160" s="45"/>
      <c r="W160" s="45"/>
      <c r="X160" s="123"/>
      <c r="Y160" s="45"/>
      <c r="Z160" s="123"/>
      <c r="AA160" s="45"/>
      <c r="AC160" s="45"/>
      <c r="AF160" s="123"/>
      <c r="AM160" s="123"/>
    </row>
    <row r="161" spans="1:39" x14ac:dyDescent="0.2">
      <c r="A161"/>
      <c r="C161" s="45"/>
      <c r="D161" s="45"/>
      <c r="E161" s="45"/>
      <c r="I161" s="123"/>
      <c r="J161" s="123"/>
      <c r="N161" s="45"/>
      <c r="O161" s="164"/>
      <c r="P161" s="123"/>
      <c r="Q161" s="123"/>
      <c r="R161" s="45"/>
      <c r="S161" s="123"/>
      <c r="U161" s="165"/>
      <c r="V161" s="45"/>
      <c r="W161" s="45"/>
      <c r="X161" s="123"/>
      <c r="Y161" s="45"/>
      <c r="Z161" s="123"/>
      <c r="AA161" s="45"/>
      <c r="AC161" s="45"/>
      <c r="AF161" s="123"/>
      <c r="AM161" s="123"/>
    </row>
    <row r="162" spans="1:39" x14ac:dyDescent="0.2">
      <c r="A162"/>
      <c r="C162" s="45"/>
      <c r="D162" s="45"/>
      <c r="E162" s="45"/>
      <c r="I162" s="123"/>
      <c r="J162" s="123"/>
      <c r="N162" s="45"/>
      <c r="O162" s="164"/>
      <c r="P162" s="123"/>
      <c r="Q162" s="123"/>
      <c r="R162" s="45"/>
      <c r="S162" s="123"/>
      <c r="U162" s="165"/>
      <c r="V162" s="45"/>
      <c r="W162" s="45"/>
      <c r="X162" s="123"/>
      <c r="Y162" s="45"/>
      <c r="Z162" s="123"/>
      <c r="AA162" s="45"/>
      <c r="AC162" s="45"/>
      <c r="AF162" s="123"/>
      <c r="AM162" s="123"/>
    </row>
    <row r="163" spans="1:39" x14ac:dyDescent="0.2">
      <c r="A163"/>
      <c r="C163" s="45"/>
      <c r="D163" s="45"/>
      <c r="E163" s="45"/>
      <c r="I163" s="123"/>
      <c r="J163" s="123"/>
      <c r="N163" s="45"/>
      <c r="O163" s="164"/>
      <c r="P163" s="123"/>
      <c r="Q163" s="123"/>
      <c r="R163" s="45"/>
      <c r="S163" s="123"/>
      <c r="U163" s="165"/>
      <c r="V163" s="45"/>
      <c r="W163" s="45"/>
      <c r="X163" s="123"/>
      <c r="Y163" s="45"/>
      <c r="Z163" s="123"/>
      <c r="AA163" s="45"/>
      <c r="AC163" s="45"/>
      <c r="AF163" s="123"/>
      <c r="AM163" s="123"/>
    </row>
    <row r="164" spans="1:39" x14ac:dyDescent="0.2">
      <c r="A164"/>
      <c r="C164" s="45"/>
      <c r="D164" s="45"/>
      <c r="E164" s="45"/>
      <c r="I164" s="123"/>
      <c r="J164" s="123"/>
      <c r="N164" s="45"/>
      <c r="O164" s="164"/>
      <c r="P164" s="123"/>
      <c r="Q164" s="123"/>
      <c r="R164" s="45"/>
      <c r="S164" s="123"/>
      <c r="U164" s="165"/>
      <c r="V164" s="45"/>
      <c r="W164" s="45"/>
      <c r="X164" s="123"/>
      <c r="Y164" s="45"/>
      <c r="Z164" s="123"/>
      <c r="AA164" s="45"/>
      <c r="AC164" s="45"/>
      <c r="AF164" s="123"/>
      <c r="AM164" s="123"/>
    </row>
    <row r="165" spans="1:39" x14ac:dyDescent="0.2">
      <c r="A165"/>
      <c r="C165" s="45"/>
      <c r="D165" s="45"/>
      <c r="E165" s="45"/>
      <c r="I165" s="123"/>
      <c r="J165" s="123"/>
      <c r="N165" s="45"/>
      <c r="O165" s="164"/>
      <c r="P165" s="123"/>
      <c r="Q165" s="123"/>
      <c r="R165" s="45"/>
      <c r="S165" s="123"/>
      <c r="U165" s="165"/>
      <c r="V165" s="45"/>
      <c r="W165" s="45"/>
      <c r="X165" s="123"/>
      <c r="Y165" s="45"/>
      <c r="Z165" s="123"/>
      <c r="AA165" s="45"/>
      <c r="AC165" s="45"/>
      <c r="AF165" s="123"/>
      <c r="AM165" s="123"/>
    </row>
    <row r="166" spans="1:39" x14ac:dyDescent="0.2">
      <c r="A166"/>
      <c r="C166" s="45"/>
      <c r="D166" s="45"/>
      <c r="E166" s="45"/>
      <c r="I166" s="123"/>
      <c r="J166" s="123"/>
      <c r="N166" s="45"/>
      <c r="O166" s="164"/>
      <c r="P166" s="123"/>
      <c r="Q166" s="123"/>
      <c r="R166" s="45"/>
      <c r="S166" s="123"/>
      <c r="U166" s="165"/>
      <c r="V166" s="45"/>
      <c r="W166" s="45"/>
      <c r="X166" s="123"/>
      <c r="Y166" s="45"/>
      <c r="Z166" s="123"/>
      <c r="AA166" s="45"/>
      <c r="AC166" s="45"/>
      <c r="AF166" s="123"/>
      <c r="AM166" s="123"/>
    </row>
    <row r="167" spans="1:39" x14ac:dyDescent="0.2">
      <c r="A167"/>
      <c r="C167" s="45"/>
      <c r="D167" s="45"/>
      <c r="E167" s="45"/>
      <c r="I167" s="123"/>
      <c r="J167" s="123"/>
      <c r="N167" s="45"/>
      <c r="O167" s="164"/>
      <c r="P167" s="123"/>
      <c r="Q167" s="123"/>
      <c r="R167" s="45"/>
      <c r="S167" s="123"/>
      <c r="U167" s="165"/>
      <c r="V167" s="45"/>
      <c r="W167" s="45"/>
      <c r="X167" s="123"/>
      <c r="Y167" s="45"/>
      <c r="Z167" s="123"/>
      <c r="AA167" s="45"/>
      <c r="AC167" s="45"/>
      <c r="AF167" s="123"/>
      <c r="AM167" s="123"/>
    </row>
    <row r="168" spans="1:39" x14ac:dyDescent="0.2">
      <c r="A168"/>
      <c r="C168" s="45"/>
      <c r="D168" s="45"/>
      <c r="E168" s="45"/>
      <c r="I168" s="123"/>
      <c r="J168" s="123"/>
      <c r="N168" s="45"/>
      <c r="O168" s="164"/>
      <c r="P168" s="123"/>
      <c r="Q168" s="123"/>
      <c r="R168" s="45"/>
      <c r="S168" s="123"/>
      <c r="U168" s="165"/>
      <c r="V168" s="45"/>
      <c r="W168" s="45"/>
      <c r="X168" s="123"/>
      <c r="Y168" s="45"/>
      <c r="Z168" s="123"/>
      <c r="AA168" s="45"/>
      <c r="AC168" s="45"/>
      <c r="AF168" s="123"/>
      <c r="AM168" s="123"/>
    </row>
    <row r="169" spans="1:39" x14ac:dyDescent="0.2">
      <c r="A169"/>
      <c r="C169" s="45"/>
      <c r="D169" s="45"/>
      <c r="E169" s="45"/>
      <c r="I169" s="123"/>
      <c r="J169" s="123"/>
      <c r="N169" s="45"/>
      <c r="O169" s="164"/>
      <c r="P169" s="123"/>
      <c r="Q169" s="123"/>
      <c r="R169" s="45"/>
      <c r="S169" s="123"/>
      <c r="U169" s="165"/>
      <c r="V169" s="45"/>
      <c r="W169" s="45"/>
      <c r="X169" s="123"/>
      <c r="Y169" s="45"/>
      <c r="Z169" s="123"/>
      <c r="AA169" s="45"/>
      <c r="AC169" s="45"/>
      <c r="AF169" s="123"/>
      <c r="AM169" s="123"/>
    </row>
    <row r="170" spans="1:39" x14ac:dyDescent="0.2">
      <c r="A170"/>
      <c r="C170" s="45"/>
      <c r="D170" s="45"/>
      <c r="E170" s="45"/>
      <c r="I170" s="123"/>
      <c r="J170" s="123"/>
      <c r="N170" s="45"/>
      <c r="O170" s="164"/>
      <c r="P170" s="123"/>
      <c r="Q170" s="123"/>
      <c r="R170" s="45"/>
      <c r="S170" s="123"/>
      <c r="U170" s="165"/>
      <c r="V170" s="45"/>
      <c r="W170" s="45"/>
      <c r="X170" s="123"/>
      <c r="Y170" s="45"/>
      <c r="Z170" s="123"/>
      <c r="AA170" s="45"/>
      <c r="AC170" s="45"/>
      <c r="AF170" s="123"/>
      <c r="AM170" s="123"/>
    </row>
    <row r="171" spans="1:39" x14ac:dyDescent="0.2">
      <c r="A171"/>
      <c r="C171" s="45"/>
      <c r="D171" s="45"/>
      <c r="E171" s="45"/>
      <c r="I171" s="123"/>
      <c r="J171" s="123"/>
      <c r="N171" s="45"/>
      <c r="O171" s="164"/>
      <c r="P171" s="123"/>
      <c r="Q171" s="123"/>
      <c r="R171" s="45"/>
      <c r="S171" s="123"/>
      <c r="U171" s="165"/>
      <c r="V171" s="45"/>
      <c r="W171" s="45"/>
      <c r="X171" s="123"/>
      <c r="Y171" s="45"/>
      <c r="Z171" s="123"/>
      <c r="AA171" s="45"/>
      <c r="AC171" s="45"/>
      <c r="AF171" s="123"/>
      <c r="AM171" s="123"/>
    </row>
    <row r="172" spans="1:39" x14ac:dyDescent="0.2">
      <c r="A172"/>
      <c r="C172" s="45"/>
      <c r="D172" s="45"/>
      <c r="E172" s="45"/>
      <c r="I172" s="123"/>
      <c r="J172" s="123"/>
      <c r="N172" s="45"/>
      <c r="O172" s="164"/>
      <c r="P172" s="123"/>
      <c r="Q172" s="123"/>
      <c r="R172" s="45"/>
      <c r="S172" s="123"/>
      <c r="U172" s="165"/>
      <c r="V172" s="45"/>
      <c r="W172" s="45"/>
      <c r="X172" s="123"/>
      <c r="Y172" s="45"/>
      <c r="Z172" s="123"/>
      <c r="AA172" s="45"/>
      <c r="AC172" s="45"/>
      <c r="AF172" s="123"/>
      <c r="AM172" s="123"/>
    </row>
    <row r="173" spans="1:39" x14ac:dyDescent="0.2">
      <c r="A173"/>
      <c r="C173" s="45"/>
      <c r="D173" s="45"/>
      <c r="E173" s="45"/>
      <c r="I173" s="123"/>
      <c r="J173" s="123"/>
      <c r="N173" s="45"/>
      <c r="O173" s="164"/>
      <c r="P173" s="123"/>
      <c r="Q173" s="123"/>
      <c r="R173" s="45"/>
      <c r="S173" s="123"/>
      <c r="U173" s="165"/>
      <c r="V173" s="45"/>
      <c r="W173" s="45"/>
      <c r="X173" s="123"/>
      <c r="Y173" s="45"/>
      <c r="Z173" s="123"/>
      <c r="AA173" s="45"/>
      <c r="AC173" s="45"/>
      <c r="AF173" s="123"/>
      <c r="AM173" s="123"/>
    </row>
    <row r="174" spans="1:39" x14ac:dyDescent="0.2">
      <c r="A174"/>
      <c r="C174" s="45"/>
      <c r="D174" s="45"/>
      <c r="E174" s="45"/>
      <c r="I174" s="123"/>
      <c r="J174" s="123"/>
      <c r="N174" s="45"/>
      <c r="O174" s="164"/>
      <c r="P174" s="123"/>
      <c r="Q174" s="123"/>
      <c r="R174" s="45"/>
      <c r="S174" s="123"/>
      <c r="U174" s="165"/>
      <c r="V174" s="45"/>
      <c r="W174" s="45"/>
      <c r="X174" s="123"/>
      <c r="Y174" s="45"/>
      <c r="Z174" s="123"/>
      <c r="AA174" s="45"/>
      <c r="AC174" s="45"/>
      <c r="AF174" s="123"/>
      <c r="AM174" s="123"/>
    </row>
    <row r="175" spans="1:39" x14ac:dyDescent="0.2">
      <c r="A175"/>
      <c r="C175" s="45"/>
      <c r="D175" s="45"/>
      <c r="E175" s="45"/>
      <c r="I175" s="123"/>
      <c r="J175" s="123"/>
      <c r="N175" s="45"/>
      <c r="O175" s="164"/>
      <c r="P175" s="123"/>
      <c r="Q175" s="123"/>
      <c r="R175" s="45"/>
      <c r="S175" s="123"/>
      <c r="U175" s="165"/>
      <c r="V175" s="45"/>
      <c r="W175" s="45"/>
      <c r="X175" s="123"/>
      <c r="Y175" s="45"/>
      <c r="Z175" s="123"/>
      <c r="AA175" s="45"/>
      <c r="AC175" s="45"/>
      <c r="AF175" s="123"/>
      <c r="AM175" s="123"/>
    </row>
    <row r="176" spans="1:39" x14ac:dyDescent="0.2">
      <c r="A176"/>
      <c r="C176" s="45"/>
      <c r="D176" s="45"/>
      <c r="E176" s="45"/>
      <c r="I176" s="123"/>
      <c r="J176" s="123"/>
      <c r="N176" s="45"/>
      <c r="O176" s="164"/>
      <c r="P176" s="123"/>
      <c r="Q176" s="123"/>
      <c r="R176" s="45"/>
      <c r="S176" s="123"/>
      <c r="U176" s="165"/>
      <c r="V176" s="45"/>
      <c r="W176" s="45"/>
      <c r="X176" s="123"/>
      <c r="Y176" s="45"/>
      <c r="Z176" s="123"/>
      <c r="AA176" s="45"/>
      <c r="AC176" s="45"/>
      <c r="AF176" s="123"/>
      <c r="AM176" s="123"/>
    </row>
    <row r="177" spans="1:39" x14ac:dyDescent="0.2">
      <c r="A177"/>
      <c r="C177" s="45"/>
      <c r="D177" s="45"/>
      <c r="E177" s="45"/>
      <c r="I177" s="123"/>
      <c r="J177" s="123"/>
      <c r="N177" s="45"/>
      <c r="O177" s="164"/>
      <c r="P177" s="123"/>
      <c r="Q177" s="123"/>
      <c r="R177" s="45"/>
      <c r="S177" s="123"/>
      <c r="U177" s="165"/>
      <c r="V177" s="45"/>
      <c r="W177" s="45"/>
      <c r="X177" s="123"/>
      <c r="Y177" s="45"/>
      <c r="Z177" s="123"/>
      <c r="AA177" s="45"/>
      <c r="AC177" s="45"/>
      <c r="AF177" s="123"/>
      <c r="AM177" s="123"/>
    </row>
    <row r="178" spans="1:39" x14ac:dyDescent="0.2">
      <c r="A178"/>
      <c r="C178" s="45"/>
      <c r="D178" s="45"/>
      <c r="E178" s="45"/>
      <c r="I178" s="123"/>
      <c r="J178" s="123"/>
      <c r="N178" s="45"/>
      <c r="O178" s="164"/>
      <c r="P178" s="123"/>
      <c r="Q178" s="123"/>
      <c r="R178" s="45"/>
      <c r="S178" s="123"/>
      <c r="U178" s="165"/>
      <c r="V178" s="45"/>
      <c r="W178" s="45"/>
      <c r="X178" s="123"/>
      <c r="Y178" s="45"/>
      <c r="Z178" s="123"/>
      <c r="AA178" s="45"/>
      <c r="AC178" s="45"/>
      <c r="AF178" s="123"/>
      <c r="AM178" s="123"/>
    </row>
    <row r="179" spans="1:39" x14ac:dyDescent="0.2">
      <c r="A179"/>
      <c r="C179" s="45"/>
      <c r="D179" s="45"/>
      <c r="E179" s="45"/>
      <c r="I179" s="123"/>
      <c r="J179" s="123"/>
      <c r="N179" s="45"/>
      <c r="O179" s="164"/>
      <c r="P179" s="123"/>
      <c r="Q179" s="123"/>
      <c r="R179" s="45"/>
      <c r="S179" s="123"/>
      <c r="U179" s="165"/>
      <c r="V179" s="45"/>
      <c r="W179" s="45"/>
      <c r="X179" s="123"/>
      <c r="Y179" s="45"/>
      <c r="Z179" s="123"/>
      <c r="AA179" s="45"/>
      <c r="AC179" s="45"/>
      <c r="AF179" s="123"/>
      <c r="AM179" s="123"/>
    </row>
    <row r="180" spans="1:39" x14ac:dyDescent="0.2">
      <c r="A180"/>
      <c r="C180" s="45"/>
      <c r="D180" s="45"/>
      <c r="E180" s="45"/>
      <c r="I180" s="123"/>
      <c r="J180" s="123"/>
      <c r="N180" s="45"/>
      <c r="O180" s="164"/>
      <c r="P180" s="123"/>
      <c r="Q180" s="123"/>
      <c r="R180" s="45"/>
      <c r="S180" s="123"/>
      <c r="U180" s="165"/>
      <c r="V180" s="45"/>
      <c r="W180" s="45"/>
      <c r="X180" s="123"/>
      <c r="Y180" s="45"/>
      <c r="Z180" s="123"/>
      <c r="AA180" s="45"/>
      <c r="AC180" s="45"/>
      <c r="AF180" s="123"/>
      <c r="AM180" s="123"/>
    </row>
    <row r="181" spans="1:39" x14ac:dyDescent="0.2">
      <c r="A181"/>
      <c r="C181" s="45"/>
      <c r="D181" s="45"/>
      <c r="E181" s="45"/>
      <c r="I181" s="123"/>
      <c r="J181" s="123"/>
      <c r="N181" s="45"/>
      <c r="O181" s="164"/>
      <c r="P181" s="123"/>
      <c r="Q181" s="123"/>
      <c r="R181" s="45"/>
      <c r="S181" s="123"/>
      <c r="U181" s="165"/>
      <c r="V181" s="45"/>
      <c r="W181" s="45"/>
      <c r="X181" s="123"/>
      <c r="Y181" s="45"/>
      <c r="Z181" s="123"/>
      <c r="AA181" s="45"/>
      <c r="AC181" s="45"/>
      <c r="AF181" s="123"/>
      <c r="AM181" s="123"/>
    </row>
    <row r="182" spans="1:39" x14ac:dyDescent="0.2">
      <c r="A182"/>
      <c r="C182" s="45"/>
      <c r="D182" s="45"/>
      <c r="E182" s="45"/>
      <c r="I182" s="123"/>
      <c r="J182" s="123"/>
      <c r="N182" s="45"/>
      <c r="O182" s="164"/>
      <c r="P182" s="123"/>
      <c r="Q182" s="123"/>
      <c r="R182" s="45"/>
      <c r="S182" s="123"/>
      <c r="U182" s="165"/>
      <c r="V182" s="45"/>
      <c r="W182" s="45"/>
      <c r="X182" s="123"/>
      <c r="Y182" s="45"/>
      <c r="Z182" s="123"/>
      <c r="AA182" s="45"/>
      <c r="AC182" s="45"/>
      <c r="AF182" s="123"/>
      <c r="AM182" s="123"/>
    </row>
    <row r="183" spans="1:39" x14ac:dyDescent="0.2">
      <c r="A183"/>
      <c r="C183" s="45"/>
      <c r="D183" s="45"/>
      <c r="E183" s="45"/>
      <c r="I183" s="123"/>
      <c r="J183" s="123"/>
      <c r="N183" s="45"/>
      <c r="O183" s="164"/>
      <c r="P183" s="123"/>
      <c r="Q183" s="123"/>
      <c r="R183" s="45"/>
      <c r="S183" s="123"/>
      <c r="U183" s="165"/>
      <c r="V183" s="45"/>
      <c r="W183" s="45"/>
      <c r="X183" s="123"/>
      <c r="Y183" s="45"/>
      <c r="Z183" s="123"/>
      <c r="AA183" s="45"/>
      <c r="AC183" s="45"/>
      <c r="AF183" s="123"/>
      <c r="AM183" s="123"/>
    </row>
    <row r="184" spans="1:39" x14ac:dyDescent="0.2">
      <c r="A184"/>
      <c r="C184" s="45"/>
      <c r="D184" s="45"/>
      <c r="E184" s="45"/>
      <c r="I184" s="123"/>
      <c r="J184" s="123"/>
      <c r="N184" s="45"/>
      <c r="O184" s="164"/>
      <c r="P184" s="123"/>
      <c r="Q184" s="123"/>
      <c r="R184" s="45"/>
      <c r="S184" s="123"/>
      <c r="U184" s="165"/>
      <c r="V184" s="45"/>
      <c r="W184" s="45"/>
      <c r="X184" s="123"/>
      <c r="Y184" s="45"/>
      <c r="Z184" s="123"/>
      <c r="AA184" s="45"/>
      <c r="AC184" s="45"/>
      <c r="AF184" s="123"/>
      <c r="AM184" s="123"/>
    </row>
    <row r="185" spans="1:39" x14ac:dyDescent="0.2">
      <c r="A185"/>
      <c r="C185" s="45"/>
      <c r="D185" s="45"/>
      <c r="E185" s="45"/>
      <c r="I185" s="123"/>
      <c r="J185" s="123"/>
      <c r="N185" s="45"/>
      <c r="O185" s="164"/>
      <c r="P185" s="123"/>
      <c r="Q185" s="123"/>
      <c r="R185" s="45"/>
      <c r="S185" s="123"/>
      <c r="U185" s="165"/>
      <c r="V185" s="45"/>
      <c r="W185" s="45"/>
      <c r="X185" s="123"/>
      <c r="Y185" s="45"/>
      <c r="Z185" s="123"/>
      <c r="AA185" s="45"/>
      <c r="AC185" s="45"/>
      <c r="AF185" s="123"/>
      <c r="AM185" s="123"/>
    </row>
    <row r="186" spans="1:39" x14ac:dyDescent="0.2">
      <c r="A186"/>
      <c r="C186" s="45"/>
      <c r="D186" s="45"/>
      <c r="E186" s="45"/>
      <c r="I186" s="123"/>
      <c r="J186" s="123"/>
      <c r="N186" s="45"/>
      <c r="O186" s="164"/>
      <c r="P186" s="123"/>
      <c r="Q186" s="123"/>
      <c r="R186" s="45"/>
      <c r="S186" s="123"/>
      <c r="U186" s="165"/>
      <c r="V186" s="45"/>
      <c r="W186" s="45"/>
      <c r="X186" s="123"/>
      <c r="Y186" s="45"/>
      <c r="Z186" s="123"/>
      <c r="AA186" s="45"/>
      <c r="AC186" s="45"/>
      <c r="AF186" s="123"/>
      <c r="AM186" s="123"/>
    </row>
    <row r="187" spans="1:39" x14ac:dyDescent="0.2">
      <c r="A187"/>
      <c r="C187" s="45"/>
      <c r="D187" s="45"/>
      <c r="E187" s="45"/>
      <c r="I187" s="123"/>
      <c r="N187" s="45"/>
      <c r="O187" s="164"/>
      <c r="P187" s="123"/>
      <c r="R187" s="45"/>
      <c r="S187" s="123"/>
      <c r="U187" s="165"/>
      <c r="V187" s="45"/>
      <c r="W187" s="45"/>
      <c r="X187" s="123"/>
      <c r="Y187" s="45"/>
      <c r="Z187" s="123"/>
      <c r="AA187" s="45"/>
      <c r="AC187" s="45"/>
      <c r="AF187" s="123"/>
      <c r="AM187" s="123"/>
    </row>
    <row r="188" spans="1:39" x14ac:dyDescent="0.2">
      <c r="A188"/>
      <c r="C188" s="45"/>
      <c r="D188" s="45"/>
      <c r="E188" s="45"/>
      <c r="I188" s="123"/>
      <c r="N188" s="45"/>
      <c r="O188" s="164"/>
      <c r="P188" s="123"/>
      <c r="R188" s="45"/>
      <c r="S188" s="123"/>
      <c r="U188" s="165"/>
      <c r="V188" s="45"/>
      <c r="W188" s="45"/>
      <c r="X188" s="123"/>
      <c r="Y188" s="45"/>
      <c r="Z188" s="123"/>
      <c r="AA188" s="45"/>
      <c r="AC188" s="45"/>
      <c r="AF188" s="123"/>
      <c r="AM188" s="123"/>
    </row>
    <row r="189" spans="1:39" x14ac:dyDescent="0.2">
      <c r="I189" s="123"/>
      <c r="N189" s="45"/>
      <c r="O189" s="164"/>
      <c r="P189" s="123"/>
      <c r="R189" s="45"/>
      <c r="S189" s="123"/>
      <c r="U189" s="165"/>
      <c r="V189" s="45"/>
      <c r="W189" s="45"/>
      <c r="X189" s="123"/>
      <c r="Y189" s="45"/>
      <c r="Z189" s="123"/>
      <c r="AA189" s="45"/>
      <c r="AC189" s="45"/>
    </row>
    <row r="190" spans="1:39" s="9" customFormat="1" x14ac:dyDescent="0.2">
      <c r="A190" s="14"/>
      <c r="B190" s="45"/>
      <c r="C190" s="144"/>
      <c r="D190" s="144"/>
      <c r="E190" s="145"/>
      <c r="F190" s="59"/>
      <c r="G190" s="59"/>
      <c r="H190" s="59"/>
      <c r="I190" s="124"/>
      <c r="N190" s="59"/>
      <c r="O190" s="59"/>
      <c r="P190" s="124"/>
      <c r="R190" s="59"/>
      <c r="S190" s="124"/>
      <c r="U190" s="166"/>
      <c r="V190" s="59"/>
      <c r="W190" s="59"/>
      <c r="X190" s="124"/>
      <c r="Y190" s="59"/>
      <c r="Z190" s="124"/>
      <c r="AA190" s="59"/>
      <c r="AC190" s="59"/>
      <c r="AD190" s="59"/>
      <c r="AE190" s="59"/>
      <c r="AH190" s="59"/>
      <c r="AI190" s="59"/>
      <c r="AJ190" s="166"/>
      <c r="AK190" s="124"/>
    </row>
    <row r="191" spans="1:39" x14ac:dyDescent="0.2">
      <c r="I191" s="123"/>
      <c r="N191" s="45"/>
      <c r="O191" s="45"/>
      <c r="P191" s="123"/>
      <c r="R191" s="45"/>
      <c r="S191" s="123"/>
      <c r="U191" s="165"/>
      <c r="V191" s="45"/>
      <c r="W191" s="45"/>
      <c r="X191" s="123"/>
      <c r="Y191" s="45"/>
      <c r="Z191" s="123"/>
      <c r="AA191" s="45"/>
      <c r="AC191" s="45"/>
    </row>
    <row r="192" spans="1:39" x14ac:dyDescent="0.2">
      <c r="I192" s="123"/>
      <c r="N192" s="45"/>
      <c r="O192" s="45"/>
      <c r="P192" s="123"/>
      <c r="R192" s="45"/>
      <c r="S192" s="123"/>
      <c r="U192" s="165"/>
      <c r="V192" s="45"/>
      <c r="W192" s="45"/>
      <c r="X192" s="123"/>
      <c r="Y192" s="45"/>
      <c r="Z192" s="123"/>
      <c r="AA192" s="45"/>
      <c r="AC192" s="45"/>
    </row>
    <row r="193" spans="9:29" x14ac:dyDescent="0.2">
      <c r="I193" s="123"/>
      <c r="N193" s="45"/>
      <c r="O193" s="45"/>
      <c r="P193" s="123"/>
      <c r="R193" s="45"/>
      <c r="U193" s="165"/>
      <c r="V193" s="45"/>
      <c r="W193" s="45"/>
      <c r="Y193" s="45"/>
      <c r="Z193" s="123"/>
      <c r="AA193" s="45"/>
      <c r="AC193" s="45"/>
    </row>
    <row r="194" spans="9:29" x14ac:dyDescent="0.2">
      <c r="I194" s="123"/>
      <c r="N194" s="45"/>
      <c r="O194" s="45"/>
      <c r="P194" s="123"/>
      <c r="R194" s="45"/>
      <c r="U194" s="165"/>
      <c r="V194" s="45"/>
      <c r="W194" s="45"/>
      <c r="Y194" s="45"/>
      <c r="Z194" s="123"/>
      <c r="AA194" s="45"/>
      <c r="AC194" s="45"/>
    </row>
    <row r="195" spans="9:29" x14ac:dyDescent="0.2">
      <c r="N195" s="45"/>
      <c r="O195" s="45"/>
      <c r="P195" s="123"/>
      <c r="R195" s="45"/>
      <c r="U195" s="165"/>
      <c r="V195" s="45"/>
      <c r="W195" s="45"/>
      <c r="Y195" s="45"/>
      <c r="Z195" s="123"/>
      <c r="AA195" s="45"/>
      <c r="AC195" s="45"/>
    </row>
    <row r="196" spans="9:29" x14ac:dyDescent="0.2">
      <c r="N196" s="45"/>
      <c r="O196" s="45"/>
      <c r="P196" s="123"/>
      <c r="R196" s="45"/>
      <c r="U196" s="165"/>
      <c r="V196" s="45"/>
      <c r="W196" s="45"/>
      <c r="Y196" s="45"/>
      <c r="Z196" s="123"/>
      <c r="AA196" s="45"/>
      <c r="AC196" s="45"/>
    </row>
    <row r="197" spans="9:29" x14ac:dyDescent="0.2">
      <c r="N197" s="45"/>
      <c r="O197" s="45"/>
      <c r="P197" s="123"/>
      <c r="R197" s="45"/>
      <c r="U197" s="165"/>
      <c r="V197" s="45"/>
      <c r="W197" s="45"/>
      <c r="Y197" s="45"/>
      <c r="Z197" s="123"/>
      <c r="AA197" s="45"/>
      <c r="AC197" s="45"/>
    </row>
    <row r="198" spans="9:29" x14ac:dyDescent="0.2">
      <c r="N198" s="45"/>
      <c r="O198" s="45"/>
      <c r="P198" s="123"/>
      <c r="R198" s="45"/>
      <c r="U198" s="165"/>
      <c r="V198" s="45"/>
      <c r="W198" s="45"/>
      <c r="Y198" s="45"/>
      <c r="AA198" s="45"/>
      <c r="AC198" s="45"/>
    </row>
    <row r="199" spans="9:29" x14ac:dyDescent="0.2">
      <c r="U199" s="165"/>
      <c r="V199" s="45"/>
      <c r="W199" s="45"/>
      <c r="Y199" s="45"/>
      <c r="AA199" s="45"/>
      <c r="AC199" s="45"/>
    </row>
    <row r="200" spans="9:29" x14ac:dyDescent="0.2">
      <c r="V200" s="45"/>
      <c r="W200" s="45"/>
      <c r="Y200" s="45"/>
      <c r="AA200" s="45"/>
    </row>
  </sheetData>
  <sheetProtection sheet="1" objects="1" scenarios="1"/>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R382"/>
  <sheetViews>
    <sheetView showGridLines="0" zoomScale="80" zoomScaleNormal="80" workbookViewId="0"/>
  </sheetViews>
  <sheetFormatPr defaultColWidth="9.33203125" defaultRowHeight="12" x14ac:dyDescent="0.2"/>
  <cols>
    <col min="1" max="1" width="15.83203125" style="68" bestFit="1" customWidth="1"/>
    <col min="2" max="2" width="15.6640625" style="71" bestFit="1" customWidth="1"/>
    <col min="3" max="3" width="16.1640625" style="59" bestFit="1" customWidth="1"/>
    <col min="4" max="4" width="14.5" style="59" bestFit="1" customWidth="1"/>
    <col min="5" max="5" width="22.83203125" style="59" bestFit="1" customWidth="1"/>
    <col min="6" max="6" width="16.83203125" style="59" bestFit="1" customWidth="1"/>
    <col min="7" max="7" width="22" style="59" bestFit="1" customWidth="1"/>
    <col min="8" max="8" width="20.1640625" style="59" bestFit="1" customWidth="1"/>
    <col min="9" max="9" width="21.1640625" style="59" bestFit="1" customWidth="1"/>
    <col min="10" max="10" width="13.6640625" style="60" bestFit="1" customWidth="1"/>
    <col min="11" max="11" width="28.33203125" style="59" bestFit="1" customWidth="1"/>
    <col min="12" max="12" width="29.1640625" style="59" bestFit="1" customWidth="1"/>
    <col min="13" max="13" width="24" style="59" bestFit="1" customWidth="1"/>
    <col min="14" max="14" width="27.83203125" style="59" bestFit="1" customWidth="1"/>
    <col min="15" max="15" width="25.6640625" style="60" bestFit="1" customWidth="1"/>
    <col min="16" max="16" width="23.5" style="59" bestFit="1" customWidth="1"/>
    <col min="17" max="17" width="26.5" style="59" bestFit="1" customWidth="1"/>
    <col min="18" max="18" width="22.33203125" style="59" bestFit="1" customWidth="1"/>
    <col min="19" max="19" width="24" style="59" bestFit="1" customWidth="1"/>
    <col min="20" max="20" width="16.1640625" style="59" bestFit="1" customWidth="1"/>
    <col min="21" max="21" width="20.33203125" style="59" bestFit="1" customWidth="1"/>
    <col min="22" max="22" width="18.33203125" style="59" bestFit="1" customWidth="1"/>
    <col min="23" max="23" width="25.83203125" style="59" bestFit="1" customWidth="1"/>
    <col min="24" max="24" width="27.5" style="59" bestFit="1" customWidth="1"/>
    <col min="25" max="25" width="19.1640625" style="59" bestFit="1" customWidth="1"/>
    <col min="26" max="26" width="29.1640625" style="59" bestFit="1" customWidth="1"/>
    <col min="27" max="27" width="24.1640625" style="59" bestFit="1" customWidth="1"/>
    <col min="28" max="28" width="28.5" style="59" bestFit="1" customWidth="1"/>
    <col min="29" max="29" width="17.5" style="59" bestFit="1" customWidth="1"/>
    <col min="30" max="30" width="27.5" style="59" bestFit="1" customWidth="1"/>
    <col min="31" max="31" width="22.5" style="59" bestFit="1" customWidth="1"/>
    <col min="32" max="32" width="20.83203125" style="59" bestFit="1" customWidth="1"/>
    <col min="33" max="33" width="20.83203125" style="59" customWidth="1"/>
    <col min="34" max="34" width="18.5" style="59" bestFit="1" customWidth="1"/>
    <col min="35" max="35" width="24" style="59" bestFit="1" customWidth="1"/>
    <col min="36" max="36" width="23.5" style="59" bestFit="1" customWidth="1"/>
    <col min="37" max="37" width="21.1640625" style="59" bestFit="1" customWidth="1"/>
    <col min="38" max="38" width="19.5" style="59" bestFit="1" customWidth="1"/>
    <col min="39" max="40" width="26" style="59" bestFit="1" customWidth="1"/>
    <col min="41" max="41" width="29.5" style="59" bestFit="1" customWidth="1"/>
    <col min="42" max="42" width="26.1640625" style="59" bestFit="1" customWidth="1"/>
    <col min="43" max="43" width="20.33203125" style="59" bestFit="1" customWidth="1"/>
    <col min="44" max="44" width="13.5" style="59" bestFit="1" customWidth="1"/>
    <col min="45" max="45" width="25.6640625" style="59" customWidth="1"/>
    <col min="46" max="46" width="25" style="59" bestFit="1" customWidth="1"/>
    <col min="47" max="47" width="25.6640625" style="59" bestFit="1" customWidth="1"/>
    <col min="48" max="50" width="25.6640625" style="59" customWidth="1"/>
    <col min="51" max="52" width="25.6640625" customWidth="1"/>
    <col min="53" max="53" width="19.33203125" style="59" customWidth="1"/>
    <col min="54" max="54" width="21.6640625" style="59" customWidth="1"/>
    <col min="55" max="55" width="17" style="59" customWidth="1"/>
    <col min="56" max="56" width="16.1640625" style="59" customWidth="1"/>
    <col min="57" max="57" width="17.83203125" style="59" customWidth="1"/>
    <col min="58" max="58" width="18.33203125" style="59" customWidth="1"/>
    <col min="59" max="59" width="27.5" style="59" customWidth="1"/>
    <col min="60" max="60" width="31.33203125" style="59" customWidth="1"/>
    <col min="61" max="61" width="34.83203125" style="59" customWidth="1"/>
    <col min="62" max="69" width="31.33203125" style="59" customWidth="1"/>
    <col min="70" max="70" width="30" style="59" customWidth="1"/>
    <col min="71" max="71" width="12" style="59" customWidth="1"/>
    <col min="72" max="72" width="22" bestFit="1" customWidth="1"/>
    <col min="73" max="73" width="15" bestFit="1" customWidth="1"/>
    <col min="74" max="74" width="10.6640625" bestFit="1" customWidth="1"/>
    <col min="75" max="75" width="19.6640625" bestFit="1" customWidth="1"/>
    <col min="76" max="76" width="17.83203125" bestFit="1" customWidth="1"/>
    <col min="77" max="77" width="25.33203125" bestFit="1" customWidth="1"/>
    <col min="78" max="78" width="10.1640625" bestFit="1" customWidth="1"/>
    <col min="79" max="79" width="10.6640625" bestFit="1" customWidth="1"/>
    <col min="80" max="81" width="12.33203125" bestFit="1" customWidth="1"/>
    <col min="82" max="82" width="27" bestFit="1" customWidth="1"/>
    <col min="83" max="83" width="22.83203125" bestFit="1" customWidth="1"/>
    <col min="84" max="84" width="23.33203125" bestFit="1" customWidth="1"/>
    <col min="85" max="85" width="31.1640625" bestFit="1" customWidth="1"/>
    <col min="86" max="86" width="27" bestFit="1" customWidth="1"/>
    <col min="87" max="87" width="28.6640625" bestFit="1" customWidth="1"/>
    <col min="88" max="88" width="31.1640625" bestFit="1" customWidth="1"/>
    <col min="89" max="89" width="19.5" bestFit="1" customWidth="1"/>
    <col min="90" max="90" width="19" bestFit="1" customWidth="1"/>
    <col min="91" max="91" width="20.5" bestFit="1" customWidth="1"/>
    <col min="92" max="92" width="19" bestFit="1" customWidth="1"/>
    <col min="93" max="93" width="17.5" bestFit="1" customWidth="1"/>
    <col min="94" max="94" width="11" bestFit="1" customWidth="1"/>
    <col min="96" max="16384" width="9.33203125" style="59"/>
  </cols>
  <sheetData>
    <row r="1" spans="1:96" s="56" customFormat="1" ht="63.95" customHeight="1" x14ac:dyDescent="0.2">
      <c r="A1" s="65"/>
      <c r="B1" s="69"/>
      <c r="J1" s="57"/>
      <c r="O1" s="57"/>
      <c r="AY1"/>
      <c r="AZ1"/>
      <c r="BT1"/>
      <c r="BU1"/>
      <c r="BV1"/>
      <c r="BW1"/>
      <c r="BX1"/>
      <c r="BY1"/>
      <c r="BZ1"/>
      <c r="CA1"/>
      <c r="CB1"/>
      <c r="CC1"/>
      <c r="CD1"/>
      <c r="CE1"/>
      <c r="CF1"/>
      <c r="CG1"/>
      <c r="CH1"/>
      <c r="CI1"/>
      <c r="CJ1"/>
      <c r="CK1"/>
      <c r="CL1"/>
      <c r="CM1"/>
      <c r="CN1"/>
      <c r="CO1"/>
      <c r="CP1"/>
      <c r="CQ1"/>
    </row>
    <row r="2" spans="1:96" s="56" customFormat="1" ht="32.1" customHeight="1" x14ac:dyDescent="0.2">
      <c r="A2" s="66" t="s">
        <v>13</v>
      </c>
      <c r="B2" s="69"/>
      <c r="S2" s="57"/>
      <c r="AY2"/>
      <c r="AZ2"/>
      <c r="BT2"/>
      <c r="BU2"/>
      <c r="BV2"/>
      <c r="BW2"/>
      <c r="BX2"/>
      <c r="BY2"/>
      <c r="BZ2"/>
      <c r="CA2"/>
      <c r="CB2"/>
      <c r="CC2"/>
      <c r="CD2"/>
      <c r="CE2"/>
      <c r="CF2"/>
      <c r="CG2"/>
      <c r="CH2"/>
      <c r="CI2"/>
      <c r="CJ2"/>
      <c r="CK2"/>
      <c r="CL2"/>
      <c r="CM2"/>
      <c r="CN2"/>
      <c r="CO2"/>
      <c r="CP2"/>
      <c r="CQ2"/>
    </row>
    <row r="3" spans="1:96" s="58" customFormat="1" ht="16.5" customHeight="1" x14ac:dyDescent="0.2">
      <c r="A3" s="67" t="s">
        <v>36</v>
      </c>
      <c r="B3" s="70" t="s">
        <v>69</v>
      </c>
      <c r="C3" s="64" t="s">
        <v>57</v>
      </c>
      <c r="D3" s="64" t="s">
        <v>4</v>
      </c>
      <c r="E3" s="64" t="s">
        <v>70</v>
      </c>
      <c r="F3" s="64" t="s">
        <v>14</v>
      </c>
      <c r="G3" s="64" t="s">
        <v>68</v>
      </c>
      <c r="H3" s="64" t="s">
        <v>65</v>
      </c>
      <c r="I3" s="64" t="s">
        <v>71</v>
      </c>
      <c r="J3" s="64" t="s">
        <v>18</v>
      </c>
      <c r="K3" s="64" t="s">
        <v>109</v>
      </c>
      <c r="L3" s="64" t="s">
        <v>110</v>
      </c>
      <c r="M3" s="64" t="s">
        <v>111</v>
      </c>
      <c r="N3" s="64" t="s">
        <v>112</v>
      </c>
      <c r="O3" s="64" t="s">
        <v>74</v>
      </c>
      <c r="P3" s="64" t="s">
        <v>75</v>
      </c>
      <c r="Q3" s="64" t="s">
        <v>353</v>
      </c>
      <c r="R3" s="64" t="s">
        <v>359</v>
      </c>
      <c r="S3" s="64" t="s">
        <v>358</v>
      </c>
      <c r="T3" s="64" t="s">
        <v>81</v>
      </c>
      <c r="U3" s="64" t="s">
        <v>78</v>
      </c>
      <c r="V3" s="64" t="s">
        <v>15</v>
      </c>
      <c r="W3" s="64" t="s">
        <v>82</v>
      </c>
      <c r="X3" s="64" t="s">
        <v>80</v>
      </c>
      <c r="Y3" s="64" t="s">
        <v>127</v>
      </c>
      <c r="Z3" s="64" t="s">
        <v>126</v>
      </c>
      <c r="AA3" s="64" t="s">
        <v>125</v>
      </c>
      <c r="AB3" s="64" t="s">
        <v>124</v>
      </c>
      <c r="AC3" s="64" t="s">
        <v>123</v>
      </c>
      <c r="AD3" s="64" t="s">
        <v>128</v>
      </c>
      <c r="AE3" s="64" t="s">
        <v>122</v>
      </c>
      <c r="AF3" s="64" t="s">
        <v>133</v>
      </c>
      <c r="AG3" s="64" t="s">
        <v>400</v>
      </c>
      <c r="AH3" s="64" t="s">
        <v>362</v>
      </c>
      <c r="AI3" s="64" t="s">
        <v>363</v>
      </c>
      <c r="AJ3" s="64" t="s">
        <v>364</v>
      </c>
      <c r="AK3" s="64" t="s">
        <v>190</v>
      </c>
      <c r="AL3" s="64" t="s">
        <v>129</v>
      </c>
      <c r="AM3" s="64" t="s">
        <v>121</v>
      </c>
      <c r="AN3" s="64" t="s">
        <v>120</v>
      </c>
      <c r="AO3" s="64" t="s">
        <v>130</v>
      </c>
      <c r="AP3" s="64" t="s">
        <v>119</v>
      </c>
      <c r="AQ3" s="64" t="s">
        <v>113</v>
      </c>
      <c r="AR3" s="64" t="s">
        <v>118</v>
      </c>
      <c r="AS3" s="64" t="s">
        <v>401</v>
      </c>
      <c r="AT3" s="64" t="s">
        <v>114</v>
      </c>
      <c r="AU3" s="64" t="s">
        <v>131</v>
      </c>
      <c r="AV3" s="64" t="s">
        <v>115</v>
      </c>
      <c r="AW3" s="64" t="s">
        <v>116</v>
      </c>
      <c r="AX3" s="64" t="s">
        <v>132</v>
      </c>
      <c r="AY3" s="64" t="s">
        <v>189</v>
      </c>
      <c r="AZ3" s="64" t="s">
        <v>20</v>
      </c>
      <c r="BA3" s="64" t="s">
        <v>306</v>
      </c>
      <c r="BB3" s="64" t="s">
        <v>226</v>
      </c>
      <c r="BC3" s="64" t="s">
        <v>227</v>
      </c>
      <c r="BD3" s="64" t="s">
        <v>207</v>
      </c>
      <c r="BE3" s="64" t="s">
        <v>206</v>
      </c>
      <c r="BF3" s="64" t="s">
        <v>210</v>
      </c>
      <c r="BG3" s="64" t="s">
        <v>209</v>
      </c>
      <c r="BH3" s="64" t="s">
        <v>214</v>
      </c>
      <c r="BI3" s="64" t="s">
        <v>232</v>
      </c>
      <c r="BJ3" s="109" t="s">
        <v>273</v>
      </c>
      <c r="BK3" s="109" t="s">
        <v>274</v>
      </c>
      <c r="BL3" s="109" t="s">
        <v>275</v>
      </c>
      <c r="BM3" s="109" t="s">
        <v>287</v>
      </c>
      <c r="BN3" s="109" t="s">
        <v>288</v>
      </c>
      <c r="BO3" s="109" t="s">
        <v>291</v>
      </c>
      <c r="BP3" s="109" t="s">
        <v>289</v>
      </c>
      <c r="BQ3" s="109" t="s">
        <v>308</v>
      </c>
      <c r="BR3" s="109" t="s">
        <v>290</v>
      </c>
      <c r="BS3" s="64" t="s">
        <v>238</v>
      </c>
      <c r="BT3"/>
      <c r="BU3"/>
      <c r="BV3"/>
      <c r="BW3"/>
      <c r="BX3"/>
      <c r="BY3"/>
      <c r="BZ3"/>
      <c r="CA3"/>
      <c r="CB3"/>
      <c r="CC3"/>
      <c r="CD3"/>
      <c r="CE3"/>
      <c r="CF3"/>
      <c r="CG3"/>
      <c r="CH3"/>
      <c r="CI3"/>
      <c r="CJ3"/>
      <c r="CK3"/>
      <c r="CL3"/>
      <c r="CM3"/>
      <c r="CN3"/>
      <c r="CO3"/>
      <c r="CP3"/>
      <c r="CQ3"/>
      <c r="CR3"/>
    </row>
    <row r="4" spans="1:96" x14ac:dyDescent="0.2">
      <c r="A4" s="99">
        <v>1</v>
      </c>
      <c r="B4" s="102"/>
      <c r="C4" s="73"/>
      <c r="D4" s="73"/>
      <c r="E4" s="73"/>
      <c r="F4" s="101"/>
      <c r="G4" s="73"/>
      <c r="H4" s="73"/>
      <c r="I4" s="73"/>
      <c r="J4" s="103"/>
      <c r="K4" s="73"/>
      <c r="L4" s="73"/>
      <c r="M4" s="73"/>
      <c r="N4" s="73"/>
      <c r="O4" s="103"/>
      <c r="P4" s="102"/>
      <c r="Q4" s="102"/>
      <c r="R4" s="171"/>
      <c r="S4" s="171"/>
      <c r="T4" s="103"/>
      <c r="U4" s="102"/>
      <c r="V4" s="73"/>
      <c r="W4" s="73"/>
      <c r="X4" s="73"/>
      <c r="Y4" s="73"/>
      <c r="Z4" s="73"/>
      <c r="AA4" s="73"/>
      <c r="AB4" s="73"/>
      <c r="AC4" s="104"/>
      <c r="AD4" s="102"/>
      <c r="AE4" s="102"/>
      <c r="AF4" s="73"/>
      <c r="AG4" s="73"/>
      <c r="AH4" s="73"/>
      <c r="AI4" s="73"/>
      <c r="AJ4" s="73"/>
      <c r="AK4" s="73"/>
      <c r="AL4" s="73"/>
      <c r="AM4" s="73"/>
      <c r="AN4" s="73"/>
      <c r="AO4" s="73"/>
      <c r="AP4" s="73"/>
      <c r="AQ4" s="73"/>
      <c r="AR4" s="73"/>
      <c r="AS4" s="73"/>
      <c r="AT4" s="73"/>
      <c r="AU4" s="73"/>
      <c r="AV4" s="73"/>
      <c r="AW4" s="73"/>
      <c r="AX4" s="73" t="s">
        <v>392</v>
      </c>
      <c r="AY4" s="73">
        <v>0</v>
      </c>
      <c r="AZ4" s="73">
        <v>1</v>
      </c>
      <c r="BA4" s="188"/>
      <c r="BB4" s="73">
        <v>12</v>
      </c>
      <c r="BC4" s="73"/>
      <c r="BD4" s="73"/>
      <c r="BE4" s="73"/>
      <c r="BF4" s="73"/>
      <c r="BG4" s="73"/>
      <c r="BH4" s="73"/>
      <c r="BI4" s="73"/>
      <c r="BJ4" s="73"/>
      <c r="BK4" s="73"/>
      <c r="BL4" s="73"/>
      <c r="BM4" s="73"/>
      <c r="BN4" s="73"/>
      <c r="BO4" s="177"/>
      <c r="BP4" s="73"/>
      <c r="BQ4" s="73"/>
      <c r="BR4" s="73"/>
      <c r="BS4" s="73"/>
      <c r="BT4" s="59"/>
      <c r="BU4" s="59"/>
      <c r="BV4" s="59"/>
      <c r="BW4" s="59"/>
      <c r="BX4" s="59"/>
      <c r="BY4" s="59"/>
      <c r="BZ4" s="59"/>
      <c r="CA4" s="59"/>
      <c r="CB4" s="59"/>
      <c r="CC4" s="59"/>
      <c r="CD4" s="59"/>
      <c r="CE4" s="59"/>
      <c r="CF4" s="59"/>
      <c r="CG4" s="59"/>
      <c r="CH4" s="59"/>
      <c r="CI4" s="59"/>
      <c r="CJ4" s="59"/>
      <c r="CK4" s="59"/>
      <c r="CL4" s="59"/>
      <c r="CM4" s="59"/>
      <c r="CN4" s="59"/>
      <c r="CO4" s="59"/>
      <c r="CP4" s="59"/>
      <c r="CQ4" s="59"/>
    </row>
    <row r="5" spans="1:96" x14ac:dyDescent="0.2">
      <c r="A5" s="99"/>
      <c r="B5" s="100"/>
      <c r="C5" s="73"/>
      <c r="D5" s="73"/>
      <c r="E5" s="73"/>
      <c r="F5" s="101"/>
      <c r="G5" s="73"/>
      <c r="H5" s="73"/>
      <c r="I5" s="73"/>
      <c r="J5" s="73"/>
      <c r="K5" s="73"/>
      <c r="L5" s="73"/>
      <c r="M5" s="73"/>
      <c r="N5" s="73"/>
      <c r="O5" s="73"/>
      <c r="P5" s="102"/>
      <c r="Q5" s="102"/>
      <c r="R5" s="102"/>
      <c r="S5" s="103"/>
      <c r="T5" s="102"/>
      <c r="U5" s="73"/>
      <c r="V5" s="73"/>
      <c r="W5" s="73"/>
      <c r="X5" s="73"/>
      <c r="Y5" s="73"/>
      <c r="Z5" s="73"/>
      <c r="AA5" s="73"/>
      <c r="AB5" s="104"/>
      <c r="AC5" s="102"/>
      <c r="AD5" s="102"/>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3"/>
      <c r="BJ5" s="73"/>
      <c r="BK5" s="73"/>
      <c r="BL5" s="73"/>
      <c r="BM5" s="73"/>
      <c r="BN5" s="73"/>
      <c r="BO5" s="73"/>
      <c r="BP5" s="73"/>
      <c r="BQ5" s="73"/>
      <c r="BR5" s="73"/>
      <c r="BT5" s="59"/>
      <c r="BU5" s="59"/>
      <c r="BV5" s="59"/>
      <c r="BW5" s="59"/>
      <c r="BX5" s="59"/>
      <c r="BY5" s="59"/>
      <c r="BZ5" s="59"/>
      <c r="CA5" s="59"/>
      <c r="CB5" s="59"/>
      <c r="CC5" s="59"/>
      <c r="CD5" s="59"/>
      <c r="CE5" s="59"/>
      <c r="CF5" s="59"/>
      <c r="CG5" s="59"/>
      <c r="CH5" s="59"/>
      <c r="CI5" s="59"/>
      <c r="CJ5" s="59"/>
      <c r="CK5" s="59"/>
      <c r="CL5" s="59"/>
      <c r="CM5" s="59"/>
      <c r="CN5" s="59"/>
      <c r="CO5" s="59"/>
      <c r="CP5" s="59"/>
      <c r="CQ5" s="59"/>
    </row>
    <row r="6" spans="1:96" x14ac:dyDescent="0.2">
      <c r="A6" s="99"/>
      <c r="B6" s="100"/>
      <c r="C6" s="73"/>
      <c r="D6" s="73"/>
      <c r="E6" s="73"/>
      <c r="F6" s="101"/>
      <c r="G6" s="73"/>
      <c r="H6" s="73"/>
      <c r="I6" s="73"/>
      <c r="J6" s="73"/>
      <c r="K6" s="73"/>
      <c r="L6" s="73"/>
      <c r="M6" s="73"/>
      <c r="N6" s="73"/>
      <c r="O6" s="73"/>
      <c r="P6" s="102"/>
      <c r="Q6" s="102"/>
      <c r="R6" s="102"/>
      <c r="S6" s="103"/>
      <c r="T6" s="102"/>
      <c r="U6" s="73"/>
      <c r="V6" s="73"/>
      <c r="W6" s="73"/>
      <c r="X6" s="73"/>
      <c r="Y6" s="73"/>
      <c r="Z6" s="73"/>
      <c r="AA6" s="73"/>
      <c r="AB6" s="104"/>
      <c r="AC6" s="102"/>
      <c r="AD6" s="102"/>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T6" s="59"/>
      <c r="BU6" s="59"/>
      <c r="BV6" s="59"/>
      <c r="BW6" s="59"/>
      <c r="BX6" s="59"/>
      <c r="BY6" s="59"/>
      <c r="BZ6" s="59"/>
      <c r="CA6" s="59"/>
      <c r="CB6" s="59"/>
      <c r="CC6" s="59"/>
      <c r="CD6" s="59"/>
      <c r="CE6" s="59"/>
      <c r="CF6" s="59"/>
      <c r="CG6" s="59"/>
      <c r="CH6" s="59"/>
      <c r="CI6" s="59"/>
      <c r="CJ6" s="59"/>
      <c r="CK6" s="59"/>
      <c r="CL6" s="59"/>
      <c r="CM6" s="59"/>
      <c r="CN6" s="59"/>
      <c r="CO6" s="59"/>
      <c r="CP6" s="59"/>
      <c r="CQ6" s="59"/>
    </row>
    <row r="7" spans="1:96" x14ac:dyDescent="0.2">
      <c r="A7" s="99"/>
      <c r="B7" s="100"/>
      <c r="C7" s="73"/>
      <c r="D7" s="73"/>
      <c r="E7" s="73"/>
      <c r="F7" s="101"/>
      <c r="G7" s="73"/>
      <c r="H7" s="73"/>
      <c r="I7" s="73"/>
      <c r="J7" s="73"/>
      <c r="K7" s="73"/>
      <c r="L7" s="73"/>
      <c r="M7" s="73"/>
      <c r="N7" s="73"/>
      <c r="O7" s="73"/>
      <c r="P7" s="102"/>
      <c r="Q7" s="102"/>
      <c r="R7" s="102"/>
      <c r="S7" s="103"/>
      <c r="T7" s="102"/>
      <c r="U7" s="73"/>
      <c r="V7" s="73"/>
      <c r="W7" s="73"/>
      <c r="X7" s="73"/>
      <c r="Y7" s="73"/>
      <c r="Z7" s="73"/>
      <c r="AA7" s="73"/>
      <c r="AB7" s="104"/>
      <c r="AC7" s="102"/>
      <c r="AD7" s="102"/>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T7" s="59"/>
      <c r="BU7" s="59"/>
      <c r="BV7" s="59"/>
      <c r="BW7" s="59"/>
      <c r="BX7" s="59"/>
      <c r="BY7" s="59"/>
      <c r="BZ7" s="59"/>
      <c r="CA7" s="59"/>
      <c r="CB7" s="59"/>
      <c r="CC7" s="59"/>
      <c r="CD7" s="59"/>
      <c r="CE7" s="59"/>
      <c r="CF7" s="59"/>
      <c r="CG7" s="59"/>
      <c r="CH7" s="59"/>
      <c r="CI7" s="59"/>
      <c r="CJ7" s="59"/>
      <c r="CK7" s="59"/>
      <c r="CL7" s="59"/>
      <c r="CM7" s="59"/>
      <c r="CN7" s="59"/>
      <c r="CO7" s="59"/>
      <c r="CP7" s="59"/>
      <c r="CQ7" s="59"/>
    </row>
    <row r="8" spans="1:96" x14ac:dyDescent="0.2">
      <c r="A8" s="99"/>
      <c r="B8" s="100"/>
      <c r="C8" s="73"/>
      <c r="D8" s="73"/>
      <c r="E8" s="73"/>
      <c r="F8" s="101"/>
      <c r="G8" s="73"/>
      <c r="H8" s="73"/>
      <c r="I8" s="73"/>
      <c r="J8" s="73"/>
      <c r="K8" s="73"/>
      <c r="L8" s="73"/>
      <c r="M8" s="73"/>
      <c r="N8" s="73"/>
      <c r="O8" s="73"/>
      <c r="P8" s="102"/>
      <c r="Q8" s="102"/>
      <c r="R8" s="102"/>
      <c r="S8" s="103"/>
      <c r="T8" s="102"/>
      <c r="U8" s="73"/>
      <c r="V8" s="73"/>
      <c r="W8" s="73"/>
      <c r="X8" s="73"/>
      <c r="Y8" s="73"/>
      <c r="Z8" s="73"/>
      <c r="AA8" s="73"/>
      <c r="AB8" s="104"/>
      <c r="AC8" s="102"/>
      <c r="AD8" s="102"/>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T8" s="59"/>
      <c r="BU8" s="59"/>
      <c r="BV8" s="59"/>
      <c r="BW8" s="59"/>
      <c r="BX8" s="59"/>
      <c r="BY8" s="59"/>
      <c r="BZ8" s="59"/>
      <c r="CA8" s="59"/>
      <c r="CB8" s="59"/>
      <c r="CC8" s="59"/>
      <c r="CD8" s="59"/>
      <c r="CE8" s="59"/>
      <c r="CF8" s="59"/>
      <c r="CG8" s="59"/>
      <c r="CH8" s="59"/>
      <c r="CI8" s="59"/>
      <c r="CJ8" s="59"/>
      <c r="CK8" s="59"/>
      <c r="CL8" s="59"/>
      <c r="CM8" s="59"/>
      <c r="CN8" s="59"/>
      <c r="CO8" s="59"/>
      <c r="CP8" s="59"/>
      <c r="CQ8" s="59"/>
    </row>
    <row r="9" spans="1:96" x14ac:dyDescent="0.2">
      <c r="A9" s="99"/>
      <c r="B9" s="100"/>
      <c r="C9" s="73"/>
      <c r="D9" s="73"/>
      <c r="E9" s="73"/>
      <c r="F9" s="101"/>
      <c r="G9" s="73"/>
      <c r="H9" s="73"/>
      <c r="I9" s="73"/>
      <c r="J9" s="73"/>
      <c r="K9" s="73"/>
      <c r="L9" s="73"/>
      <c r="M9" s="73"/>
      <c r="N9" s="73"/>
      <c r="O9" s="73"/>
      <c r="P9" s="102"/>
      <c r="Q9" s="102"/>
      <c r="R9" s="102"/>
      <c r="S9" s="103"/>
      <c r="T9" s="102"/>
      <c r="U9" s="73"/>
      <c r="V9" s="73"/>
      <c r="W9" s="73"/>
      <c r="X9" s="73"/>
      <c r="Y9" s="73"/>
      <c r="Z9" s="73"/>
      <c r="AA9" s="73"/>
      <c r="AB9" s="104"/>
      <c r="AC9" s="102"/>
      <c r="AD9" s="102"/>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row>
    <row r="10" spans="1:96" x14ac:dyDescent="0.2">
      <c r="A10" s="99"/>
      <c r="B10" s="100"/>
      <c r="C10" s="73"/>
      <c r="D10" s="73"/>
      <c r="E10" s="73"/>
      <c r="F10" s="101"/>
      <c r="G10" s="73"/>
      <c r="H10" s="73"/>
      <c r="I10" s="73"/>
      <c r="J10" s="73"/>
      <c r="K10" s="73"/>
      <c r="L10" s="73"/>
      <c r="M10" s="73"/>
      <c r="N10" s="73"/>
      <c r="O10" s="73"/>
      <c r="P10" s="102"/>
      <c r="Q10" s="102"/>
      <c r="R10" s="102"/>
      <c r="S10" s="103"/>
      <c r="T10" s="102"/>
      <c r="U10" s="73"/>
      <c r="V10" s="73"/>
      <c r="W10" s="73"/>
      <c r="X10" s="73"/>
      <c r="Y10" s="73"/>
      <c r="Z10" s="73"/>
      <c r="AA10" s="73"/>
      <c r="AB10" s="104"/>
      <c r="AC10" s="102"/>
      <c r="AD10" s="102"/>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row>
    <row r="11" spans="1:96" x14ac:dyDescent="0.2">
      <c r="A11" s="99"/>
      <c r="B11" s="100"/>
      <c r="C11" s="73"/>
      <c r="D11" s="73"/>
      <c r="E11" s="73"/>
      <c r="F11" s="101"/>
      <c r="G11" s="73"/>
      <c r="H11" s="73"/>
      <c r="I11" s="73"/>
      <c r="J11" s="73"/>
      <c r="K11" s="73"/>
      <c r="L11" s="73"/>
      <c r="M11" s="73"/>
      <c r="N11" s="73"/>
      <c r="O11" s="73"/>
      <c r="P11" s="102"/>
      <c r="Q11" s="102"/>
      <c r="R11" s="102"/>
      <c r="S11" s="103"/>
      <c r="T11" s="102"/>
      <c r="U11" s="73"/>
      <c r="V11" s="73"/>
      <c r="W11" s="73"/>
      <c r="X11" s="73"/>
      <c r="Y11" s="73"/>
      <c r="Z11" s="73"/>
      <c r="AA11" s="73"/>
      <c r="AB11" s="104"/>
      <c r="AC11" s="102"/>
      <c r="AD11" s="102"/>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row>
    <row r="12" spans="1:96" x14ac:dyDescent="0.2">
      <c r="A12" s="99"/>
      <c r="B12" s="100"/>
      <c r="C12" s="73"/>
      <c r="D12" s="73"/>
      <c r="E12" s="73"/>
      <c r="F12" s="101"/>
      <c r="G12" s="73"/>
      <c r="H12" s="73"/>
      <c r="I12" s="73"/>
      <c r="J12" s="73"/>
      <c r="K12" s="73"/>
      <c r="L12" s="73"/>
      <c r="M12" s="73"/>
      <c r="N12" s="73"/>
      <c r="O12" s="73"/>
      <c r="P12" s="102"/>
      <c r="Q12" s="102"/>
      <c r="R12" s="102"/>
      <c r="S12" s="103"/>
      <c r="T12" s="102"/>
      <c r="U12" s="73"/>
      <c r="V12" s="73"/>
      <c r="W12" s="73"/>
      <c r="X12" s="73"/>
      <c r="Y12" s="73"/>
      <c r="Z12" s="73"/>
      <c r="AA12" s="73"/>
      <c r="AB12" s="104"/>
      <c r="AC12" s="102"/>
      <c r="AD12" s="102"/>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row>
    <row r="13" spans="1:96" x14ac:dyDescent="0.2">
      <c r="A13" s="99"/>
      <c r="B13" s="100"/>
      <c r="C13" s="73"/>
      <c r="D13" s="73"/>
      <c r="E13" s="73"/>
      <c r="F13" s="101"/>
      <c r="G13" s="73"/>
      <c r="H13" s="73"/>
      <c r="I13" s="73"/>
      <c r="J13" s="73"/>
      <c r="K13" s="73"/>
      <c r="L13" s="73"/>
      <c r="M13" s="73"/>
      <c r="N13" s="73"/>
      <c r="O13" s="73"/>
      <c r="P13" s="102"/>
      <c r="Q13" s="102"/>
      <c r="R13" s="102"/>
      <c r="S13" s="103"/>
      <c r="T13" s="102"/>
      <c r="U13" s="73"/>
      <c r="V13" s="73"/>
      <c r="W13" s="73"/>
      <c r="X13" s="73"/>
      <c r="Y13" s="73"/>
      <c r="Z13" s="73"/>
      <c r="AA13" s="73"/>
      <c r="AB13" s="104"/>
      <c r="AC13" s="102"/>
      <c r="AD13" s="102"/>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row>
    <row r="14" spans="1:96" x14ac:dyDescent="0.2">
      <c r="A14" s="99"/>
      <c r="B14" s="100"/>
      <c r="C14" s="73"/>
      <c r="D14" s="73"/>
      <c r="E14" s="73"/>
      <c r="F14" s="101"/>
      <c r="G14" s="73"/>
      <c r="H14" s="73"/>
      <c r="I14" s="73"/>
      <c r="J14" s="73"/>
      <c r="K14" s="73"/>
      <c r="L14" s="73"/>
      <c r="M14" s="73"/>
      <c r="N14" s="73"/>
      <c r="O14" s="73"/>
      <c r="P14" s="102"/>
      <c r="Q14" s="102"/>
      <c r="R14" s="102"/>
      <c r="S14" s="103"/>
      <c r="T14" s="102"/>
      <c r="U14" s="73"/>
      <c r="V14" s="73"/>
      <c r="W14" s="73"/>
      <c r="X14" s="73"/>
      <c r="Y14" s="73"/>
      <c r="Z14" s="73"/>
      <c r="AA14" s="73"/>
      <c r="AB14" s="104"/>
      <c r="AC14" s="102"/>
      <c r="AD14" s="102"/>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row>
    <row r="15" spans="1:96" x14ac:dyDescent="0.2">
      <c r="A15" s="99"/>
      <c r="B15" s="100"/>
      <c r="C15" s="73"/>
      <c r="D15" s="73"/>
      <c r="E15" s="73"/>
      <c r="F15" s="101"/>
      <c r="G15" s="73"/>
      <c r="H15" s="73"/>
      <c r="I15" s="73"/>
      <c r="J15" s="73"/>
      <c r="K15" s="73"/>
      <c r="L15" s="73"/>
      <c r="M15" s="73"/>
      <c r="N15" s="73"/>
      <c r="O15" s="73"/>
      <c r="P15" s="102"/>
      <c r="Q15" s="102"/>
      <c r="R15" s="102"/>
      <c r="S15" s="103"/>
      <c r="T15" s="102"/>
      <c r="U15" s="73"/>
      <c r="V15" s="73"/>
      <c r="W15" s="73"/>
      <c r="X15" s="73"/>
      <c r="Y15" s="73"/>
      <c r="Z15" s="73"/>
      <c r="AA15" s="73"/>
      <c r="AB15" s="104"/>
      <c r="AC15" s="102"/>
      <c r="AD15" s="102"/>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row>
    <row r="16" spans="1:96" x14ac:dyDescent="0.2">
      <c r="A16" s="99"/>
      <c r="B16" s="100"/>
      <c r="C16" s="73"/>
      <c r="D16" s="73"/>
      <c r="E16" s="73"/>
      <c r="F16" s="101"/>
      <c r="G16" s="73"/>
      <c r="H16" s="73"/>
      <c r="I16" s="73"/>
      <c r="J16" s="73"/>
      <c r="K16" s="73"/>
      <c r="L16" s="73"/>
      <c r="M16" s="73"/>
      <c r="N16" s="73"/>
      <c r="O16" s="73"/>
      <c r="P16" s="102"/>
      <c r="Q16" s="102"/>
      <c r="R16" s="102"/>
      <c r="S16" s="103"/>
      <c r="T16" s="102"/>
      <c r="U16" s="73"/>
      <c r="V16" s="73"/>
      <c r="W16" s="73"/>
      <c r="X16" s="73"/>
      <c r="Y16" s="73"/>
      <c r="Z16" s="73"/>
      <c r="AA16" s="73"/>
      <c r="AB16" s="104"/>
      <c r="AC16" s="102"/>
      <c r="AD16" s="102"/>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row>
    <row r="17" spans="1:70" x14ac:dyDescent="0.2">
      <c r="A17" s="99"/>
      <c r="B17" s="100"/>
      <c r="C17" s="73"/>
      <c r="D17" s="73"/>
      <c r="E17" s="73"/>
      <c r="F17" s="101"/>
      <c r="G17" s="73"/>
      <c r="H17" s="73"/>
      <c r="I17" s="73"/>
      <c r="J17" s="73"/>
      <c r="K17" s="73"/>
      <c r="L17" s="73"/>
      <c r="M17" s="73"/>
      <c r="N17" s="73"/>
      <c r="O17" s="73"/>
      <c r="P17" s="102"/>
      <c r="Q17" s="102"/>
      <c r="R17" s="102"/>
      <c r="S17" s="103"/>
      <c r="T17" s="102"/>
      <c r="U17" s="73"/>
      <c r="V17" s="73"/>
      <c r="W17" s="73"/>
      <c r="X17" s="73"/>
      <c r="Y17" s="73"/>
      <c r="Z17" s="73"/>
      <c r="AA17" s="73"/>
      <c r="AB17" s="104"/>
      <c r="AC17" s="102"/>
      <c r="AD17" s="102"/>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row>
    <row r="18" spans="1:70" x14ac:dyDescent="0.2">
      <c r="A18" s="99"/>
      <c r="B18" s="100"/>
      <c r="C18" s="73"/>
      <c r="D18" s="73"/>
      <c r="E18" s="73"/>
      <c r="F18" s="101"/>
      <c r="G18" s="73"/>
      <c r="H18" s="73"/>
      <c r="I18" s="73"/>
      <c r="J18" s="73"/>
      <c r="K18" s="73"/>
      <c r="L18" s="73"/>
      <c r="M18" s="73"/>
      <c r="N18" s="73"/>
      <c r="O18" s="73"/>
      <c r="P18" s="102"/>
      <c r="Q18" s="102"/>
      <c r="R18" s="102"/>
      <c r="S18" s="103"/>
      <c r="T18" s="102"/>
      <c r="U18" s="73"/>
      <c r="V18" s="73"/>
      <c r="W18" s="73"/>
      <c r="X18" s="73"/>
      <c r="Y18" s="73"/>
      <c r="Z18" s="73"/>
      <c r="AA18" s="73"/>
      <c r="AB18" s="104"/>
      <c r="AC18" s="102"/>
      <c r="AD18" s="102"/>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row>
    <row r="19" spans="1:70" x14ac:dyDescent="0.2">
      <c r="A19" s="99"/>
      <c r="B19" s="100"/>
      <c r="C19" s="73"/>
      <c r="D19" s="73"/>
      <c r="E19" s="73"/>
      <c r="F19" s="101"/>
      <c r="G19" s="73"/>
      <c r="H19" s="73"/>
      <c r="I19" s="73"/>
      <c r="J19" s="73"/>
      <c r="K19" s="73"/>
      <c r="L19" s="73"/>
      <c r="M19" s="73"/>
      <c r="N19" s="73"/>
      <c r="O19" s="73"/>
      <c r="P19" s="102"/>
      <c r="Q19" s="102"/>
      <c r="R19" s="102"/>
      <c r="S19" s="103"/>
      <c r="T19" s="102"/>
      <c r="U19" s="73"/>
      <c r="V19" s="73"/>
      <c r="W19" s="73"/>
      <c r="X19" s="73"/>
      <c r="Y19" s="73"/>
      <c r="Z19" s="73"/>
      <c r="AA19" s="73"/>
      <c r="AB19" s="104"/>
      <c r="AC19" s="102"/>
      <c r="AD19" s="102"/>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row>
    <row r="20" spans="1:70" x14ac:dyDescent="0.2">
      <c r="A20" s="99"/>
      <c r="B20" s="100"/>
      <c r="C20" s="73"/>
      <c r="D20" s="73"/>
      <c r="E20" s="73"/>
      <c r="F20" s="101"/>
      <c r="G20" s="73"/>
      <c r="H20" s="73"/>
      <c r="I20" s="73"/>
      <c r="J20" s="73"/>
      <c r="K20" s="73"/>
      <c r="L20" s="73"/>
      <c r="M20" s="73"/>
      <c r="N20" s="73"/>
      <c r="O20" s="73"/>
      <c r="P20" s="102"/>
      <c r="Q20" s="102"/>
      <c r="R20" s="102"/>
      <c r="S20" s="103"/>
      <c r="T20" s="102"/>
      <c r="U20" s="73"/>
      <c r="V20" s="73"/>
      <c r="W20" s="73"/>
      <c r="X20" s="73"/>
      <c r="Y20" s="73"/>
      <c r="Z20" s="73"/>
      <c r="AA20" s="73"/>
      <c r="AB20" s="104"/>
      <c r="AC20" s="102"/>
      <c r="AD20" s="102"/>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row>
    <row r="21" spans="1:70" x14ac:dyDescent="0.2">
      <c r="A21" s="99"/>
      <c r="B21" s="100"/>
      <c r="C21" s="73"/>
      <c r="D21" s="73"/>
      <c r="E21" s="73"/>
      <c r="F21" s="101"/>
      <c r="G21" s="73"/>
      <c r="H21" s="73"/>
      <c r="I21" s="73"/>
      <c r="J21" s="73"/>
      <c r="K21" s="73"/>
      <c r="L21" s="73"/>
      <c r="M21" s="73"/>
      <c r="N21" s="73"/>
      <c r="O21" s="73"/>
      <c r="P21" s="102"/>
      <c r="Q21" s="102"/>
      <c r="R21" s="102"/>
      <c r="S21" s="103"/>
      <c r="T21" s="102"/>
      <c r="U21" s="73"/>
      <c r="V21" s="73"/>
      <c r="W21" s="73"/>
      <c r="X21" s="73"/>
      <c r="Y21" s="73"/>
      <c r="Z21" s="73"/>
      <c r="AA21" s="73"/>
      <c r="AB21" s="104"/>
      <c r="AC21" s="102"/>
      <c r="AD21" s="102"/>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row>
    <row r="22" spans="1:70" x14ac:dyDescent="0.2">
      <c r="A22" s="99"/>
      <c r="B22" s="100"/>
      <c r="C22" s="73"/>
      <c r="D22" s="73"/>
      <c r="E22" s="73"/>
      <c r="F22" s="101"/>
      <c r="G22" s="73"/>
      <c r="H22" s="73"/>
      <c r="I22" s="73"/>
      <c r="J22" s="73"/>
      <c r="K22" s="73"/>
      <c r="L22" s="73"/>
      <c r="M22" s="73"/>
      <c r="N22" s="73"/>
      <c r="O22" s="73"/>
      <c r="P22" s="102"/>
      <c r="Q22" s="102"/>
      <c r="R22" s="102"/>
      <c r="S22" s="103"/>
      <c r="T22" s="102"/>
      <c r="U22" s="73"/>
      <c r="V22" s="73"/>
      <c r="W22" s="73"/>
      <c r="X22" s="73"/>
      <c r="Y22" s="73"/>
      <c r="Z22" s="73"/>
      <c r="AA22" s="73"/>
      <c r="AB22" s="104"/>
      <c r="AC22" s="102"/>
      <c r="AD22" s="102"/>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row>
    <row r="23" spans="1:70" x14ac:dyDescent="0.2">
      <c r="A23" s="99"/>
      <c r="B23" s="100"/>
      <c r="C23" s="73"/>
      <c r="D23" s="73"/>
      <c r="E23" s="73"/>
      <c r="F23" s="101"/>
      <c r="G23" s="73"/>
      <c r="H23" s="73"/>
      <c r="I23" s="73"/>
      <c r="J23" s="73"/>
      <c r="K23" s="73"/>
      <c r="L23" s="73"/>
      <c r="M23" s="73"/>
      <c r="N23" s="73"/>
      <c r="O23" s="73"/>
      <c r="P23" s="102"/>
      <c r="Q23" s="102"/>
      <c r="R23" s="102"/>
      <c r="S23" s="103"/>
      <c r="T23" s="102"/>
      <c r="U23" s="73"/>
      <c r="V23" s="73"/>
      <c r="W23" s="73"/>
      <c r="X23" s="73"/>
      <c r="Y23" s="73"/>
      <c r="Z23" s="73"/>
      <c r="AA23" s="73"/>
      <c r="AB23" s="104"/>
      <c r="AC23" s="102"/>
      <c r="AD23" s="102"/>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row>
    <row r="24" spans="1:70" x14ac:dyDescent="0.2">
      <c r="AA24" s="61"/>
      <c r="AB24" s="61"/>
      <c r="AC24" s="61"/>
      <c r="AE24" s="61"/>
    </row>
    <row r="25" spans="1:70" x14ac:dyDescent="0.2">
      <c r="AA25" s="61"/>
      <c r="AB25" s="61"/>
      <c r="AC25" s="61"/>
      <c r="AE25" s="61"/>
    </row>
    <row r="26" spans="1:70" x14ac:dyDescent="0.2">
      <c r="AA26" s="61"/>
      <c r="AB26" s="61"/>
      <c r="AC26" s="61"/>
      <c r="AE26" s="61"/>
    </row>
    <row r="27" spans="1:70" x14ac:dyDescent="0.2">
      <c r="AA27" s="61"/>
      <c r="AB27" s="61"/>
      <c r="AC27" s="61"/>
      <c r="AE27" s="61"/>
    </row>
    <row r="28" spans="1:70" x14ac:dyDescent="0.2">
      <c r="AA28" s="61"/>
      <c r="AB28" s="61"/>
      <c r="AC28" s="61"/>
      <c r="AE28" s="61"/>
    </row>
    <row r="29" spans="1:70" x14ac:dyDescent="0.2">
      <c r="AA29" s="61"/>
      <c r="AB29" s="61"/>
      <c r="AC29" s="61"/>
      <c r="AE29" s="61"/>
    </row>
    <row r="30" spans="1:70" x14ac:dyDescent="0.2">
      <c r="AA30" s="61"/>
      <c r="AB30" s="61"/>
      <c r="AC30" s="61"/>
      <c r="AE30" s="61"/>
    </row>
    <row r="31" spans="1:70" x14ac:dyDescent="0.2">
      <c r="AA31" s="61"/>
      <c r="AB31" s="61"/>
      <c r="AC31" s="61"/>
      <c r="AE31" s="61"/>
    </row>
    <row r="32" spans="1:70" x14ac:dyDescent="0.2">
      <c r="AA32" s="61"/>
      <c r="AB32" s="61"/>
      <c r="AC32" s="61"/>
      <c r="AE32" s="61"/>
    </row>
    <row r="33" spans="27:31" x14ac:dyDescent="0.2">
      <c r="AA33" s="61"/>
      <c r="AB33" s="61"/>
      <c r="AC33" s="61"/>
      <c r="AE33" s="61"/>
    </row>
    <row r="34" spans="27:31" x14ac:dyDescent="0.2">
      <c r="AA34" s="61"/>
      <c r="AB34" s="61"/>
      <c r="AC34" s="61"/>
      <c r="AE34" s="61"/>
    </row>
    <row r="35" spans="27:31" x14ac:dyDescent="0.2">
      <c r="AA35" s="61"/>
      <c r="AB35" s="61"/>
      <c r="AC35" s="61"/>
      <c r="AE35" s="61"/>
    </row>
    <row r="36" spans="27:31" x14ac:dyDescent="0.2">
      <c r="AA36" s="61"/>
      <c r="AB36" s="61"/>
      <c r="AC36" s="61"/>
      <c r="AE36" s="61"/>
    </row>
    <row r="37" spans="27:31" x14ac:dyDescent="0.2">
      <c r="AA37" s="61"/>
      <c r="AB37" s="61"/>
      <c r="AC37" s="61"/>
      <c r="AE37" s="61"/>
    </row>
    <row r="38" spans="27:31" x14ac:dyDescent="0.2">
      <c r="AA38" s="61"/>
      <c r="AB38" s="61"/>
      <c r="AC38" s="61"/>
      <c r="AE38" s="61"/>
    </row>
    <row r="39" spans="27:31" x14ac:dyDescent="0.2">
      <c r="AA39" s="61"/>
      <c r="AB39" s="61"/>
      <c r="AC39" s="61"/>
      <c r="AE39" s="61"/>
    </row>
    <row r="40" spans="27:31" x14ac:dyDescent="0.2">
      <c r="AA40" s="61"/>
      <c r="AB40" s="61"/>
      <c r="AC40" s="61"/>
      <c r="AE40" s="61"/>
    </row>
    <row r="41" spans="27:31" x14ac:dyDescent="0.2">
      <c r="AA41" s="61"/>
      <c r="AB41" s="61"/>
      <c r="AC41" s="61"/>
      <c r="AE41" s="61"/>
    </row>
    <row r="42" spans="27:31" x14ac:dyDescent="0.2">
      <c r="AA42" s="61"/>
      <c r="AB42" s="61"/>
      <c r="AC42" s="61"/>
      <c r="AE42" s="61"/>
    </row>
    <row r="43" spans="27:31" x14ac:dyDescent="0.2">
      <c r="AA43" s="61"/>
      <c r="AB43" s="61"/>
      <c r="AC43" s="61"/>
      <c r="AE43" s="61"/>
    </row>
    <row r="44" spans="27:31" x14ac:dyDescent="0.2">
      <c r="AA44" s="61"/>
      <c r="AB44" s="61"/>
      <c r="AC44" s="61"/>
      <c r="AE44" s="61"/>
    </row>
    <row r="45" spans="27:31" x14ac:dyDescent="0.2">
      <c r="AA45" s="61"/>
      <c r="AB45" s="61"/>
      <c r="AC45" s="61"/>
      <c r="AE45" s="61"/>
    </row>
    <row r="46" spans="27:31" x14ac:dyDescent="0.2">
      <c r="AA46" s="61"/>
      <c r="AB46" s="61"/>
      <c r="AC46" s="61"/>
      <c r="AE46" s="61"/>
    </row>
    <row r="47" spans="27:31" x14ac:dyDescent="0.2">
      <c r="AA47" s="61"/>
      <c r="AB47" s="61"/>
      <c r="AC47" s="61"/>
      <c r="AE47" s="61"/>
    </row>
    <row r="48" spans="27:31" x14ac:dyDescent="0.2">
      <c r="AA48" s="61"/>
      <c r="AB48" s="61"/>
      <c r="AC48" s="61"/>
      <c r="AE48" s="61"/>
    </row>
    <row r="49" spans="27:31" x14ac:dyDescent="0.2">
      <c r="AA49" s="61"/>
      <c r="AB49" s="61"/>
      <c r="AC49" s="61"/>
      <c r="AE49" s="61"/>
    </row>
    <row r="50" spans="27:31" x14ac:dyDescent="0.2">
      <c r="AA50" s="61"/>
      <c r="AB50" s="61"/>
      <c r="AC50" s="61"/>
      <c r="AE50" s="61"/>
    </row>
    <row r="51" spans="27:31" x14ac:dyDescent="0.2">
      <c r="AA51" s="61"/>
      <c r="AB51" s="61"/>
      <c r="AC51" s="61"/>
      <c r="AE51" s="61"/>
    </row>
    <row r="52" spans="27:31" x14ac:dyDescent="0.2">
      <c r="AA52" s="61"/>
      <c r="AB52" s="61"/>
      <c r="AC52" s="61"/>
      <c r="AE52" s="61"/>
    </row>
    <row r="53" spans="27:31" x14ac:dyDescent="0.2">
      <c r="AA53" s="61"/>
      <c r="AB53" s="61"/>
      <c r="AC53" s="61"/>
      <c r="AE53" s="61"/>
    </row>
    <row r="54" spans="27:31" x14ac:dyDescent="0.2">
      <c r="AA54" s="61"/>
      <c r="AB54" s="61"/>
      <c r="AC54" s="61"/>
      <c r="AE54" s="61"/>
    </row>
    <row r="55" spans="27:31" x14ac:dyDescent="0.2">
      <c r="AA55" s="61"/>
      <c r="AB55" s="61"/>
      <c r="AC55" s="61"/>
      <c r="AE55" s="61"/>
    </row>
    <row r="56" spans="27:31" x14ac:dyDescent="0.2">
      <c r="AA56" s="61"/>
      <c r="AB56" s="61"/>
      <c r="AC56" s="61"/>
      <c r="AE56" s="61"/>
    </row>
    <row r="57" spans="27:31" x14ac:dyDescent="0.2">
      <c r="AA57" s="61"/>
      <c r="AB57" s="61"/>
      <c r="AC57" s="61"/>
      <c r="AE57" s="61"/>
    </row>
    <row r="58" spans="27:31" x14ac:dyDescent="0.2">
      <c r="AA58" s="61"/>
      <c r="AB58" s="61"/>
      <c r="AC58" s="61"/>
      <c r="AE58" s="61"/>
    </row>
    <row r="59" spans="27:31" x14ac:dyDescent="0.2">
      <c r="AA59" s="61"/>
      <c r="AB59" s="61"/>
      <c r="AC59" s="61"/>
      <c r="AE59" s="61"/>
    </row>
    <row r="60" spans="27:31" x14ac:dyDescent="0.2">
      <c r="AA60" s="61"/>
      <c r="AB60" s="61"/>
      <c r="AC60" s="61"/>
      <c r="AE60" s="61"/>
    </row>
    <row r="61" spans="27:31" x14ac:dyDescent="0.2">
      <c r="AA61" s="61"/>
      <c r="AB61" s="61"/>
      <c r="AC61" s="61"/>
      <c r="AE61" s="61"/>
    </row>
    <row r="62" spans="27:31" x14ac:dyDescent="0.2">
      <c r="AA62" s="61"/>
      <c r="AB62" s="61"/>
      <c r="AC62" s="61"/>
      <c r="AE62" s="61"/>
    </row>
    <row r="63" spans="27:31" x14ac:dyDescent="0.2">
      <c r="AA63" s="61"/>
      <c r="AB63" s="61"/>
      <c r="AC63" s="61"/>
      <c r="AE63" s="61"/>
    </row>
    <row r="64" spans="27:31" x14ac:dyDescent="0.2">
      <c r="AA64" s="61"/>
      <c r="AB64" s="61"/>
      <c r="AC64" s="61"/>
      <c r="AE64" s="61"/>
    </row>
    <row r="65" spans="27:31" x14ac:dyDescent="0.2">
      <c r="AA65" s="61"/>
      <c r="AB65" s="61"/>
      <c r="AC65" s="61"/>
      <c r="AE65" s="61"/>
    </row>
    <row r="66" spans="27:31" x14ac:dyDescent="0.2">
      <c r="AA66" s="61"/>
      <c r="AB66" s="61"/>
      <c r="AC66" s="61"/>
      <c r="AE66" s="61"/>
    </row>
    <row r="67" spans="27:31" x14ac:dyDescent="0.2">
      <c r="AA67" s="61"/>
      <c r="AB67" s="61"/>
      <c r="AC67" s="61"/>
      <c r="AE67" s="61"/>
    </row>
    <row r="68" spans="27:31" x14ac:dyDescent="0.2">
      <c r="AA68" s="61"/>
      <c r="AB68" s="61"/>
      <c r="AC68" s="61"/>
      <c r="AE68" s="61"/>
    </row>
    <row r="69" spans="27:31" x14ac:dyDescent="0.2">
      <c r="AA69" s="61"/>
      <c r="AB69" s="61"/>
      <c r="AC69" s="61"/>
      <c r="AE69" s="61"/>
    </row>
    <row r="70" spans="27:31" x14ac:dyDescent="0.2">
      <c r="AA70" s="61"/>
      <c r="AB70" s="61"/>
      <c r="AC70" s="61"/>
      <c r="AE70" s="61"/>
    </row>
    <row r="71" spans="27:31" x14ac:dyDescent="0.2">
      <c r="AA71" s="61"/>
      <c r="AB71" s="61"/>
      <c r="AC71" s="61"/>
      <c r="AE71" s="61"/>
    </row>
    <row r="72" spans="27:31" x14ac:dyDescent="0.2">
      <c r="AA72" s="61"/>
      <c r="AB72" s="61"/>
      <c r="AC72" s="61"/>
      <c r="AE72" s="61"/>
    </row>
    <row r="73" spans="27:31" x14ac:dyDescent="0.2">
      <c r="AA73" s="61"/>
      <c r="AB73" s="61"/>
      <c r="AC73" s="61"/>
      <c r="AE73" s="61"/>
    </row>
    <row r="74" spans="27:31" x14ac:dyDescent="0.2">
      <c r="AA74" s="61"/>
      <c r="AB74" s="61"/>
      <c r="AC74" s="61"/>
      <c r="AE74" s="61"/>
    </row>
    <row r="75" spans="27:31" x14ac:dyDescent="0.2">
      <c r="AA75" s="61"/>
      <c r="AB75" s="61"/>
      <c r="AC75" s="61"/>
      <c r="AE75" s="61"/>
    </row>
    <row r="76" spans="27:31" x14ac:dyDescent="0.2">
      <c r="AA76" s="61"/>
      <c r="AB76" s="61"/>
      <c r="AC76" s="61"/>
      <c r="AE76" s="61"/>
    </row>
    <row r="77" spans="27:31" x14ac:dyDescent="0.2">
      <c r="AA77" s="61"/>
      <c r="AB77" s="61"/>
      <c r="AC77" s="61"/>
      <c r="AE77" s="61"/>
    </row>
    <row r="78" spans="27:31" x14ac:dyDescent="0.2">
      <c r="AA78" s="61"/>
      <c r="AB78" s="61"/>
      <c r="AC78" s="61"/>
      <c r="AE78" s="61"/>
    </row>
    <row r="79" spans="27:31" x14ac:dyDescent="0.2">
      <c r="AA79" s="61"/>
      <c r="AB79" s="61"/>
      <c r="AC79" s="61"/>
      <c r="AE79" s="61"/>
    </row>
    <row r="80" spans="27:31" x14ac:dyDescent="0.2">
      <c r="AA80" s="61"/>
      <c r="AB80" s="61"/>
      <c r="AC80" s="61"/>
      <c r="AE80" s="61"/>
    </row>
    <row r="81" spans="27:31" x14ac:dyDescent="0.2">
      <c r="AA81" s="61"/>
      <c r="AB81" s="61"/>
      <c r="AC81" s="61"/>
      <c r="AE81" s="61"/>
    </row>
    <row r="82" spans="27:31" x14ac:dyDescent="0.2">
      <c r="AA82" s="61"/>
      <c r="AB82" s="61"/>
      <c r="AC82" s="61"/>
      <c r="AE82" s="61"/>
    </row>
    <row r="83" spans="27:31" x14ac:dyDescent="0.2">
      <c r="AA83" s="61"/>
      <c r="AB83" s="61"/>
      <c r="AC83" s="61"/>
      <c r="AE83" s="61"/>
    </row>
    <row r="84" spans="27:31" x14ac:dyDescent="0.2">
      <c r="AA84" s="61"/>
      <c r="AB84" s="61"/>
      <c r="AC84" s="61"/>
      <c r="AE84" s="61"/>
    </row>
    <row r="85" spans="27:31" x14ac:dyDescent="0.2">
      <c r="AA85" s="61"/>
      <c r="AB85" s="61"/>
      <c r="AC85" s="61"/>
      <c r="AE85" s="61"/>
    </row>
    <row r="86" spans="27:31" x14ac:dyDescent="0.2">
      <c r="AA86" s="61"/>
      <c r="AB86" s="61"/>
      <c r="AC86" s="61"/>
      <c r="AE86" s="61"/>
    </row>
    <row r="87" spans="27:31" x14ac:dyDescent="0.2">
      <c r="AA87" s="61"/>
      <c r="AB87" s="61"/>
      <c r="AC87" s="61"/>
      <c r="AE87" s="61"/>
    </row>
    <row r="88" spans="27:31" x14ac:dyDescent="0.2">
      <c r="AA88" s="61"/>
      <c r="AB88" s="61"/>
      <c r="AC88" s="61"/>
      <c r="AE88" s="61"/>
    </row>
    <row r="89" spans="27:31" x14ac:dyDescent="0.2">
      <c r="AA89" s="61"/>
      <c r="AB89" s="61"/>
      <c r="AC89" s="61"/>
      <c r="AE89" s="61"/>
    </row>
    <row r="90" spans="27:31" x14ac:dyDescent="0.2">
      <c r="AA90" s="61"/>
      <c r="AB90" s="61"/>
      <c r="AC90" s="61"/>
      <c r="AE90" s="61"/>
    </row>
    <row r="91" spans="27:31" x14ac:dyDescent="0.2">
      <c r="AA91" s="61"/>
      <c r="AB91" s="61"/>
      <c r="AC91" s="61"/>
      <c r="AE91" s="61"/>
    </row>
    <row r="92" spans="27:31" x14ac:dyDescent="0.2">
      <c r="AA92" s="61"/>
      <c r="AB92" s="61"/>
      <c r="AC92" s="61"/>
      <c r="AE92" s="61"/>
    </row>
    <row r="93" spans="27:31" x14ac:dyDescent="0.2">
      <c r="AA93" s="61"/>
      <c r="AB93" s="61"/>
      <c r="AC93" s="61"/>
      <c r="AE93" s="61"/>
    </row>
    <row r="94" spans="27:31" x14ac:dyDescent="0.2">
      <c r="AA94" s="61"/>
      <c r="AB94" s="61"/>
      <c r="AC94" s="61"/>
      <c r="AE94" s="61"/>
    </row>
    <row r="95" spans="27:31" x14ac:dyDescent="0.2">
      <c r="AA95" s="61"/>
      <c r="AB95" s="61"/>
      <c r="AC95" s="61"/>
      <c r="AE95" s="61"/>
    </row>
    <row r="96" spans="27:31" x14ac:dyDescent="0.2">
      <c r="AA96" s="61"/>
      <c r="AB96" s="61"/>
      <c r="AC96" s="61"/>
      <c r="AE96" s="61"/>
    </row>
    <row r="97" spans="27:31" x14ac:dyDescent="0.2">
      <c r="AA97" s="61"/>
      <c r="AB97" s="61"/>
      <c r="AC97" s="61"/>
      <c r="AE97" s="61"/>
    </row>
    <row r="98" spans="27:31" x14ac:dyDescent="0.2">
      <c r="AA98" s="61"/>
      <c r="AB98" s="61"/>
      <c r="AC98" s="61"/>
      <c r="AE98" s="61"/>
    </row>
    <row r="99" spans="27:31" x14ac:dyDescent="0.2">
      <c r="AA99" s="61"/>
      <c r="AB99" s="61"/>
      <c r="AC99" s="61"/>
      <c r="AE99" s="61"/>
    </row>
    <row r="100" spans="27:31" x14ac:dyDescent="0.2">
      <c r="AA100" s="61"/>
      <c r="AB100" s="61"/>
      <c r="AC100" s="61"/>
      <c r="AE100" s="61"/>
    </row>
    <row r="101" spans="27:31" x14ac:dyDescent="0.2">
      <c r="AA101" s="61"/>
      <c r="AB101" s="61"/>
      <c r="AC101" s="61"/>
      <c r="AE101" s="61"/>
    </row>
    <row r="102" spans="27:31" x14ac:dyDescent="0.2">
      <c r="AA102" s="61"/>
      <c r="AB102" s="61"/>
      <c r="AC102" s="61"/>
      <c r="AE102" s="61"/>
    </row>
    <row r="103" spans="27:31" x14ac:dyDescent="0.2">
      <c r="AA103" s="61"/>
      <c r="AB103" s="61"/>
      <c r="AC103" s="61"/>
      <c r="AE103" s="61"/>
    </row>
    <row r="104" spans="27:31" x14ac:dyDescent="0.2">
      <c r="AA104" s="61"/>
      <c r="AB104" s="61"/>
      <c r="AC104" s="61"/>
      <c r="AE104" s="61"/>
    </row>
    <row r="105" spans="27:31" x14ac:dyDescent="0.2">
      <c r="AA105" s="61"/>
      <c r="AB105" s="61"/>
      <c r="AC105" s="61"/>
      <c r="AE105" s="61"/>
    </row>
    <row r="106" spans="27:31" x14ac:dyDescent="0.2">
      <c r="AA106" s="61"/>
      <c r="AB106" s="61"/>
      <c r="AC106" s="61"/>
      <c r="AE106" s="61"/>
    </row>
    <row r="107" spans="27:31" x14ac:dyDescent="0.2">
      <c r="AA107" s="61"/>
      <c r="AB107" s="61"/>
      <c r="AC107" s="61"/>
      <c r="AE107" s="61"/>
    </row>
    <row r="108" spans="27:31" x14ac:dyDescent="0.2">
      <c r="AA108" s="61"/>
      <c r="AB108" s="61"/>
      <c r="AC108" s="61"/>
      <c r="AE108" s="61"/>
    </row>
    <row r="109" spans="27:31" x14ac:dyDescent="0.2">
      <c r="AA109" s="61"/>
      <c r="AB109" s="61"/>
      <c r="AC109" s="61"/>
      <c r="AE109" s="61"/>
    </row>
    <row r="110" spans="27:31" x14ac:dyDescent="0.2">
      <c r="AA110" s="61"/>
      <c r="AB110" s="61"/>
      <c r="AC110" s="61"/>
      <c r="AE110" s="61"/>
    </row>
    <row r="111" spans="27:31" x14ac:dyDescent="0.2">
      <c r="AA111" s="61"/>
      <c r="AB111" s="61"/>
      <c r="AC111" s="61"/>
      <c r="AE111" s="61"/>
    </row>
    <row r="112" spans="27:31" x14ac:dyDescent="0.2">
      <c r="AA112" s="61"/>
      <c r="AB112" s="61"/>
      <c r="AC112" s="61"/>
      <c r="AE112" s="61"/>
    </row>
    <row r="113" spans="27:31" x14ac:dyDescent="0.2">
      <c r="AA113" s="61"/>
      <c r="AB113" s="61"/>
      <c r="AC113" s="61"/>
      <c r="AE113" s="61"/>
    </row>
    <row r="114" spans="27:31" x14ac:dyDescent="0.2">
      <c r="AA114" s="61"/>
      <c r="AB114" s="61"/>
      <c r="AC114" s="61"/>
      <c r="AE114" s="61"/>
    </row>
    <row r="115" spans="27:31" x14ac:dyDescent="0.2">
      <c r="AA115" s="61"/>
      <c r="AB115" s="61"/>
      <c r="AC115" s="61"/>
      <c r="AE115" s="61"/>
    </row>
    <row r="116" spans="27:31" x14ac:dyDescent="0.2">
      <c r="AA116" s="61"/>
      <c r="AB116" s="61"/>
      <c r="AC116" s="61"/>
      <c r="AE116" s="61"/>
    </row>
    <row r="117" spans="27:31" x14ac:dyDescent="0.2">
      <c r="AA117" s="61"/>
      <c r="AB117" s="61"/>
      <c r="AC117" s="61"/>
      <c r="AE117" s="61"/>
    </row>
    <row r="118" spans="27:31" x14ac:dyDescent="0.2">
      <c r="AA118" s="61"/>
      <c r="AB118" s="61"/>
      <c r="AC118" s="61"/>
      <c r="AE118" s="61"/>
    </row>
    <row r="119" spans="27:31" x14ac:dyDescent="0.2">
      <c r="AA119" s="61"/>
      <c r="AB119" s="61"/>
      <c r="AC119" s="61"/>
      <c r="AE119" s="61"/>
    </row>
    <row r="120" spans="27:31" x14ac:dyDescent="0.2">
      <c r="AA120" s="61"/>
      <c r="AB120" s="61"/>
      <c r="AC120" s="61"/>
      <c r="AE120" s="61"/>
    </row>
    <row r="121" spans="27:31" x14ac:dyDescent="0.2">
      <c r="AA121" s="61"/>
      <c r="AB121" s="61"/>
      <c r="AC121" s="61"/>
      <c r="AE121" s="61"/>
    </row>
    <row r="122" spans="27:31" x14ac:dyDescent="0.2">
      <c r="AA122" s="61"/>
      <c r="AB122" s="61"/>
      <c r="AC122" s="61"/>
      <c r="AE122" s="61"/>
    </row>
    <row r="123" spans="27:31" x14ac:dyDescent="0.2">
      <c r="AA123" s="61"/>
      <c r="AB123" s="61"/>
      <c r="AC123" s="61"/>
      <c r="AE123" s="61"/>
    </row>
    <row r="124" spans="27:31" x14ac:dyDescent="0.2">
      <c r="AA124" s="61"/>
      <c r="AB124" s="61"/>
      <c r="AC124" s="61"/>
      <c r="AE124" s="61"/>
    </row>
    <row r="125" spans="27:31" x14ac:dyDescent="0.2">
      <c r="AA125" s="61"/>
      <c r="AB125" s="61"/>
      <c r="AC125" s="61"/>
      <c r="AE125" s="61"/>
    </row>
    <row r="126" spans="27:31" x14ac:dyDescent="0.2">
      <c r="AA126" s="61"/>
      <c r="AB126" s="61"/>
      <c r="AC126" s="61"/>
      <c r="AE126" s="61"/>
    </row>
    <row r="127" spans="27:31" x14ac:dyDescent="0.2">
      <c r="AA127" s="61"/>
      <c r="AB127" s="61"/>
      <c r="AC127" s="61"/>
      <c r="AE127" s="61"/>
    </row>
    <row r="128" spans="27:31" x14ac:dyDescent="0.2">
      <c r="AA128" s="61"/>
      <c r="AB128" s="61"/>
      <c r="AC128" s="61"/>
      <c r="AE128" s="61"/>
    </row>
    <row r="129" spans="27:31" x14ac:dyDescent="0.2">
      <c r="AA129" s="61"/>
      <c r="AB129" s="61"/>
      <c r="AC129" s="61"/>
      <c r="AE129" s="61"/>
    </row>
    <row r="130" spans="27:31" x14ac:dyDescent="0.2">
      <c r="AA130" s="61"/>
      <c r="AB130" s="61"/>
      <c r="AC130" s="61"/>
      <c r="AE130" s="61"/>
    </row>
    <row r="131" spans="27:31" x14ac:dyDescent="0.2">
      <c r="AA131" s="61"/>
      <c r="AB131" s="61"/>
      <c r="AC131" s="61"/>
      <c r="AE131" s="61"/>
    </row>
    <row r="132" spans="27:31" x14ac:dyDescent="0.2">
      <c r="AA132" s="61"/>
      <c r="AB132" s="61"/>
      <c r="AC132" s="61"/>
      <c r="AE132" s="61"/>
    </row>
    <row r="133" spans="27:31" x14ac:dyDescent="0.2">
      <c r="AA133" s="61"/>
      <c r="AB133" s="61"/>
      <c r="AC133" s="61"/>
      <c r="AE133" s="61"/>
    </row>
    <row r="134" spans="27:31" x14ac:dyDescent="0.2">
      <c r="AA134" s="61"/>
      <c r="AB134" s="61"/>
      <c r="AC134" s="61"/>
      <c r="AE134" s="61"/>
    </row>
    <row r="135" spans="27:31" x14ac:dyDescent="0.2">
      <c r="AA135" s="61"/>
      <c r="AB135" s="61"/>
      <c r="AC135" s="61"/>
      <c r="AE135" s="61"/>
    </row>
    <row r="136" spans="27:31" x14ac:dyDescent="0.2">
      <c r="AA136" s="61"/>
      <c r="AB136" s="61"/>
      <c r="AC136" s="61"/>
    </row>
    <row r="137" spans="27:31" x14ac:dyDescent="0.2">
      <c r="AA137" s="61"/>
      <c r="AB137" s="61"/>
      <c r="AC137" s="61"/>
    </row>
    <row r="138" spans="27:31" x14ac:dyDescent="0.2">
      <c r="AA138" s="61"/>
      <c r="AB138" s="61"/>
      <c r="AC138" s="61"/>
    </row>
    <row r="139" spans="27:31" x14ac:dyDescent="0.2">
      <c r="AA139" s="61"/>
      <c r="AB139" s="61"/>
      <c r="AC139" s="61"/>
    </row>
    <row r="140" spans="27:31" x14ac:dyDescent="0.2">
      <c r="AA140" s="61"/>
      <c r="AB140" s="61"/>
      <c r="AC140" s="61"/>
    </row>
    <row r="141" spans="27:31" x14ac:dyDescent="0.2">
      <c r="AA141" s="61"/>
      <c r="AB141" s="61"/>
      <c r="AC141" s="61"/>
    </row>
    <row r="142" spans="27:31" x14ac:dyDescent="0.2">
      <c r="AA142" s="61"/>
      <c r="AB142" s="61"/>
      <c r="AC142" s="61"/>
    </row>
    <row r="143" spans="27:31" x14ac:dyDescent="0.2">
      <c r="AA143" s="61"/>
      <c r="AB143" s="61"/>
      <c r="AC143" s="61"/>
    </row>
    <row r="144" spans="27:31" x14ac:dyDescent="0.2">
      <c r="AA144" s="61"/>
      <c r="AB144" s="61"/>
      <c r="AC144" s="61"/>
      <c r="AE144" s="61"/>
    </row>
    <row r="145" spans="27:31" x14ac:dyDescent="0.2">
      <c r="AA145" s="61"/>
      <c r="AB145" s="61"/>
      <c r="AC145" s="61"/>
      <c r="AE145" s="61"/>
    </row>
    <row r="146" spans="27:31" x14ac:dyDescent="0.2">
      <c r="AA146" s="61"/>
      <c r="AB146" s="61"/>
      <c r="AC146" s="61"/>
      <c r="AE146" s="61"/>
    </row>
    <row r="147" spans="27:31" x14ac:dyDescent="0.2">
      <c r="AA147" s="61"/>
      <c r="AB147" s="61"/>
      <c r="AC147" s="61"/>
      <c r="AE147" s="61"/>
    </row>
    <row r="148" spans="27:31" x14ac:dyDescent="0.2">
      <c r="AA148" s="61"/>
      <c r="AB148" s="61"/>
      <c r="AC148" s="61"/>
      <c r="AE148" s="61"/>
    </row>
    <row r="149" spans="27:31" x14ac:dyDescent="0.2">
      <c r="AA149" s="61"/>
      <c r="AB149" s="61"/>
      <c r="AC149" s="61"/>
      <c r="AE149" s="61"/>
    </row>
    <row r="150" spans="27:31" x14ac:dyDescent="0.2">
      <c r="AA150" s="61"/>
      <c r="AB150" s="61"/>
      <c r="AC150" s="61"/>
      <c r="AE150" s="61"/>
    </row>
    <row r="151" spans="27:31" x14ac:dyDescent="0.2">
      <c r="AA151" s="61"/>
      <c r="AB151" s="61"/>
      <c r="AC151" s="61"/>
      <c r="AE151" s="61"/>
    </row>
    <row r="152" spans="27:31" x14ac:dyDescent="0.2">
      <c r="AA152" s="61"/>
      <c r="AB152" s="61"/>
      <c r="AC152" s="61"/>
      <c r="AE152" s="61"/>
    </row>
    <row r="153" spans="27:31" x14ac:dyDescent="0.2">
      <c r="AA153" s="61"/>
      <c r="AB153" s="61"/>
      <c r="AC153" s="61"/>
      <c r="AE153" s="61"/>
    </row>
    <row r="154" spans="27:31" x14ac:dyDescent="0.2">
      <c r="AA154" s="61"/>
      <c r="AB154" s="61"/>
      <c r="AC154" s="61"/>
      <c r="AE154" s="61"/>
    </row>
    <row r="155" spans="27:31" x14ac:dyDescent="0.2">
      <c r="AA155" s="61"/>
      <c r="AB155" s="61"/>
      <c r="AC155" s="61"/>
      <c r="AE155" s="61"/>
    </row>
    <row r="156" spans="27:31" x14ac:dyDescent="0.2">
      <c r="AA156" s="61"/>
      <c r="AB156" s="61"/>
      <c r="AC156" s="61"/>
      <c r="AE156" s="61"/>
    </row>
    <row r="157" spans="27:31" x14ac:dyDescent="0.2">
      <c r="AA157" s="61"/>
      <c r="AB157" s="61"/>
      <c r="AC157" s="61"/>
      <c r="AE157" s="61"/>
    </row>
    <row r="158" spans="27:31" x14ac:dyDescent="0.2">
      <c r="AA158" s="61"/>
      <c r="AB158" s="61"/>
      <c r="AC158" s="61"/>
      <c r="AE158" s="61"/>
    </row>
    <row r="159" spans="27:31" x14ac:dyDescent="0.2">
      <c r="AA159" s="61"/>
      <c r="AB159" s="61"/>
      <c r="AC159" s="61"/>
      <c r="AE159" s="61"/>
    </row>
    <row r="160" spans="27:31" x14ac:dyDescent="0.2">
      <c r="AA160" s="61"/>
      <c r="AB160" s="61"/>
      <c r="AC160" s="61"/>
      <c r="AE160" s="61"/>
    </row>
    <row r="161" spans="27:31" x14ac:dyDescent="0.2">
      <c r="AA161" s="61"/>
      <c r="AB161" s="61"/>
      <c r="AC161" s="61"/>
      <c r="AE161" s="61"/>
    </row>
    <row r="162" spans="27:31" x14ac:dyDescent="0.2">
      <c r="AA162" s="61"/>
      <c r="AB162" s="61"/>
      <c r="AC162" s="61"/>
      <c r="AE162" s="61"/>
    </row>
    <row r="163" spans="27:31" x14ac:dyDescent="0.2">
      <c r="AA163" s="61"/>
      <c r="AB163" s="61"/>
      <c r="AC163" s="61"/>
      <c r="AE163" s="61"/>
    </row>
    <row r="164" spans="27:31" x14ac:dyDescent="0.2">
      <c r="AA164" s="61"/>
      <c r="AB164" s="61"/>
      <c r="AC164" s="61"/>
      <c r="AE164" s="61"/>
    </row>
    <row r="165" spans="27:31" x14ac:dyDescent="0.2">
      <c r="AA165" s="61"/>
      <c r="AB165" s="61"/>
      <c r="AC165" s="61"/>
      <c r="AE165" s="61"/>
    </row>
    <row r="166" spans="27:31" x14ac:dyDescent="0.2">
      <c r="AA166" s="61"/>
      <c r="AB166" s="61"/>
      <c r="AC166" s="61"/>
      <c r="AE166" s="61"/>
    </row>
    <row r="167" spans="27:31" x14ac:dyDescent="0.2">
      <c r="AA167" s="61"/>
      <c r="AB167" s="61"/>
      <c r="AC167" s="61"/>
      <c r="AE167" s="61"/>
    </row>
    <row r="168" spans="27:31" x14ac:dyDescent="0.2">
      <c r="AA168" s="61"/>
      <c r="AB168" s="61"/>
      <c r="AC168" s="61"/>
      <c r="AE168" s="61"/>
    </row>
    <row r="169" spans="27:31" x14ac:dyDescent="0.2">
      <c r="AA169" s="61"/>
      <c r="AB169" s="61"/>
      <c r="AC169" s="61"/>
      <c r="AE169" s="61"/>
    </row>
    <row r="170" spans="27:31" x14ac:dyDescent="0.2">
      <c r="AA170" s="61"/>
      <c r="AB170" s="61"/>
      <c r="AC170" s="61"/>
      <c r="AE170" s="61"/>
    </row>
    <row r="171" spans="27:31" x14ac:dyDescent="0.2">
      <c r="AA171" s="61"/>
      <c r="AB171" s="61"/>
      <c r="AC171" s="61"/>
      <c r="AE171" s="61"/>
    </row>
    <row r="172" spans="27:31" x14ac:dyDescent="0.2">
      <c r="AA172" s="61"/>
      <c r="AB172" s="61"/>
      <c r="AC172" s="61"/>
      <c r="AE172" s="61"/>
    </row>
    <row r="173" spans="27:31" x14ac:dyDescent="0.2">
      <c r="AA173" s="61"/>
      <c r="AB173" s="61"/>
      <c r="AC173" s="61"/>
      <c r="AE173" s="61"/>
    </row>
    <row r="174" spans="27:31" x14ac:dyDescent="0.2">
      <c r="AA174" s="61"/>
      <c r="AB174" s="61"/>
      <c r="AC174" s="61"/>
      <c r="AE174" s="61"/>
    </row>
    <row r="175" spans="27:31" x14ac:dyDescent="0.2">
      <c r="AA175" s="61"/>
      <c r="AB175" s="61"/>
      <c r="AC175" s="61"/>
      <c r="AE175" s="61"/>
    </row>
    <row r="176" spans="27:31" x14ac:dyDescent="0.2">
      <c r="AA176" s="61"/>
      <c r="AB176" s="61"/>
      <c r="AC176" s="61"/>
      <c r="AE176" s="61"/>
    </row>
    <row r="177" spans="27:31" x14ac:dyDescent="0.2">
      <c r="AA177" s="61"/>
      <c r="AB177" s="61"/>
      <c r="AC177" s="61"/>
      <c r="AE177" s="61"/>
    </row>
    <row r="178" spans="27:31" x14ac:dyDescent="0.2">
      <c r="AA178" s="61"/>
      <c r="AB178" s="61"/>
      <c r="AC178" s="61"/>
      <c r="AE178" s="61"/>
    </row>
    <row r="179" spans="27:31" x14ac:dyDescent="0.2">
      <c r="AA179" s="61"/>
      <c r="AB179" s="61"/>
      <c r="AC179" s="61"/>
      <c r="AE179" s="61"/>
    </row>
    <row r="180" spans="27:31" x14ac:dyDescent="0.2">
      <c r="AA180" s="61"/>
      <c r="AB180" s="61"/>
      <c r="AC180" s="61"/>
      <c r="AE180" s="61"/>
    </row>
    <row r="181" spans="27:31" x14ac:dyDescent="0.2">
      <c r="AA181" s="61"/>
      <c r="AB181" s="61"/>
      <c r="AC181" s="61"/>
      <c r="AE181" s="61"/>
    </row>
    <row r="182" spans="27:31" x14ac:dyDescent="0.2">
      <c r="AA182" s="61"/>
      <c r="AB182" s="61"/>
      <c r="AC182" s="61"/>
      <c r="AE182" s="61"/>
    </row>
    <row r="183" spans="27:31" x14ac:dyDescent="0.2">
      <c r="AA183" s="61"/>
      <c r="AB183" s="61"/>
      <c r="AC183" s="61"/>
      <c r="AE183" s="61"/>
    </row>
    <row r="184" spans="27:31" x14ac:dyDescent="0.2">
      <c r="AA184" s="61"/>
      <c r="AB184" s="61"/>
      <c r="AC184" s="61"/>
      <c r="AE184" s="61"/>
    </row>
    <row r="185" spans="27:31" x14ac:dyDescent="0.2">
      <c r="AA185" s="61"/>
      <c r="AB185" s="61"/>
      <c r="AC185" s="61"/>
      <c r="AE185" s="61"/>
    </row>
    <row r="186" spans="27:31" x14ac:dyDescent="0.2">
      <c r="AA186" s="61"/>
      <c r="AB186" s="61"/>
      <c r="AC186" s="61"/>
      <c r="AE186" s="61"/>
    </row>
    <row r="187" spans="27:31" x14ac:dyDescent="0.2">
      <c r="AA187" s="61"/>
      <c r="AB187" s="61"/>
      <c r="AC187" s="61"/>
      <c r="AE187" s="61"/>
    </row>
    <row r="188" spans="27:31" x14ac:dyDescent="0.2">
      <c r="AA188" s="61"/>
      <c r="AB188" s="61"/>
      <c r="AC188" s="61"/>
      <c r="AE188" s="61"/>
    </row>
    <row r="189" spans="27:31" x14ac:dyDescent="0.2">
      <c r="AA189" s="61"/>
      <c r="AB189" s="61"/>
      <c r="AC189" s="61"/>
      <c r="AE189" s="61"/>
    </row>
    <row r="190" spans="27:31" x14ac:dyDescent="0.2">
      <c r="AA190" s="61"/>
      <c r="AB190" s="61"/>
      <c r="AC190" s="61"/>
      <c r="AE190" s="61"/>
    </row>
    <row r="191" spans="27:31" x14ac:dyDescent="0.2">
      <c r="AA191" s="61"/>
      <c r="AB191" s="61"/>
      <c r="AC191" s="61"/>
      <c r="AE191" s="61"/>
    </row>
    <row r="192" spans="27:31" x14ac:dyDescent="0.2">
      <c r="AA192" s="61"/>
      <c r="AB192" s="61"/>
      <c r="AC192" s="61"/>
      <c r="AE192" s="61"/>
    </row>
    <row r="193" spans="27:31" x14ac:dyDescent="0.2">
      <c r="AA193" s="61"/>
      <c r="AB193" s="61"/>
      <c r="AC193" s="61"/>
      <c r="AE193" s="61"/>
    </row>
    <row r="194" spans="27:31" x14ac:dyDescent="0.2">
      <c r="AA194" s="61"/>
      <c r="AB194" s="61"/>
      <c r="AC194" s="61"/>
      <c r="AE194" s="61"/>
    </row>
    <row r="195" spans="27:31" x14ac:dyDescent="0.2">
      <c r="AA195" s="61"/>
      <c r="AB195" s="61"/>
      <c r="AC195" s="61"/>
      <c r="AE195" s="61"/>
    </row>
    <row r="196" spans="27:31" x14ac:dyDescent="0.2">
      <c r="AA196" s="61"/>
      <c r="AB196" s="61"/>
      <c r="AC196" s="61"/>
      <c r="AE196" s="61"/>
    </row>
    <row r="197" spans="27:31" x14ac:dyDescent="0.2">
      <c r="AA197" s="61"/>
      <c r="AB197" s="61"/>
      <c r="AC197" s="61"/>
      <c r="AE197" s="61"/>
    </row>
    <row r="198" spans="27:31" x14ac:dyDescent="0.2">
      <c r="AA198" s="61"/>
      <c r="AB198" s="61"/>
      <c r="AC198" s="61"/>
      <c r="AE198" s="61"/>
    </row>
    <row r="199" spans="27:31" x14ac:dyDescent="0.2">
      <c r="AA199" s="61"/>
      <c r="AB199" s="61"/>
      <c r="AC199" s="61"/>
      <c r="AE199" s="61"/>
    </row>
    <row r="200" spans="27:31" x14ac:dyDescent="0.2">
      <c r="AA200" s="61"/>
      <c r="AB200" s="61"/>
      <c r="AC200" s="61"/>
      <c r="AE200" s="61"/>
    </row>
    <row r="201" spans="27:31" x14ac:dyDescent="0.2">
      <c r="AA201" s="61"/>
      <c r="AB201" s="61"/>
      <c r="AC201" s="61"/>
      <c r="AE201" s="61"/>
    </row>
    <row r="202" spans="27:31" x14ac:dyDescent="0.2">
      <c r="AA202" s="61"/>
      <c r="AB202" s="61"/>
      <c r="AC202" s="61"/>
      <c r="AE202" s="61"/>
    </row>
    <row r="203" spans="27:31" x14ac:dyDescent="0.2">
      <c r="AA203" s="61"/>
      <c r="AB203" s="61"/>
      <c r="AC203" s="61"/>
      <c r="AE203" s="61"/>
    </row>
    <row r="204" spans="27:31" x14ac:dyDescent="0.2">
      <c r="AA204" s="61"/>
      <c r="AB204" s="61"/>
      <c r="AC204" s="61"/>
      <c r="AE204" s="61"/>
    </row>
    <row r="205" spans="27:31" x14ac:dyDescent="0.2">
      <c r="AA205" s="61"/>
      <c r="AB205" s="61"/>
      <c r="AC205" s="61"/>
      <c r="AE205" s="61"/>
    </row>
    <row r="206" spans="27:31" x14ac:dyDescent="0.2">
      <c r="AA206" s="61"/>
      <c r="AB206" s="61"/>
      <c r="AC206" s="61"/>
      <c r="AE206" s="61"/>
    </row>
    <row r="207" spans="27:31" x14ac:dyDescent="0.2">
      <c r="AA207" s="61"/>
      <c r="AB207" s="61"/>
      <c r="AC207" s="61"/>
      <c r="AE207" s="61"/>
    </row>
    <row r="208" spans="27:31" x14ac:dyDescent="0.2">
      <c r="AA208" s="61"/>
      <c r="AB208" s="61"/>
      <c r="AC208" s="61"/>
      <c r="AE208" s="61"/>
    </row>
    <row r="209" spans="27:31" x14ac:dyDescent="0.2">
      <c r="AA209" s="61"/>
      <c r="AB209" s="61"/>
      <c r="AC209" s="61"/>
      <c r="AE209" s="61"/>
    </row>
    <row r="210" spans="27:31" x14ac:dyDescent="0.2">
      <c r="AA210" s="61"/>
      <c r="AB210" s="61"/>
      <c r="AC210" s="61"/>
      <c r="AE210" s="61"/>
    </row>
    <row r="211" spans="27:31" x14ac:dyDescent="0.2">
      <c r="AA211" s="61"/>
      <c r="AB211" s="61"/>
      <c r="AC211" s="61"/>
      <c r="AE211" s="61"/>
    </row>
    <row r="212" spans="27:31" x14ac:dyDescent="0.2">
      <c r="AA212" s="61"/>
      <c r="AB212" s="61"/>
      <c r="AC212" s="61"/>
    </row>
    <row r="213" spans="27:31" x14ac:dyDescent="0.2">
      <c r="AA213" s="61"/>
      <c r="AB213" s="61"/>
      <c r="AC213" s="61"/>
      <c r="AE213" s="61"/>
    </row>
    <row r="214" spans="27:31" x14ac:dyDescent="0.2">
      <c r="AA214" s="61"/>
      <c r="AB214" s="61"/>
      <c r="AC214" s="61"/>
      <c r="AE214" s="61"/>
    </row>
    <row r="215" spans="27:31" x14ac:dyDescent="0.2">
      <c r="AA215" s="61"/>
      <c r="AB215" s="61"/>
      <c r="AC215" s="61"/>
      <c r="AE215" s="61"/>
    </row>
    <row r="216" spans="27:31" x14ac:dyDescent="0.2">
      <c r="AA216" s="61"/>
      <c r="AB216" s="61"/>
      <c r="AC216" s="61"/>
    </row>
    <row r="217" spans="27:31" x14ac:dyDescent="0.2">
      <c r="AA217" s="61"/>
      <c r="AB217" s="61"/>
      <c r="AC217" s="61"/>
    </row>
    <row r="218" spans="27:31" x14ac:dyDescent="0.2">
      <c r="AA218" s="61"/>
      <c r="AB218" s="61"/>
      <c r="AC218" s="61"/>
    </row>
    <row r="219" spans="27:31" x14ac:dyDescent="0.2">
      <c r="AA219" s="61"/>
      <c r="AB219" s="61"/>
      <c r="AC219" s="61"/>
      <c r="AE219" s="61"/>
    </row>
    <row r="220" spans="27:31" x14ac:dyDescent="0.2">
      <c r="AA220" s="61"/>
      <c r="AB220" s="61"/>
      <c r="AC220" s="61"/>
    </row>
    <row r="221" spans="27:31" x14ac:dyDescent="0.2">
      <c r="AA221" s="61"/>
      <c r="AB221" s="61"/>
      <c r="AC221" s="61"/>
      <c r="AE221" s="61"/>
    </row>
    <row r="222" spans="27:31" x14ac:dyDescent="0.2">
      <c r="AA222" s="61"/>
      <c r="AB222" s="61"/>
      <c r="AC222" s="61"/>
      <c r="AE222" s="61"/>
    </row>
    <row r="223" spans="27:31" x14ac:dyDescent="0.2">
      <c r="AA223" s="61"/>
      <c r="AB223" s="61"/>
      <c r="AC223" s="61"/>
      <c r="AE223" s="61"/>
    </row>
    <row r="224" spans="27:31" x14ac:dyDescent="0.2">
      <c r="AA224" s="61"/>
      <c r="AB224" s="61"/>
      <c r="AC224" s="61"/>
      <c r="AE224" s="61"/>
    </row>
    <row r="225" spans="27:31" x14ac:dyDescent="0.2">
      <c r="AA225" s="61"/>
      <c r="AB225" s="61"/>
      <c r="AC225" s="61"/>
      <c r="AE225" s="61"/>
    </row>
    <row r="226" spans="27:31" x14ac:dyDescent="0.2">
      <c r="AA226" s="61"/>
      <c r="AB226" s="61"/>
      <c r="AC226" s="61"/>
      <c r="AE226" s="61"/>
    </row>
    <row r="227" spans="27:31" x14ac:dyDescent="0.2">
      <c r="AA227" s="61"/>
      <c r="AB227" s="61"/>
      <c r="AC227" s="61"/>
      <c r="AE227" s="61"/>
    </row>
    <row r="228" spans="27:31" x14ac:dyDescent="0.2">
      <c r="AA228" s="61"/>
      <c r="AB228" s="61"/>
      <c r="AC228" s="61"/>
      <c r="AE228" s="61"/>
    </row>
    <row r="229" spans="27:31" x14ac:dyDescent="0.2">
      <c r="AA229" s="61"/>
      <c r="AB229" s="61"/>
      <c r="AC229" s="61"/>
      <c r="AE229" s="61"/>
    </row>
    <row r="230" spans="27:31" x14ac:dyDescent="0.2">
      <c r="AA230" s="61"/>
      <c r="AB230" s="61"/>
      <c r="AC230" s="61"/>
      <c r="AE230" s="61"/>
    </row>
    <row r="231" spans="27:31" x14ac:dyDescent="0.2">
      <c r="AA231" s="61"/>
      <c r="AB231" s="61"/>
      <c r="AC231" s="61"/>
      <c r="AE231" s="61"/>
    </row>
    <row r="232" spans="27:31" x14ac:dyDescent="0.2">
      <c r="AA232" s="61"/>
      <c r="AB232" s="61"/>
      <c r="AC232" s="61"/>
      <c r="AE232" s="61"/>
    </row>
    <row r="233" spans="27:31" x14ac:dyDescent="0.2">
      <c r="AA233" s="61"/>
      <c r="AB233" s="61"/>
      <c r="AC233" s="61"/>
      <c r="AE233" s="61"/>
    </row>
    <row r="234" spans="27:31" x14ac:dyDescent="0.2">
      <c r="AA234" s="61"/>
      <c r="AB234" s="61"/>
      <c r="AC234" s="61"/>
      <c r="AE234" s="61"/>
    </row>
    <row r="235" spans="27:31" x14ac:dyDescent="0.2">
      <c r="AA235" s="61"/>
      <c r="AB235" s="61"/>
      <c r="AC235" s="61"/>
      <c r="AE235" s="61"/>
    </row>
    <row r="236" spans="27:31" x14ac:dyDescent="0.2">
      <c r="AA236" s="61"/>
      <c r="AB236" s="61"/>
      <c r="AC236" s="61"/>
      <c r="AE236" s="61"/>
    </row>
    <row r="237" spans="27:31" x14ac:dyDescent="0.2">
      <c r="AA237" s="61"/>
      <c r="AB237" s="61"/>
      <c r="AC237" s="61"/>
      <c r="AE237" s="61"/>
    </row>
    <row r="238" spans="27:31" x14ac:dyDescent="0.2">
      <c r="AA238" s="61"/>
      <c r="AB238" s="61"/>
      <c r="AC238" s="61"/>
      <c r="AE238" s="61"/>
    </row>
    <row r="239" spans="27:31" x14ac:dyDescent="0.2">
      <c r="AA239" s="61"/>
      <c r="AB239" s="61"/>
      <c r="AC239" s="61"/>
      <c r="AE239" s="61"/>
    </row>
    <row r="240" spans="27:31" x14ac:dyDescent="0.2">
      <c r="AA240" s="61"/>
      <c r="AB240" s="61"/>
      <c r="AC240" s="61"/>
      <c r="AE240" s="61"/>
    </row>
    <row r="241" spans="27:31" x14ac:dyDescent="0.2">
      <c r="AA241" s="61"/>
      <c r="AB241" s="61"/>
      <c r="AC241" s="61"/>
      <c r="AE241" s="61"/>
    </row>
    <row r="242" spans="27:31" x14ac:dyDescent="0.2">
      <c r="AA242" s="61"/>
      <c r="AB242" s="61"/>
      <c r="AC242" s="61"/>
      <c r="AE242" s="61"/>
    </row>
    <row r="243" spans="27:31" x14ac:dyDescent="0.2">
      <c r="AA243" s="61"/>
      <c r="AB243" s="61"/>
      <c r="AC243" s="61"/>
      <c r="AE243" s="61"/>
    </row>
    <row r="244" spans="27:31" x14ac:dyDescent="0.2">
      <c r="AA244" s="61"/>
      <c r="AB244" s="61"/>
      <c r="AC244" s="61"/>
      <c r="AE244" s="61"/>
    </row>
    <row r="245" spans="27:31" x14ac:dyDescent="0.2">
      <c r="AA245" s="61"/>
      <c r="AB245" s="61"/>
      <c r="AC245" s="61"/>
      <c r="AE245" s="61"/>
    </row>
    <row r="246" spans="27:31" x14ac:dyDescent="0.2">
      <c r="AA246" s="61"/>
      <c r="AB246" s="61"/>
      <c r="AC246" s="61"/>
      <c r="AE246" s="61"/>
    </row>
    <row r="247" spans="27:31" x14ac:dyDescent="0.2">
      <c r="AA247" s="61"/>
      <c r="AB247" s="61"/>
      <c r="AC247" s="61"/>
      <c r="AE247" s="61"/>
    </row>
    <row r="248" spans="27:31" x14ac:dyDescent="0.2">
      <c r="AA248" s="61"/>
      <c r="AB248" s="61"/>
      <c r="AC248" s="61"/>
      <c r="AE248" s="61"/>
    </row>
    <row r="249" spans="27:31" x14ac:dyDescent="0.2">
      <c r="AA249" s="61"/>
      <c r="AB249" s="61"/>
      <c r="AC249" s="61"/>
      <c r="AE249" s="61"/>
    </row>
    <row r="250" spans="27:31" x14ac:dyDescent="0.2">
      <c r="AA250" s="61"/>
      <c r="AB250" s="61"/>
      <c r="AC250" s="61"/>
      <c r="AE250" s="61"/>
    </row>
    <row r="251" spans="27:31" x14ac:dyDescent="0.2">
      <c r="AA251" s="61"/>
      <c r="AB251" s="61"/>
      <c r="AC251" s="61"/>
      <c r="AE251" s="61"/>
    </row>
    <row r="252" spans="27:31" x14ac:dyDescent="0.2">
      <c r="AA252" s="61"/>
      <c r="AB252" s="61"/>
      <c r="AC252" s="61"/>
      <c r="AE252" s="61"/>
    </row>
    <row r="253" spans="27:31" x14ac:dyDescent="0.2">
      <c r="AA253" s="61"/>
      <c r="AB253" s="61"/>
      <c r="AC253" s="61"/>
      <c r="AE253" s="61"/>
    </row>
    <row r="254" spans="27:31" x14ac:dyDescent="0.2">
      <c r="AA254" s="61"/>
      <c r="AB254" s="61"/>
      <c r="AC254" s="61"/>
      <c r="AE254" s="61"/>
    </row>
    <row r="255" spans="27:31" x14ac:dyDescent="0.2">
      <c r="AA255" s="61"/>
      <c r="AB255" s="61"/>
      <c r="AC255" s="61"/>
      <c r="AE255" s="61"/>
    </row>
    <row r="256" spans="27:31" x14ac:dyDescent="0.2">
      <c r="AA256" s="61"/>
      <c r="AB256" s="61"/>
      <c r="AC256" s="61"/>
      <c r="AE256" s="61"/>
    </row>
    <row r="257" spans="27:31" x14ac:dyDescent="0.2">
      <c r="AA257" s="61"/>
      <c r="AB257" s="61"/>
      <c r="AC257" s="61"/>
      <c r="AE257" s="61"/>
    </row>
    <row r="258" spans="27:31" x14ac:dyDescent="0.2">
      <c r="AA258" s="61"/>
      <c r="AB258" s="61"/>
      <c r="AC258" s="61"/>
      <c r="AE258" s="61"/>
    </row>
    <row r="259" spans="27:31" x14ac:dyDescent="0.2">
      <c r="AA259" s="61"/>
      <c r="AB259" s="61"/>
      <c r="AC259" s="61"/>
      <c r="AE259" s="61"/>
    </row>
    <row r="260" spans="27:31" x14ac:dyDescent="0.2">
      <c r="AA260" s="61"/>
      <c r="AB260" s="61"/>
      <c r="AC260" s="61"/>
      <c r="AE260" s="61"/>
    </row>
    <row r="261" spans="27:31" x14ac:dyDescent="0.2">
      <c r="AA261" s="61"/>
      <c r="AB261" s="61"/>
      <c r="AC261" s="61"/>
      <c r="AE261" s="61"/>
    </row>
    <row r="262" spans="27:31" x14ac:dyDescent="0.2">
      <c r="AA262" s="61"/>
      <c r="AB262" s="61"/>
      <c r="AC262" s="61"/>
      <c r="AE262" s="61"/>
    </row>
    <row r="263" spans="27:31" x14ac:dyDescent="0.2">
      <c r="AA263" s="61"/>
      <c r="AB263" s="61"/>
      <c r="AC263" s="61"/>
      <c r="AE263" s="61"/>
    </row>
    <row r="264" spans="27:31" x14ac:dyDescent="0.2">
      <c r="AA264" s="61"/>
      <c r="AB264" s="61"/>
      <c r="AC264" s="61"/>
      <c r="AE264" s="61"/>
    </row>
    <row r="265" spans="27:31" x14ac:dyDescent="0.2">
      <c r="AA265" s="61"/>
      <c r="AB265" s="61"/>
      <c r="AC265" s="61"/>
      <c r="AE265" s="61"/>
    </row>
    <row r="266" spans="27:31" x14ac:dyDescent="0.2">
      <c r="AA266" s="61"/>
      <c r="AB266" s="61"/>
      <c r="AC266" s="61"/>
      <c r="AE266" s="61"/>
    </row>
    <row r="267" spans="27:31" x14ac:dyDescent="0.2">
      <c r="AA267" s="61"/>
      <c r="AB267" s="61"/>
      <c r="AC267" s="61"/>
      <c r="AE267" s="61"/>
    </row>
    <row r="268" spans="27:31" x14ac:dyDescent="0.2">
      <c r="AA268" s="61"/>
      <c r="AB268" s="61"/>
      <c r="AC268" s="61"/>
      <c r="AE268" s="61"/>
    </row>
    <row r="269" spans="27:31" x14ac:dyDescent="0.2">
      <c r="AA269" s="61"/>
      <c r="AB269" s="61"/>
      <c r="AC269" s="61"/>
      <c r="AE269" s="61"/>
    </row>
    <row r="270" spans="27:31" x14ac:dyDescent="0.2">
      <c r="AA270" s="61"/>
      <c r="AB270" s="61"/>
      <c r="AC270" s="61"/>
      <c r="AE270" s="61"/>
    </row>
    <row r="271" spans="27:31" x14ac:dyDescent="0.2">
      <c r="AA271" s="61"/>
      <c r="AB271" s="61"/>
      <c r="AC271" s="61"/>
      <c r="AE271" s="61"/>
    </row>
    <row r="272" spans="27:31" x14ac:dyDescent="0.2">
      <c r="AA272" s="61"/>
      <c r="AB272" s="61"/>
      <c r="AC272" s="61"/>
    </row>
    <row r="273" spans="27:31" x14ac:dyDescent="0.2">
      <c r="AA273" s="61"/>
      <c r="AB273" s="61"/>
      <c r="AC273" s="61"/>
      <c r="AE273" s="61"/>
    </row>
    <row r="274" spans="27:31" x14ac:dyDescent="0.2">
      <c r="AA274" s="61"/>
      <c r="AB274" s="61"/>
      <c r="AC274" s="61"/>
      <c r="AE274" s="61"/>
    </row>
    <row r="275" spans="27:31" x14ac:dyDescent="0.2">
      <c r="AA275" s="61"/>
      <c r="AB275" s="61"/>
      <c r="AC275" s="61"/>
    </row>
    <row r="276" spans="27:31" x14ac:dyDescent="0.2">
      <c r="AA276" s="61"/>
      <c r="AB276" s="61"/>
      <c r="AC276" s="61"/>
      <c r="AE276" s="61"/>
    </row>
    <row r="277" spans="27:31" x14ac:dyDescent="0.2">
      <c r="AA277" s="61"/>
      <c r="AB277" s="61"/>
      <c r="AC277" s="61"/>
      <c r="AE277" s="61"/>
    </row>
    <row r="278" spans="27:31" x14ac:dyDescent="0.2">
      <c r="AA278" s="61"/>
      <c r="AB278" s="61"/>
      <c r="AC278" s="61"/>
      <c r="AE278" s="61"/>
    </row>
    <row r="279" spans="27:31" x14ac:dyDescent="0.2">
      <c r="AA279" s="61"/>
      <c r="AB279" s="61"/>
      <c r="AC279" s="61"/>
      <c r="AE279" s="61"/>
    </row>
    <row r="280" spans="27:31" x14ac:dyDescent="0.2">
      <c r="AA280" s="61"/>
      <c r="AB280" s="61"/>
      <c r="AC280" s="61"/>
      <c r="AE280" s="61"/>
    </row>
    <row r="281" spans="27:31" x14ac:dyDescent="0.2">
      <c r="AA281" s="61"/>
      <c r="AB281" s="61"/>
      <c r="AC281" s="61"/>
      <c r="AE281" s="61"/>
    </row>
    <row r="282" spans="27:31" x14ac:dyDescent="0.2">
      <c r="AA282" s="61"/>
      <c r="AB282" s="61"/>
      <c r="AC282" s="61"/>
      <c r="AE282" s="61"/>
    </row>
    <row r="283" spans="27:31" x14ac:dyDescent="0.2">
      <c r="AA283" s="61"/>
      <c r="AB283" s="61"/>
      <c r="AC283" s="61"/>
      <c r="AE283" s="61"/>
    </row>
    <row r="284" spans="27:31" x14ac:dyDescent="0.2">
      <c r="AA284" s="61"/>
      <c r="AB284" s="61"/>
      <c r="AC284" s="61"/>
      <c r="AE284" s="61"/>
    </row>
    <row r="285" spans="27:31" x14ac:dyDescent="0.2">
      <c r="AA285" s="61"/>
      <c r="AB285" s="61"/>
      <c r="AC285" s="61"/>
      <c r="AE285" s="61"/>
    </row>
    <row r="286" spans="27:31" x14ac:dyDescent="0.2">
      <c r="AA286" s="61"/>
      <c r="AB286" s="61"/>
      <c r="AC286" s="61"/>
      <c r="AE286" s="61"/>
    </row>
    <row r="287" spans="27:31" x14ac:dyDescent="0.2">
      <c r="AA287" s="61"/>
      <c r="AB287" s="61"/>
      <c r="AC287" s="61"/>
      <c r="AE287" s="61"/>
    </row>
    <row r="288" spans="27:31" x14ac:dyDescent="0.2">
      <c r="AA288" s="61"/>
      <c r="AB288" s="61"/>
      <c r="AC288" s="61"/>
      <c r="AE288" s="61"/>
    </row>
    <row r="289" spans="27:31" x14ac:dyDescent="0.2">
      <c r="AA289" s="61"/>
      <c r="AB289" s="61"/>
      <c r="AC289" s="61"/>
      <c r="AE289" s="61"/>
    </row>
    <row r="290" spans="27:31" x14ac:dyDescent="0.2">
      <c r="AA290" s="61"/>
      <c r="AB290" s="61"/>
      <c r="AC290" s="61"/>
      <c r="AE290" s="61"/>
    </row>
    <row r="291" spans="27:31" x14ac:dyDescent="0.2">
      <c r="AA291" s="61"/>
      <c r="AB291" s="61"/>
      <c r="AC291" s="61"/>
      <c r="AE291" s="61"/>
    </row>
    <row r="292" spans="27:31" x14ac:dyDescent="0.2">
      <c r="AA292" s="61"/>
      <c r="AB292" s="61"/>
      <c r="AC292" s="61"/>
      <c r="AE292" s="61"/>
    </row>
    <row r="293" spans="27:31" x14ac:dyDescent="0.2">
      <c r="AA293" s="61"/>
      <c r="AB293" s="61"/>
      <c r="AC293" s="61"/>
      <c r="AE293" s="61"/>
    </row>
    <row r="294" spans="27:31" x14ac:dyDescent="0.2">
      <c r="AA294" s="61"/>
      <c r="AB294" s="61"/>
      <c r="AC294" s="61"/>
    </row>
    <row r="295" spans="27:31" x14ac:dyDescent="0.2">
      <c r="AA295" s="61"/>
      <c r="AB295" s="61"/>
      <c r="AC295" s="61"/>
      <c r="AE295" s="61"/>
    </row>
    <row r="296" spans="27:31" x14ac:dyDescent="0.2">
      <c r="AA296" s="61"/>
      <c r="AB296" s="61"/>
      <c r="AC296" s="61"/>
      <c r="AE296" s="61"/>
    </row>
    <row r="297" spans="27:31" x14ac:dyDescent="0.2">
      <c r="AA297" s="61"/>
      <c r="AB297" s="61"/>
      <c r="AC297" s="61"/>
      <c r="AE297" s="61"/>
    </row>
    <row r="298" spans="27:31" x14ac:dyDescent="0.2">
      <c r="AA298" s="61"/>
      <c r="AB298" s="61"/>
      <c r="AC298" s="61"/>
      <c r="AE298" s="61"/>
    </row>
    <row r="299" spans="27:31" x14ac:dyDescent="0.2">
      <c r="AA299" s="61"/>
      <c r="AB299" s="61"/>
      <c r="AC299" s="61"/>
      <c r="AE299" s="61"/>
    </row>
    <row r="300" spans="27:31" x14ac:dyDescent="0.2">
      <c r="AA300" s="61"/>
      <c r="AB300" s="61"/>
      <c r="AC300" s="61"/>
      <c r="AE300" s="61"/>
    </row>
    <row r="301" spans="27:31" x14ac:dyDescent="0.2">
      <c r="AA301" s="61"/>
      <c r="AB301" s="61"/>
      <c r="AC301" s="61"/>
      <c r="AE301" s="61"/>
    </row>
    <row r="302" spans="27:31" x14ac:dyDescent="0.2">
      <c r="AA302" s="61"/>
      <c r="AB302" s="61"/>
      <c r="AC302" s="61"/>
      <c r="AE302" s="61"/>
    </row>
    <row r="303" spans="27:31" x14ac:dyDescent="0.2">
      <c r="AA303" s="61"/>
      <c r="AB303" s="61"/>
      <c r="AC303" s="61"/>
      <c r="AE303" s="61"/>
    </row>
    <row r="304" spans="27:31" x14ac:dyDescent="0.2">
      <c r="AA304" s="61"/>
      <c r="AB304" s="61"/>
      <c r="AC304" s="61"/>
      <c r="AE304" s="61"/>
    </row>
    <row r="305" spans="27:31" x14ac:dyDescent="0.2">
      <c r="AA305" s="61"/>
      <c r="AB305" s="61"/>
      <c r="AC305" s="61"/>
      <c r="AE305" s="61"/>
    </row>
    <row r="306" spans="27:31" x14ac:dyDescent="0.2">
      <c r="AA306" s="61"/>
      <c r="AB306" s="61"/>
      <c r="AC306" s="61"/>
      <c r="AE306" s="61"/>
    </row>
    <row r="307" spans="27:31" x14ac:dyDescent="0.2">
      <c r="AA307" s="61"/>
      <c r="AB307" s="61"/>
      <c r="AC307" s="61"/>
      <c r="AE307" s="61"/>
    </row>
    <row r="308" spans="27:31" x14ac:dyDescent="0.2">
      <c r="AA308" s="61"/>
      <c r="AB308" s="61"/>
      <c r="AC308" s="61"/>
      <c r="AE308" s="61"/>
    </row>
    <row r="309" spans="27:31" x14ac:dyDescent="0.2">
      <c r="AA309" s="61"/>
      <c r="AB309" s="61"/>
      <c r="AC309" s="61"/>
      <c r="AE309" s="61"/>
    </row>
    <row r="310" spans="27:31" x14ac:dyDescent="0.2">
      <c r="AA310" s="61"/>
      <c r="AB310" s="61"/>
      <c r="AC310" s="61"/>
      <c r="AE310" s="61"/>
    </row>
    <row r="311" spans="27:31" x14ac:dyDescent="0.2">
      <c r="AA311" s="61"/>
      <c r="AB311" s="61"/>
      <c r="AC311" s="61"/>
      <c r="AE311" s="61"/>
    </row>
    <row r="312" spans="27:31" x14ac:dyDescent="0.2">
      <c r="AA312" s="61"/>
      <c r="AB312" s="61"/>
      <c r="AC312" s="61"/>
      <c r="AE312" s="61"/>
    </row>
    <row r="313" spans="27:31" x14ac:dyDescent="0.2">
      <c r="AA313" s="61"/>
      <c r="AB313" s="61"/>
      <c r="AC313" s="61"/>
      <c r="AE313" s="61"/>
    </row>
    <row r="314" spans="27:31" x14ac:dyDescent="0.2">
      <c r="AA314" s="61"/>
      <c r="AB314" s="61"/>
      <c r="AC314" s="61"/>
      <c r="AE314" s="61"/>
    </row>
    <row r="315" spans="27:31" x14ac:dyDescent="0.2">
      <c r="AA315" s="61"/>
      <c r="AB315" s="61"/>
      <c r="AC315" s="61"/>
      <c r="AE315" s="61"/>
    </row>
    <row r="316" spans="27:31" x14ac:dyDescent="0.2">
      <c r="AA316" s="61"/>
      <c r="AB316" s="61"/>
      <c r="AC316" s="61"/>
      <c r="AE316" s="61"/>
    </row>
    <row r="317" spans="27:31" x14ac:dyDescent="0.2">
      <c r="AA317" s="61"/>
      <c r="AB317" s="61"/>
      <c r="AC317" s="61"/>
      <c r="AE317" s="61"/>
    </row>
    <row r="318" spans="27:31" x14ac:dyDescent="0.2">
      <c r="AA318" s="61"/>
      <c r="AB318" s="61"/>
      <c r="AC318" s="61"/>
      <c r="AE318" s="61"/>
    </row>
    <row r="319" spans="27:31" x14ac:dyDescent="0.2">
      <c r="AA319" s="61"/>
      <c r="AB319" s="61"/>
      <c r="AC319" s="61"/>
      <c r="AE319" s="61"/>
    </row>
    <row r="320" spans="27:31" x14ac:dyDescent="0.2">
      <c r="AA320" s="61"/>
      <c r="AB320" s="61"/>
      <c r="AC320" s="61"/>
      <c r="AE320" s="61"/>
    </row>
    <row r="321" spans="27:31" x14ac:dyDescent="0.2">
      <c r="AA321" s="61"/>
      <c r="AB321" s="61"/>
      <c r="AC321" s="61"/>
      <c r="AE321" s="61"/>
    </row>
    <row r="322" spans="27:31" x14ac:dyDescent="0.2">
      <c r="AA322" s="61"/>
      <c r="AB322" s="61"/>
      <c r="AC322" s="61"/>
      <c r="AE322" s="61"/>
    </row>
    <row r="323" spans="27:31" x14ac:dyDescent="0.2">
      <c r="AA323" s="61"/>
      <c r="AB323" s="61"/>
      <c r="AC323" s="61"/>
      <c r="AE323" s="61"/>
    </row>
    <row r="324" spans="27:31" x14ac:dyDescent="0.2">
      <c r="AA324" s="61"/>
      <c r="AB324" s="61"/>
      <c r="AC324" s="61"/>
      <c r="AE324" s="61"/>
    </row>
    <row r="325" spans="27:31" x14ac:dyDescent="0.2">
      <c r="AA325" s="61"/>
      <c r="AB325" s="61"/>
      <c r="AC325" s="61"/>
      <c r="AE325" s="61"/>
    </row>
    <row r="326" spans="27:31" x14ac:dyDescent="0.2">
      <c r="AA326" s="61"/>
      <c r="AB326" s="61"/>
      <c r="AC326" s="61"/>
      <c r="AE326" s="61"/>
    </row>
    <row r="327" spans="27:31" x14ac:dyDescent="0.2">
      <c r="AA327" s="61"/>
      <c r="AB327" s="61"/>
      <c r="AC327" s="61"/>
      <c r="AE327" s="61"/>
    </row>
    <row r="328" spans="27:31" x14ac:dyDescent="0.2">
      <c r="AA328" s="61"/>
      <c r="AB328" s="61"/>
      <c r="AC328" s="61"/>
      <c r="AE328" s="61"/>
    </row>
    <row r="329" spans="27:31" x14ac:dyDescent="0.2">
      <c r="AA329" s="61"/>
      <c r="AB329" s="61"/>
      <c r="AC329" s="61"/>
      <c r="AE329" s="61"/>
    </row>
    <row r="330" spans="27:31" x14ac:dyDescent="0.2">
      <c r="AA330" s="61"/>
      <c r="AB330" s="61"/>
      <c r="AC330" s="61"/>
      <c r="AE330" s="61"/>
    </row>
    <row r="331" spans="27:31" x14ac:dyDescent="0.2">
      <c r="AA331" s="61"/>
      <c r="AB331" s="61"/>
      <c r="AC331" s="61"/>
      <c r="AE331" s="61"/>
    </row>
    <row r="332" spans="27:31" x14ac:dyDescent="0.2">
      <c r="AA332" s="61"/>
      <c r="AB332" s="61"/>
      <c r="AC332" s="61"/>
      <c r="AE332" s="61"/>
    </row>
    <row r="333" spans="27:31" x14ac:dyDescent="0.2">
      <c r="AA333" s="61"/>
      <c r="AB333" s="61"/>
      <c r="AC333" s="61"/>
      <c r="AE333" s="61"/>
    </row>
    <row r="334" spans="27:31" x14ac:dyDescent="0.2">
      <c r="AA334" s="61"/>
      <c r="AB334" s="61"/>
      <c r="AC334" s="61"/>
      <c r="AE334" s="61"/>
    </row>
    <row r="335" spans="27:31" x14ac:dyDescent="0.2">
      <c r="AA335" s="61"/>
      <c r="AB335" s="61"/>
      <c r="AC335" s="61"/>
      <c r="AE335" s="61"/>
    </row>
    <row r="336" spans="27:31" x14ac:dyDescent="0.2">
      <c r="AA336" s="61"/>
      <c r="AB336" s="61"/>
      <c r="AC336" s="61"/>
      <c r="AE336" s="61"/>
    </row>
    <row r="337" spans="27:31" x14ac:dyDescent="0.2">
      <c r="AA337" s="61"/>
      <c r="AB337" s="61"/>
      <c r="AC337" s="61"/>
      <c r="AE337" s="61"/>
    </row>
    <row r="338" spans="27:31" x14ac:dyDescent="0.2">
      <c r="AA338" s="61"/>
      <c r="AB338" s="61"/>
      <c r="AC338" s="61"/>
      <c r="AE338" s="61"/>
    </row>
    <row r="339" spans="27:31" x14ac:dyDescent="0.2">
      <c r="AA339" s="61"/>
      <c r="AB339" s="61"/>
      <c r="AC339" s="61"/>
      <c r="AE339" s="61"/>
    </row>
    <row r="340" spans="27:31" x14ac:dyDescent="0.2">
      <c r="AA340" s="61"/>
      <c r="AB340" s="61"/>
      <c r="AC340" s="61"/>
      <c r="AE340" s="61"/>
    </row>
    <row r="341" spans="27:31" x14ac:dyDescent="0.2">
      <c r="AA341" s="61"/>
      <c r="AB341" s="61"/>
      <c r="AC341" s="61"/>
      <c r="AE341" s="61"/>
    </row>
    <row r="342" spans="27:31" x14ac:dyDescent="0.2">
      <c r="AA342" s="61"/>
      <c r="AB342" s="61"/>
      <c r="AC342" s="61"/>
      <c r="AE342" s="61"/>
    </row>
    <row r="343" spans="27:31" x14ac:dyDescent="0.2">
      <c r="AA343" s="61"/>
      <c r="AB343" s="61"/>
      <c r="AC343" s="61"/>
      <c r="AE343" s="61"/>
    </row>
    <row r="344" spans="27:31" x14ac:dyDescent="0.2">
      <c r="AA344" s="61"/>
      <c r="AB344" s="61"/>
      <c r="AC344" s="61"/>
      <c r="AE344" s="61"/>
    </row>
    <row r="345" spans="27:31" x14ac:dyDescent="0.2">
      <c r="AA345" s="61"/>
      <c r="AB345" s="61"/>
      <c r="AC345" s="61"/>
      <c r="AE345" s="61"/>
    </row>
    <row r="346" spans="27:31" x14ac:dyDescent="0.2">
      <c r="AA346" s="61"/>
      <c r="AB346" s="61"/>
      <c r="AC346" s="61"/>
      <c r="AE346" s="61"/>
    </row>
    <row r="347" spans="27:31" x14ac:dyDescent="0.2">
      <c r="AA347" s="61"/>
      <c r="AB347" s="61"/>
      <c r="AC347" s="61"/>
      <c r="AE347" s="61"/>
    </row>
    <row r="348" spans="27:31" x14ac:dyDescent="0.2">
      <c r="AA348" s="61"/>
      <c r="AB348" s="61"/>
      <c r="AC348" s="61"/>
      <c r="AE348" s="61"/>
    </row>
    <row r="349" spans="27:31" x14ac:dyDescent="0.2">
      <c r="AA349" s="61"/>
      <c r="AB349" s="61"/>
      <c r="AC349" s="61"/>
      <c r="AE349" s="61"/>
    </row>
    <row r="350" spans="27:31" x14ac:dyDescent="0.2">
      <c r="AA350" s="61"/>
      <c r="AB350" s="61"/>
      <c r="AC350" s="61"/>
      <c r="AE350" s="61"/>
    </row>
    <row r="351" spans="27:31" x14ac:dyDescent="0.2">
      <c r="AA351" s="61"/>
      <c r="AB351" s="61"/>
      <c r="AC351" s="61"/>
      <c r="AE351" s="61"/>
    </row>
    <row r="352" spans="27:31" x14ac:dyDescent="0.2">
      <c r="AA352" s="61"/>
      <c r="AB352" s="61"/>
      <c r="AC352" s="61"/>
      <c r="AE352" s="61"/>
    </row>
    <row r="353" spans="27:31" x14ac:dyDescent="0.2">
      <c r="AA353" s="61"/>
      <c r="AB353" s="61"/>
      <c r="AC353" s="61"/>
      <c r="AE353" s="61"/>
    </row>
    <row r="354" spans="27:31" x14ac:dyDescent="0.2">
      <c r="AA354" s="61"/>
      <c r="AB354" s="61"/>
      <c r="AC354" s="61"/>
      <c r="AE354" s="61"/>
    </row>
    <row r="355" spans="27:31" x14ac:dyDescent="0.2">
      <c r="AA355" s="61"/>
      <c r="AB355" s="61"/>
      <c r="AC355" s="61"/>
      <c r="AE355" s="61"/>
    </row>
    <row r="356" spans="27:31" x14ac:dyDescent="0.2">
      <c r="AA356" s="61"/>
      <c r="AB356" s="61"/>
      <c r="AC356" s="61"/>
      <c r="AE356" s="61"/>
    </row>
    <row r="357" spans="27:31" x14ac:dyDescent="0.2">
      <c r="AA357" s="61"/>
      <c r="AB357" s="61"/>
      <c r="AC357" s="61"/>
      <c r="AE357" s="61"/>
    </row>
    <row r="358" spans="27:31" x14ac:dyDescent="0.2">
      <c r="AA358" s="61"/>
      <c r="AB358" s="61"/>
      <c r="AC358" s="61"/>
      <c r="AE358" s="61"/>
    </row>
    <row r="359" spans="27:31" x14ac:dyDescent="0.2">
      <c r="AA359" s="61"/>
      <c r="AB359" s="61"/>
      <c r="AC359" s="61"/>
      <c r="AE359" s="61"/>
    </row>
    <row r="360" spans="27:31" x14ac:dyDescent="0.2">
      <c r="AA360" s="61"/>
      <c r="AB360" s="61"/>
      <c r="AC360" s="61"/>
      <c r="AE360" s="61"/>
    </row>
    <row r="361" spans="27:31" x14ac:dyDescent="0.2">
      <c r="AA361" s="61"/>
      <c r="AB361" s="61"/>
      <c r="AC361" s="61"/>
      <c r="AE361" s="61"/>
    </row>
    <row r="362" spans="27:31" x14ac:dyDescent="0.2">
      <c r="AA362" s="61"/>
      <c r="AB362" s="61"/>
      <c r="AC362" s="61"/>
      <c r="AE362" s="61"/>
    </row>
    <row r="363" spans="27:31" x14ac:dyDescent="0.2">
      <c r="AA363" s="61"/>
      <c r="AB363" s="61"/>
      <c r="AC363" s="61"/>
      <c r="AE363" s="61"/>
    </row>
    <row r="364" spans="27:31" x14ac:dyDescent="0.2">
      <c r="AA364" s="61"/>
      <c r="AB364" s="61"/>
      <c r="AC364" s="61"/>
      <c r="AE364" s="61"/>
    </row>
    <row r="365" spans="27:31" x14ac:dyDescent="0.2">
      <c r="AA365" s="61"/>
      <c r="AB365" s="61"/>
      <c r="AC365" s="61"/>
      <c r="AE365" s="61"/>
    </row>
    <row r="366" spans="27:31" x14ac:dyDescent="0.2">
      <c r="AA366" s="61"/>
      <c r="AB366" s="61"/>
      <c r="AC366" s="61"/>
      <c r="AE366" s="61"/>
    </row>
    <row r="367" spans="27:31" x14ac:dyDescent="0.2">
      <c r="AA367" s="61"/>
      <c r="AB367" s="61"/>
      <c r="AC367" s="61"/>
      <c r="AE367" s="61"/>
    </row>
    <row r="368" spans="27:31" x14ac:dyDescent="0.2">
      <c r="AA368" s="61"/>
      <c r="AB368" s="61"/>
      <c r="AC368" s="61"/>
      <c r="AE368" s="61"/>
    </row>
    <row r="369" spans="27:31" x14ac:dyDescent="0.2">
      <c r="AA369" s="61"/>
      <c r="AB369" s="61"/>
      <c r="AC369" s="61"/>
      <c r="AE369" s="61"/>
    </row>
    <row r="370" spans="27:31" x14ac:dyDescent="0.2">
      <c r="AA370" s="61"/>
      <c r="AB370" s="61"/>
      <c r="AC370" s="61"/>
      <c r="AE370" s="61"/>
    </row>
    <row r="371" spans="27:31" x14ac:dyDescent="0.2">
      <c r="AA371" s="61"/>
      <c r="AB371" s="61"/>
      <c r="AC371" s="61"/>
      <c r="AE371" s="61"/>
    </row>
    <row r="372" spans="27:31" x14ac:dyDescent="0.2">
      <c r="AA372" s="61"/>
      <c r="AB372" s="61"/>
      <c r="AC372" s="61"/>
      <c r="AE372" s="61"/>
    </row>
    <row r="373" spans="27:31" x14ac:dyDescent="0.2">
      <c r="AA373" s="61"/>
      <c r="AB373" s="61"/>
      <c r="AC373" s="61"/>
      <c r="AE373" s="61"/>
    </row>
    <row r="374" spans="27:31" x14ac:dyDescent="0.2">
      <c r="AA374" s="61"/>
      <c r="AB374" s="61"/>
      <c r="AC374" s="61"/>
      <c r="AE374" s="61"/>
    </row>
    <row r="375" spans="27:31" x14ac:dyDescent="0.2">
      <c r="AA375" s="61"/>
      <c r="AB375" s="61"/>
      <c r="AC375" s="61"/>
      <c r="AE375" s="61"/>
    </row>
    <row r="376" spans="27:31" x14ac:dyDescent="0.2">
      <c r="AA376" s="61"/>
      <c r="AB376" s="61"/>
      <c r="AC376" s="61"/>
      <c r="AE376" s="61"/>
    </row>
    <row r="377" spans="27:31" x14ac:dyDescent="0.2">
      <c r="AA377" s="61"/>
      <c r="AB377" s="61"/>
      <c r="AC377" s="61"/>
      <c r="AE377" s="61"/>
    </row>
    <row r="378" spans="27:31" x14ac:dyDescent="0.2">
      <c r="AA378" s="61"/>
      <c r="AB378" s="61"/>
      <c r="AC378" s="61"/>
      <c r="AE378" s="61"/>
    </row>
    <row r="379" spans="27:31" x14ac:dyDescent="0.2">
      <c r="AA379" s="61"/>
      <c r="AB379" s="61"/>
      <c r="AC379" s="61"/>
    </row>
    <row r="380" spans="27:31" x14ac:dyDescent="0.2">
      <c r="AA380" s="61"/>
      <c r="AB380" s="61"/>
      <c r="AC380" s="61"/>
    </row>
    <row r="381" spans="27:31" x14ac:dyDescent="0.2">
      <c r="AA381" s="61"/>
      <c r="AB381" s="61"/>
      <c r="AC381" s="61"/>
    </row>
    <row r="382" spans="27:31" x14ac:dyDescent="0.2">
      <c r="AA382" s="61"/>
      <c r="AB382" s="61"/>
      <c r="AC382" s="61"/>
      <c r="AE382" s="61"/>
    </row>
  </sheetData>
  <sheetProtection sheet="1" objects="1" scenarios="1"/>
  <phoneticPr fontId="34" type="noConversion"/>
  <conditionalFormatting sqref="A7:AZ7 A9:AZ23 A5:AZ5 BG5:BG23">
    <cfRule type="expression" dxfId="129" priority="240">
      <formula>$AW5 = "in progress"</formula>
    </cfRule>
  </conditionalFormatting>
  <conditionalFormatting sqref="A6:AZ6">
    <cfRule type="expression" dxfId="128" priority="241">
      <formula>$AW6 = "in progress"</formula>
    </cfRule>
  </conditionalFormatting>
  <conditionalFormatting sqref="A8:AZ8">
    <cfRule type="expression" dxfId="127" priority="239">
      <formula>$AW8 = "in progress"</formula>
    </cfRule>
  </conditionalFormatting>
  <conditionalFormatting sqref="BE4 A4:AW4">
    <cfRule type="expression" dxfId="126" priority="3">
      <formula>$AU4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J15" sqref="J15"/>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2" ht="63.95" customHeight="1" x14ac:dyDescent="0.25">
      <c r="A1" s="16"/>
      <c r="C1" s="191"/>
      <c r="D1" s="191"/>
      <c r="E1" s="191"/>
      <c r="F1" s="191"/>
      <c r="G1" s="191"/>
      <c r="H1" s="191"/>
      <c r="I1" s="191"/>
      <c r="J1" s="191"/>
    </row>
    <row r="2" spans="1:22" ht="32.1" customHeight="1" x14ac:dyDescent="0.2">
      <c r="A2" s="3" t="s">
        <v>94</v>
      </c>
      <c r="C2" s="3"/>
      <c r="D2" s="3"/>
      <c r="E2" s="19"/>
    </row>
    <row r="3" spans="1:22" ht="12" customHeight="1" x14ac:dyDescent="0.2">
      <c r="A3" s="14" t="s">
        <v>95</v>
      </c>
      <c r="B3" s="72" t="s">
        <v>96</v>
      </c>
      <c r="C3" s="14"/>
      <c r="D3"/>
      <c r="E3" t="s">
        <v>106</v>
      </c>
      <c r="F3" t="s">
        <v>107</v>
      </c>
      <c r="G3" t="s">
        <v>108</v>
      </c>
      <c r="I3" t="s">
        <v>304</v>
      </c>
      <c r="L3" t="s">
        <v>305</v>
      </c>
    </row>
    <row r="4" spans="1:22" ht="12" customHeight="1" x14ac:dyDescent="0.25">
      <c r="A4" s="14" t="s">
        <v>97</v>
      </c>
      <c r="B4" s="154">
        <v>2</v>
      </c>
      <c r="C4" s="76"/>
      <c r="D4"/>
      <c r="E4" s="72" t="s">
        <v>109</v>
      </c>
      <c r="F4" s="157">
        <v>350</v>
      </c>
      <c r="G4" s="157">
        <v>1400</v>
      </c>
      <c r="H4" s="42"/>
      <c r="I4" s="77" t="s">
        <v>303</v>
      </c>
      <c r="J4" s="77" t="s">
        <v>167</v>
      </c>
      <c r="L4" s="77" t="s">
        <v>303</v>
      </c>
      <c r="M4" s="77" t="s">
        <v>167</v>
      </c>
      <c r="O4" s="74"/>
      <c r="Q4" s="74"/>
      <c r="S4" s="5"/>
    </row>
    <row r="5" spans="1:22" ht="12" customHeight="1" x14ac:dyDescent="0.25">
      <c r="A5" s="72" t="s">
        <v>212</v>
      </c>
      <c r="B5" s="154">
        <v>1</v>
      </c>
      <c r="C5" s="76"/>
      <c r="D5"/>
      <c r="E5" s="14" t="s">
        <v>110</v>
      </c>
      <c r="F5" s="157">
        <v>350</v>
      </c>
      <c r="G5" s="157">
        <v>1400</v>
      </c>
      <c r="H5" s="42"/>
      <c r="I5" s="158">
        <v>100</v>
      </c>
      <c r="J5" s="158">
        <v>97</v>
      </c>
      <c r="L5" s="78">
        <v>38</v>
      </c>
      <c r="M5" s="78">
        <v>34</v>
      </c>
      <c r="O5" s="74"/>
      <c r="Q5" s="74"/>
      <c r="S5" s="5"/>
    </row>
    <row r="6" spans="1:22" ht="12" customHeight="1" x14ac:dyDescent="0.25">
      <c r="A6" s="14" t="s">
        <v>98</v>
      </c>
      <c r="B6" s="154">
        <v>6</v>
      </c>
      <c r="C6" s="76"/>
      <c r="D6"/>
      <c r="E6" s="72" t="s">
        <v>111</v>
      </c>
      <c r="F6" s="157">
        <v>900</v>
      </c>
      <c r="G6" s="157">
        <v>2500</v>
      </c>
      <c r="H6" s="42"/>
      <c r="I6" s="158">
        <v>125</v>
      </c>
      <c r="J6" s="158">
        <v>122</v>
      </c>
      <c r="L6" s="78">
        <v>50</v>
      </c>
      <c r="M6" s="78">
        <v>49</v>
      </c>
      <c r="O6" s="74"/>
      <c r="Q6" s="74"/>
      <c r="S6" s="5"/>
    </row>
    <row r="7" spans="1:22" ht="12" customHeight="1" x14ac:dyDescent="0.25">
      <c r="A7" s="14" t="s">
        <v>99</v>
      </c>
      <c r="B7" s="154">
        <v>3</v>
      </c>
      <c r="C7" s="72"/>
      <c r="D7"/>
      <c r="E7" s="14" t="s">
        <v>112</v>
      </c>
      <c r="F7" s="157">
        <v>20</v>
      </c>
      <c r="G7" s="157">
        <v>60</v>
      </c>
      <c r="H7" s="42"/>
      <c r="I7" s="158">
        <v>150</v>
      </c>
      <c r="J7" s="158">
        <v>148</v>
      </c>
      <c r="L7" s="78">
        <v>200</v>
      </c>
      <c r="M7" s="78">
        <v>197</v>
      </c>
      <c r="O7" s="74"/>
      <c r="Q7" s="74"/>
      <c r="S7" s="5"/>
    </row>
    <row r="8" spans="1:22" ht="12" customHeight="1" x14ac:dyDescent="0.25">
      <c r="A8" s="72" t="s">
        <v>100</v>
      </c>
      <c r="B8" s="154">
        <v>3</v>
      </c>
      <c r="C8"/>
      <c r="D8"/>
      <c r="E8" s="72" t="s">
        <v>126</v>
      </c>
      <c r="F8" s="157">
        <v>15</v>
      </c>
      <c r="G8" s="157">
        <v>60</v>
      </c>
      <c r="I8" s="159">
        <v>175</v>
      </c>
      <c r="J8" s="158">
        <v>173</v>
      </c>
      <c r="L8" s="15"/>
      <c r="M8" s="75"/>
      <c r="N8" s="42"/>
      <c r="P8" s="74"/>
      <c r="R8" s="74"/>
      <c r="T8" s="5"/>
    </row>
    <row r="9" spans="1:22" ht="12" customHeight="1" x14ac:dyDescent="0.25">
      <c r="A9" s="72" t="s">
        <v>101</v>
      </c>
      <c r="B9" s="154">
        <v>8</v>
      </c>
      <c r="C9"/>
      <c r="D9"/>
      <c r="E9" s="72" t="s">
        <v>125</v>
      </c>
      <c r="F9" s="157">
        <v>50</v>
      </c>
      <c r="G9" s="157">
        <v>275</v>
      </c>
      <c r="H9" s="42"/>
      <c r="I9" s="159">
        <v>200</v>
      </c>
      <c r="J9" s="158">
        <v>197</v>
      </c>
      <c r="L9" s="15"/>
      <c r="M9" s="75"/>
      <c r="N9" s="42"/>
      <c r="P9" s="74"/>
      <c r="R9" s="74"/>
      <c r="T9" s="5"/>
    </row>
    <row r="10" spans="1:22" ht="12" customHeight="1" x14ac:dyDescent="0.25">
      <c r="A10" s="72" t="s">
        <v>229</v>
      </c>
      <c r="B10" s="154">
        <v>2</v>
      </c>
      <c r="C10"/>
      <c r="D10"/>
      <c r="E10" s="72" t="s">
        <v>124</v>
      </c>
      <c r="F10" s="157">
        <v>10</v>
      </c>
      <c r="G10" s="157">
        <v>75</v>
      </c>
      <c r="H10" s="42"/>
      <c r="I10" s="159">
        <v>250</v>
      </c>
      <c r="J10" s="158">
        <v>245</v>
      </c>
      <c r="K10" s="42"/>
      <c r="L10" s="42"/>
      <c r="M10" s="15"/>
      <c r="N10" s="75"/>
      <c r="O10" s="42"/>
      <c r="P10" s="42"/>
      <c r="R10" s="75"/>
      <c r="T10" s="75"/>
      <c r="V10" s="5"/>
    </row>
    <row r="11" spans="1:22" ht="15" x14ac:dyDescent="0.25">
      <c r="A11" s="72" t="s">
        <v>230</v>
      </c>
      <c r="B11" s="154">
        <v>2</v>
      </c>
      <c r="C11"/>
      <c r="D11"/>
      <c r="E11" s="72" t="s">
        <v>128</v>
      </c>
      <c r="F11" s="157">
        <v>10</v>
      </c>
      <c r="G11" s="157">
        <v>50</v>
      </c>
      <c r="H11" s="42"/>
      <c r="I11" s="42"/>
      <c r="J11" s="75"/>
      <c r="K11" s="42"/>
      <c r="L11" s="42"/>
      <c r="M11" s="15"/>
      <c r="N11" s="75"/>
      <c r="O11" s="42"/>
      <c r="P11" s="42"/>
      <c r="R11" s="75"/>
      <c r="T11" s="75"/>
    </row>
    <row r="12" spans="1:22" ht="15" x14ac:dyDescent="0.25">
      <c r="A12" s="72" t="s">
        <v>102</v>
      </c>
      <c r="B12" s="154">
        <v>38</v>
      </c>
      <c r="C12"/>
      <c r="D12"/>
      <c r="E12" s="72" t="s">
        <v>122</v>
      </c>
      <c r="F12" s="157">
        <v>20</v>
      </c>
      <c r="G12" s="157">
        <v>250</v>
      </c>
      <c r="H12" s="42"/>
      <c r="I12" s="42"/>
      <c r="J12" s="75"/>
      <c r="K12" s="42"/>
      <c r="L12" s="42"/>
      <c r="M12" s="15"/>
      <c r="P12" s="42"/>
      <c r="R12" s="75"/>
      <c r="T12" s="75"/>
      <c r="V12" s="42"/>
    </row>
    <row r="13" spans="1:22" ht="15" x14ac:dyDescent="0.25">
      <c r="A13" s="72" t="s">
        <v>103</v>
      </c>
      <c r="B13" s="154">
        <v>22</v>
      </c>
      <c r="C13"/>
      <c r="D13"/>
      <c r="E13" s="72" t="s">
        <v>133</v>
      </c>
      <c r="F13" s="157">
        <v>3</v>
      </c>
      <c r="G13" s="157">
        <v>32</v>
      </c>
      <c r="H13" s="42"/>
      <c r="I13" s="42"/>
      <c r="J13" s="75"/>
      <c r="K13" s="42"/>
      <c r="L13" s="42"/>
      <c r="M13" s="15"/>
      <c r="P13" s="42"/>
      <c r="R13" s="75"/>
      <c r="T13" s="75"/>
      <c r="V13" s="42"/>
    </row>
    <row r="14" spans="1:22" ht="15" x14ac:dyDescent="0.25">
      <c r="A14" s="72" t="s">
        <v>104</v>
      </c>
      <c r="B14" s="154">
        <v>2</v>
      </c>
      <c r="C14"/>
      <c r="D14"/>
      <c r="E14" s="72" t="s">
        <v>364</v>
      </c>
      <c r="F14" s="157">
        <v>25</v>
      </c>
      <c r="G14" s="157">
        <v>100</v>
      </c>
      <c r="H14" s="42"/>
      <c r="I14" s="42"/>
      <c r="J14" s="75"/>
      <c r="K14" s="42"/>
      <c r="L14" s="42"/>
      <c r="M14" s="15"/>
      <c r="N14" s="42"/>
      <c r="O14" s="42"/>
      <c r="P14" s="42"/>
      <c r="R14" s="75"/>
      <c r="T14" s="75"/>
      <c r="V14" s="42"/>
    </row>
    <row r="15" spans="1:22" ht="15" x14ac:dyDescent="0.25">
      <c r="A15" s="72" t="s">
        <v>213</v>
      </c>
      <c r="B15" s="154" t="s">
        <v>21</v>
      </c>
      <c r="D15"/>
      <c r="E15" s="72" t="s">
        <v>365</v>
      </c>
      <c r="F15" s="157">
        <v>8</v>
      </c>
      <c r="G15" s="157">
        <v>25</v>
      </c>
      <c r="H15" s="42"/>
      <c r="I15" s="42"/>
      <c r="J15" s="42"/>
      <c r="K15" s="42"/>
      <c r="P15" s="42"/>
      <c r="V15" s="42"/>
    </row>
    <row r="16" spans="1:22" s="42" customFormat="1" ht="15" x14ac:dyDescent="0.25">
      <c r="A16" s="72" t="s">
        <v>105</v>
      </c>
      <c r="B16" s="154">
        <v>4</v>
      </c>
      <c r="E16" s="72" t="s">
        <v>121</v>
      </c>
      <c r="F16" s="157">
        <v>25</v>
      </c>
      <c r="G16" s="157">
        <v>120</v>
      </c>
    </row>
    <row r="17" spans="1:7" s="42" customFormat="1" ht="15" x14ac:dyDescent="0.25">
      <c r="A17" s="72" t="s">
        <v>117</v>
      </c>
      <c r="B17" s="154">
        <v>1</v>
      </c>
      <c r="E17" s="72" t="s">
        <v>120</v>
      </c>
      <c r="F17" s="157">
        <v>10</v>
      </c>
      <c r="G17" s="157">
        <v>35</v>
      </c>
    </row>
    <row r="18" spans="1:7" s="42" customFormat="1" ht="15" x14ac:dyDescent="0.25">
      <c r="A18" s="72" t="s">
        <v>175</v>
      </c>
      <c r="B18" s="155">
        <v>0.05</v>
      </c>
      <c r="E18" s="72" t="s">
        <v>134</v>
      </c>
      <c r="F18" s="157">
        <v>30</v>
      </c>
      <c r="G18" s="157">
        <v>150</v>
      </c>
    </row>
    <row r="19" spans="1:7" s="42" customFormat="1" ht="15" x14ac:dyDescent="0.25">
      <c r="A19" s="72" t="s">
        <v>235</v>
      </c>
      <c r="B19" s="154">
        <v>20</v>
      </c>
      <c r="E19" s="72" t="s">
        <v>135</v>
      </c>
      <c r="F19" s="157">
        <v>10</v>
      </c>
      <c r="G19" s="157">
        <v>40</v>
      </c>
    </row>
    <row r="20" spans="1:7" s="42" customFormat="1" ht="15" x14ac:dyDescent="0.25">
      <c r="A20" s="62" t="s">
        <v>349</v>
      </c>
      <c r="B20" s="156" t="s">
        <v>350</v>
      </c>
      <c r="E20" s="72" t="s">
        <v>136</v>
      </c>
      <c r="F20" s="157">
        <v>75</v>
      </c>
      <c r="G20" s="157">
        <v>220</v>
      </c>
    </row>
    <row r="21" spans="1:7" s="42" customFormat="1" ht="15" x14ac:dyDescent="0.25">
      <c r="E21" s="72" t="s">
        <v>131</v>
      </c>
      <c r="F21" s="157">
        <v>10</v>
      </c>
      <c r="G21" s="157">
        <v>40</v>
      </c>
    </row>
    <row r="22" spans="1:7" s="42" customFormat="1" ht="15" x14ac:dyDescent="0.25">
      <c r="E22" s="72" t="s">
        <v>115</v>
      </c>
      <c r="F22" s="157">
        <v>35</v>
      </c>
      <c r="G22" s="157">
        <v>250</v>
      </c>
    </row>
    <row r="23" spans="1:7" s="42" customFormat="1" ht="15" x14ac:dyDescent="0.25">
      <c r="A23" s="14"/>
      <c r="E23" s="72" t="s">
        <v>116</v>
      </c>
      <c r="F23" s="157">
        <v>400</v>
      </c>
      <c r="G23" s="157">
        <v>2500</v>
      </c>
    </row>
    <row r="24" spans="1:7" s="42" customFormat="1" ht="15" x14ac:dyDescent="0.25">
      <c r="A24" s="14"/>
      <c r="E24" s="72" t="s">
        <v>353</v>
      </c>
      <c r="F24" s="157">
        <v>0</v>
      </c>
      <c r="G24" s="157">
        <v>10000</v>
      </c>
    </row>
    <row r="25" spans="1:7" s="42" customFormat="1" x14ac:dyDescent="0.2">
      <c r="A25" s="14"/>
      <c r="F25"/>
      <c r="G25"/>
    </row>
    <row r="26" spans="1:7" s="42" customFormat="1" x14ac:dyDescent="0.2">
      <c r="A26" s="14"/>
      <c r="F26"/>
      <c r="G26"/>
    </row>
    <row r="27" spans="1:7" s="42" customFormat="1" x14ac:dyDescent="0.2">
      <c r="A27" s="14"/>
      <c r="F27"/>
      <c r="G27"/>
    </row>
    <row r="28" spans="1:7" s="42" customFormat="1" x14ac:dyDescent="0.2">
      <c r="A28" s="14"/>
      <c r="F28"/>
      <c r="G28"/>
    </row>
    <row r="29" spans="1:7" s="42" customFormat="1" x14ac:dyDescent="0.2">
      <c r="A29" s="14"/>
      <c r="F29"/>
      <c r="G29"/>
    </row>
    <row r="30" spans="1:7" s="42" customFormat="1" x14ac:dyDescent="0.2">
      <c r="A30" s="14"/>
      <c r="F30"/>
      <c r="G30"/>
    </row>
    <row r="31" spans="1:7" s="42" customFormat="1" x14ac:dyDescent="0.2">
      <c r="A31" s="14"/>
      <c r="F31"/>
      <c r="G31"/>
    </row>
    <row r="32" spans="1:7"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sheetProtection sheet="1" objects="1" scenarios="1"/>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B4" sqref="B4"/>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2</v>
      </c>
      <c r="C2" s="3"/>
      <c r="D2" s="3"/>
      <c r="E2" s="19"/>
    </row>
    <row r="3" spans="1:5" x14ac:dyDescent="0.2">
      <c r="A3" s="17" t="s">
        <v>3</v>
      </c>
      <c r="B3" s="23" t="s">
        <v>4</v>
      </c>
      <c r="C3" s="41" t="s">
        <v>5</v>
      </c>
      <c r="D3" s="41" t="s">
        <v>6</v>
      </c>
      <c r="E3" s="18"/>
    </row>
    <row r="4" spans="1:5" x14ac:dyDescent="0.2">
      <c r="A4" s="14" t="s">
        <v>393</v>
      </c>
      <c r="B4" s="43" t="s">
        <v>395</v>
      </c>
      <c r="C4" s="42" t="s">
        <v>96</v>
      </c>
      <c r="D4" s="42" t="s">
        <v>396</v>
      </c>
    </row>
    <row r="5" spans="1:5" x14ac:dyDescent="0.2">
      <c r="A5" s="14" t="s">
        <v>393</v>
      </c>
      <c r="B5" s="43" t="s">
        <v>397</v>
      </c>
      <c r="C5" s="42" t="s">
        <v>96</v>
      </c>
      <c r="D5" s="42" t="s">
        <v>398</v>
      </c>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sheetProtection sheet="1" objects="1" scenarios="1"/>
  <hyperlinks>
    <hyperlink ref="B4" location="Schedules!H4" display="H4" xr:uid="{C15E8BF8-847B-4B13-B5E3-26AC598A6C2A}"/>
    <hyperlink ref="B5" location="Schedules!H6" display="H6" xr:uid="{2949F9BF-C2BB-4A61-A69F-F5DC318291F9}"/>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4"/>
  <sheetViews>
    <sheetView showGridLines="0" workbookViewId="0">
      <pane ySplit="3" topLeftCell="A4" activePane="bottomLeft" state="frozen"/>
      <selection pane="bottomLeft" activeCell="L16" sqref="L16"/>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v0.38</v>
      </c>
      <c r="B2" s="4"/>
      <c r="M2" s="26"/>
    </row>
    <row r="3" spans="1:13" ht="15" x14ac:dyDescent="0.25">
      <c r="A3" s="1" t="s">
        <v>9</v>
      </c>
      <c r="B3" s="2" t="s">
        <v>10</v>
      </c>
      <c r="M3" s="27"/>
    </row>
    <row r="4" spans="1:13" ht="15" x14ac:dyDescent="0.25">
      <c r="A4" s="6" t="s">
        <v>403</v>
      </c>
      <c r="B4" s="7" t="s">
        <v>404</v>
      </c>
      <c r="M4" s="27"/>
    </row>
    <row r="5" spans="1:13" ht="15" x14ac:dyDescent="0.25">
      <c r="A5" s="6"/>
      <c r="B5" s="10" t="s">
        <v>405</v>
      </c>
      <c r="M5" s="27"/>
    </row>
    <row r="6" spans="1:13" ht="15" x14ac:dyDescent="0.25">
      <c r="A6" s="6" t="s">
        <v>402</v>
      </c>
      <c r="B6" s="7" t="s">
        <v>390</v>
      </c>
      <c r="M6" s="27"/>
    </row>
    <row r="7" spans="1:13" ht="15" x14ac:dyDescent="0.25">
      <c r="A7" s="6" t="s">
        <v>389</v>
      </c>
      <c r="B7" s="7" t="s">
        <v>390</v>
      </c>
      <c r="M7" s="27"/>
    </row>
    <row r="8" spans="1:13" ht="15" x14ac:dyDescent="0.25">
      <c r="A8" s="6" t="s">
        <v>376</v>
      </c>
      <c r="B8" s="7" t="s">
        <v>377</v>
      </c>
      <c r="M8" s="27"/>
    </row>
    <row r="9" spans="1:13" ht="15" x14ac:dyDescent="0.25">
      <c r="A9" s="6" t="s">
        <v>375</v>
      </c>
      <c r="B9" s="7" t="s">
        <v>373</v>
      </c>
      <c r="M9" s="27"/>
    </row>
    <row r="10" spans="1:13" ht="15" x14ac:dyDescent="0.25">
      <c r="A10" s="6" t="s">
        <v>374</v>
      </c>
      <c r="B10" s="7" t="s">
        <v>373</v>
      </c>
      <c r="M10" s="27"/>
    </row>
    <row r="11" spans="1:13" ht="15" x14ac:dyDescent="0.25">
      <c r="A11" s="6" t="s">
        <v>372</v>
      </c>
      <c r="B11" s="7" t="s">
        <v>373</v>
      </c>
      <c r="M11" s="27"/>
    </row>
    <row r="12" spans="1:13" ht="15" x14ac:dyDescent="0.25">
      <c r="A12" s="6" t="s">
        <v>361</v>
      </c>
      <c r="B12" s="7" t="s">
        <v>348</v>
      </c>
      <c r="M12" s="27"/>
    </row>
    <row r="13" spans="1:13" ht="15" x14ac:dyDescent="0.25">
      <c r="A13" s="6" t="s">
        <v>357</v>
      </c>
      <c r="B13" s="7" t="s">
        <v>348</v>
      </c>
      <c r="M13" s="27"/>
    </row>
    <row r="14" spans="1:13" ht="15" x14ac:dyDescent="0.25">
      <c r="A14" s="6" t="s">
        <v>356</v>
      </c>
      <c r="B14" s="7" t="s">
        <v>348</v>
      </c>
      <c r="M14" s="27"/>
    </row>
    <row r="15" spans="1:13" ht="15" x14ac:dyDescent="0.25">
      <c r="A15" s="6" t="s">
        <v>355</v>
      </c>
      <c r="B15" s="7" t="s">
        <v>348</v>
      </c>
      <c r="M15" s="27"/>
    </row>
    <row r="16" spans="1:13" ht="15" x14ac:dyDescent="0.25">
      <c r="A16" s="6" t="s">
        <v>354</v>
      </c>
      <c r="B16" s="7" t="s">
        <v>348</v>
      </c>
      <c r="M16" s="27"/>
    </row>
    <row r="17" spans="1:13" ht="15" x14ac:dyDescent="0.25">
      <c r="A17" s="6" t="s">
        <v>352</v>
      </c>
      <c r="B17" s="7" t="s">
        <v>348</v>
      </c>
      <c r="M17" s="27"/>
    </row>
    <row r="18" spans="1:13" ht="15" x14ac:dyDescent="0.25">
      <c r="A18" s="6" t="s">
        <v>351</v>
      </c>
      <c r="B18" s="7" t="s">
        <v>348</v>
      </c>
      <c r="M18" s="27"/>
    </row>
    <row r="19" spans="1:13" ht="15" x14ac:dyDescent="0.25">
      <c r="A19" s="6" t="s">
        <v>341</v>
      </c>
      <c r="B19" s="7" t="s">
        <v>342</v>
      </c>
      <c r="M19" s="27"/>
    </row>
    <row r="20" spans="1:13" ht="15" x14ac:dyDescent="0.25">
      <c r="A20" s="6" t="s">
        <v>338</v>
      </c>
      <c r="B20" s="7" t="s">
        <v>339</v>
      </c>
      <c r="M20" s="27"/>
    </row>
    <row r="21" spans="1:13" ht="15" x14ac:dyDescent="0.25">
      <c r="A21" s="6" t="s">
        <v>284</v>
      </c>
      <c r="B21" s="7" t="s">
        <v>246</v>
      </c>
      <c r="M21" s="27"/>
    </row>
    <row r="22" spans="1:13" ht="15" x14ac:dyDescent="0.25">
      <c r="A22" s="6" t="s">
        <v>283</v>
      </c>
      <c r="B22" s="7" t="s">
        <v>246</v>
      </c>
      <c r="M22" s="27"/>
    </row>
    <row r="23" spans="1:13" ht="15" x14ac:dyDescent="0.25">
      <c r="A23" s="6" t="s">
        <v>282</v>
      </c>
      <c r="B23" s="7" t="s">
        <v>246</v>
      </c>
      <c r="M23" s="27"/>
    </row>
    <row r="24" spans="1:13" ht="15" x14ac:dyDescent="0.25">
      <c r="A24" s="6" t="s">
        <v>280</v>
      </c>
      <c r="B24" s="7" t="s">
        <v>246</v>
      </c>
      <c r="M24" s="27"/>
    </row>
    <row r="25" spans="1:13" ht="15" x14ac:dyDescent="0.25">
      <c r="A25" s="6" t="s">
        <v>279</v>
      </c>
      <c r="B25" s="7" t="s">
        <v>246</v>
      </c>
      <c r="M25" s="27"/>
    </row>
    <row r="26" spans="1:13" ht="15" x14ac:dyDescent="0.25">
      <c r="A26" s="6" t="s">
        <v>278</v>
      </c>
      <c r="B26" s="7" t="s">
        <v>246</v>
      </c>
      <c r="M26" s="27"/>
    </row>
    <row r="27" spans="1:13" ht="15" x14ac:dyDescent="0.25">
      <c r="A27" s="6" t="s">
        <v>272</v>
      </c>
      <c r="B27" s="7" t="s">
        <v>246</v>
      </c>
      <c r="M27" s="27"/>
    </row>
    <row r="28" spans="1:13" ht="15" x14ac:dyDescent="0.25">
      <c r="A28" s="6" t="s">
        <v>247</v>
      </c>
      <c r="B28" s="7" t="s">
        <v>246</v>
      </c>
      <c r="M28" s="27"/>
    </row>
    <row r="29" spans="1:13" ht="15" x14ac:dyDescent="0.25">
      <c r="A29" s="6" t="s">
        <v>245</v>
      </c>
      <c r="B29" s="7" t="s">
        <v>246</v>
      </c>
      <c r="M29" s="27"/>
    </row>
    <row r="30" spans="1:13" ht="15" x14ac:dyDescent="0.25">
      <c r="A30" s="6" t="s">
        <v>244</v>
      </c>
      <c r="B30" s="7" t="s">
        <v>242</v>
      </c>
      <c r="M30" s="27"/>
    </row>
    <row r="31" spans="1:13" ht="15" x14ac:dyDescent="0.25">
      <c r="A31" s="6" t="s">
        <v>243</v>
      </c>
      <c r="B31" s="7" t="s">
        <v>242</v>
      </c>
      <c r="M31" s="27"/>
    </row>
    <row r="32" spans="1:13" ht="15" x14ac:dyDescent="0.25">
      <c r="A32" s="6" t="s">
        <v>241</v>
      </c>
      <c r="B32" s="7" t="s">
        <v>242</v>
      </c>
      <c r="M32" s="27"/>
    </row>
    <row r="33" spans="1:13" ht="15" x14ac:dyDescent="0.25">
      <c r="A33" s="6" t="s">
        <v>236</v>
      </c>
      <c r="B33" s="7" t="s">
        <v>237</v>
      </c>
      <c r="M33" s="27"/>
    </row>
    <row r="34" spans="1:13" ht="15" x14ac:dyDescent="0.25">
      <c r="A34" s="6" t="s">
        <v>231</v>
      </c>
      <c r="B34" s="7" t="s">
        <v>225</v>
      </c>
      <c r="M34" s="27"/>
    </row>
    <row r="35" spans="1:13" ht="15" x14ac:dyDescent="0.25">
      <c r="A35" s="6" t="s">
        <v>224</v>
      </c>
      <c r="B35" s="7" t="s">
        <v>225</v>
      </c>
      <c r="M35" s="27"/>
    </row>
    <row r="36" spans="1:13" ht="15" x14ac:dyDescent="0.25">
      <c r="A36" s="6" t="s">
        <v>200</v>
      </c>
      <c r="B36" s="7" t="s">
        <v>201</v>
      </c>
      <c r="M36" s="27"/>
    </row>
    <row r="37" spans="1:13" ht="15" x14ac:dyDescent="0.25">
      <c r="A37" s="6" t="s">
        <v>156</v>
      </c>
      <c r="B37" s="7" t="s">
        <v>143</v>
      </c>
      <c r="M37" s="27"/>
    </row>
    <row r="38" spans="1:13" ht="15" x14ac:dyDescent="0.25">
      <c r="A38" s="6" t="s">
        <v>142</v>
      </c>
      <c r="B38" s="7" t="s">
        <v>143</v>
      </c>
      <c r="M38" s="27"/>
    </row>
    <row r="39" spans="1:13" ht="15" x14ac:dyDescent="0.25">
      <c r="A39" s="6" t="s">
        <v>91</v>
      </c>
      <c r="B39" s="7" t="s">
        <v>92</v>
      </c>
      <c r="M39" s="27"/>
    </row>
    <row r="40" spans="1:13" ht="15" x14ac:dyDescent="0.25">
      <c r="A40" s="6" t="s">
        <v>30</v>
      </c>
      <c r="B40" s="7" t="s">
        <v>31</v>
      </c>
      <c r="M40" s="27"/>
    </row>
    <row r="41" spans="1:13" ht="15" x14ac:dyDescent="0.25">
      <c r="A41" s="6" t="s">
        <v>0</v>
      </c>
      <c r="B41" s="7" t="s">
        <v>29</v>
      </c>
      <c r="M41" s="27"/>
    </row>
    <row r="42" spans="1:13" ht="15" x14ac:dyDescent="0.25">
      <c r="A42" s="6"/>
      <c r="B42" s="7"/>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10"/>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6"/>
      <c r="B56" s="10"/>
      <c r="M56" s="27"/>
    </row>
    <row r="57" spans="1:13" ht="15" x14ac:dyDescent="0.25">
      <c r="A57" s="6"/>
      <c r="B57" s="7"/>
      <c r="M57" s="27"/>
    </row>
    <row r="58" spans="1:13" ht="15" x14ac:dyDescent="0.25">
      <c r="A58" s="6"/>
      <c r="B58" s="10"/>
      <c r="M58" s="27"/>
    </row>
    <row r="59" spans="1:13" ht="15" x14ac:dyDescent="0.25">
      <c r="A59" s="6"/>
      <c r="B59" s="7"/>
      <c r="M59" s="27"/>
    </row>
    <row r="60" spans="1:13" ht="15" x14ac:dyDescent="0.25">
      <c r="A60" s="6"/>
      <c r="B60" s="10"/>
      <c r="M60" s="27"/>
    </row>
    <row r="61" spans="1:13" ht="15" x14ac:dyDescent="0.25">
      <c r="A61" s="6"/>
      <c r="B61" s="10"/>
      <c r="M61" s="27"/>
    </row>
    <row r="62" spans="1:13" ht="15" x14ac:dyDescent="0.25">
      <c r="A62" s="6"/>
      <c r="B62" s="7"/>
      <c r="M62" s="27"/>
    </row>
    <row r="63" spans="1:13" ht="15" x14ac:dyDescent="0.25">
      <c r="A63" s="6"/>
      <c r="B63" s="10"/>
      <c r="M63" s="27"/>
    </row>
    <row r="64" spans="1:13" ht="15" x14ac:dyDescent="0.25">
      <c r="A64" s="11"/>
      <c r="B64" s="12"/>
      <c r="M64" s="27"/>
    </row>
    <row r="65" spans="1:13" ht="15" x14ac:dyDescent="0.25">
      <c r="A65" s="6"/>
      <c r="B65" s="7"/>
      <c r="M65" s="27"/>
    </row>
    <row r="66" spans="1:13" ht="15" x14ac:dyDescent="0.25">
      <c r="A66" s="6"/>
      <c r="B66" s="10" t="s">
        <v>8</v>
      </c>
      <c r="M66" s="27"/>
    </row>
    <row r="67" spans="1:13" ht="15" x14ac:dyDescent="0.25">
      <c r="A67" s="11"/>
      <c r="B67" s="12"/>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10"/>
      <c r="M73" s="27"/>
    </row>
    <row r="74" spans="1:13" ht="15" x14ac:dyDescent="0.25">
      <c r="A74" s="6"/>
      <c r="B74" s="10"/>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7"/>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7"/>
      <c r="M85" s="27"/>
    </row>
    <row r="86" spans="1:13" ht="15" x14ac:dyDescent="0.25">
      <c r="A86" s="6"/>
      <c r="B86" s="7"/>
      <c r="M86" s="27"/>
    </row>
    <row r="87" spans="1:13" ht="15" x14ac:dyDescent="0.25">
      <c r="A87" s="6"/>
      <c r="B87" s="7"/>
      <c r="M87" s="27"/>
    </row>
    <row r="88" spans="1:13" ht="15" x14ac:dyDescent="0.25">
      <c r="A88" s="6"/>
      <c r="B88" s="7"/>
      <c r="M88" s="27"/>
    </row>
    <row r="89" spans="1:13" ht="15" x14ac:dyDescent="0.25">
      <c r="A89" s="6"/>
      <c r="B89" s="10"/>
      <c r="M89" s="27"/>
    </row>
    <row r="90" spans="1:13" ht="15" x14ac:dyDescent="0.25">
      <c r="A90" s="6"/>
      <c r="B90" s="7"/>
      <c r="M90" s="27"/>
    </row>
    <row r="91" spans="1:13" ht="15" x14ac:dyDescent="0.25">
      <c r="A91" s="6"/>
      <c r="B91" s="10"/>
      <c r="M91" s="27"/>
    </row>
    <row r="92" spans="1:13" ht="15" x14ac:dyDescent="0.25">
      <c r="A92" s="6"/>
      <c r="B92" s="7"/>
      <c r="M92" s="27"/>
    </row>
    <row r="93" spans="1:13" ht="15" x14ac:dyDescent="0.25">
      <c r="A93" s="6"/>
      <c r="B93" s="10"/>
      <c r="M93" s="27"/>
    </row>
    <row r="94" spans="1:13" ht="15" x14ac:dyDescent="0.25">
      <c r="A94" s="11"/>
      <c r="B94" s="12"/>
      <c r="M94" s="27"/>
    </row>
    <row r="95" spans="1:13" ht="15" x14ac:dyDescent="0.25">
      <c r="A95" s="11"/>
      <c r="B95" s="10"/>
      <c r="M95" s="27"/>
    </row>
    <row r="96" spans="1:13" ht="15" x14ac:dyDescent="0.25">
      <c r="A96" s="6"/>
      <c r="B96" s="7"/>
      <c r="M96" s="27"/>
    </row>
    <row r="97" spans="1:13" ht="15" x14ac:dyDescent="0.25">
      <c r="A97" s="6"/>
      <c r="B97" s="10"/>
      <c r="M97" s="27"/>
    </row>
    <row r="98" spans="1:13" ht="15" x14ac:dyDescent="0.25">
      <c r="A98" s="6"/>
      <c r="B98" s="7"/>
      <c r="M98" s="27"/>
    </row>
    <row r="99" spans="1:13" ht="15" x14ac:dyDescent="0.25">
      <c r="A99" s="6"/>
      <c r="B99" s="10"/>
      <c r="M99" s="27"/>
    </row>
    <row r="100" spans="1:13" ht="15" x14ac:dyDescent="0.25">
      <c r="A100" s="6"/>
      <c r="B100" s="7"/>
      <c r="M100" s="27"/>
    </row>
    <row r="101" spans="1:13" ht="15" x14ac:dyDescent="0.25">
      <c r="A101" s="6"/>
      <c r="B101" s="10"/>
      <c r="M101" s="27"/>
    </row>
    <row r="102" spans="1:13" ht="15" x14ac:dyDescent="0.25">
      <c r="A102" s="11"/>
      <c r="B102" s="12"/>
      <c r="M102" s="27"/>
    </row>
    <row r="103" spans="1:13" ht="15" x14ac:dyDescent="0.25">
      <c r="A103" s="11"/>
      <c r="B103" s="10"/>
    </row>
    <row r="104" spans="1:13" ht="15" x14ac:dyDescent="0.25">
      <c r="A104" s="11"/>
      <c r="B104" s="10"/>
    </row>
    <row r="105" spans="1:13" ht="15" x14ac:dyDescent="0.25">
      <c r="A105" s="11"/>
      <c r="B105" s="10"/>
    </row>
    <row r="106" spans="1:13" ht="15" x14ac:dyDescent="0.25">
      <c r="A106" s="11"/>
      <c r="B106" s="10"/>
    </row>
    <row r="107" spans="1:13" ht="15" x14ac:dyDescent="0.25">
      <c r="A107" s="11"/>
      <c r="B107" s="10"/>
    </row>
    <row r="108" spans="1:13" ht="15" x14ac:dyDescent="0.25">
      <c r="A108" s="11"/>
      <c r="B108" s="10"/>
    </row>
    <row r="109" spans="1:13" ht="15" x14ac:dyDescent="0.25">
      <c r="A109" s="6"/>
      <c r="B109" s="7"/>
    </row>
    <row r="110" spans="1:13" ht="15" x14ac:dyDescent="0.25">
      <c r="A110" s="6"/>
      <c r="B110" s="7"/>
    </row>
    <row r="111" spans="1:13" ht="15" x14ac:dyDescent="0.25">
      <c r="A111" s="6"/>
      <c r="B111" s="10"/>
    </row>
    <row r="112" spans="1:13" ht="15" x14ac:dyDescent="0.25">
      <c r="A112" s="6"/>
      <c r="B112" s="7"/>
    </row>
    <row r="113" spans="1:2" ht="15" x14ac:dyDescent="0.25">
      <c r="A113" s="6"/>
      <c r="B113" s="7"/>
    </row>
    <row r="114" spans="1:2" ht="15" x14ac:dyDescent="0.25">
      <c r="A114" s="6"/>
      <c r="B114" s="7"/>
    </row>
    <row r="115" spans="1:2" ht="15" x14ac:dyDescent="0.25">
      <c r="A115" s="6"/>
      <c r="B115" s="10"/>
    </row>
    <row r="116" spans="1:2" ht="15" x14ac:dyDescent="0.25">
      <c r="A116" s="6"/>
      <c r="B116" s="7"/>
    </row>
    <row r="117" spans="1:2" ht="15" x14ac:dyDescent="0.25">
      <c r="A117" s="11"/>
      <c r="B117" s="12"/>
    </row>
    <row r="118" spans="1:2" ht="15" x14ac:dyDescent="0.25">
      <c r="A118" s="11"/>
      <c r="B118" s="10"/>
    </row>
    <row r="119" spans="1:2" ht="15" x14ac:dyDescent="0.25">
      <c r="A119" s="6"/>
      <c r="B119" s="7"/>
    </row>
    <row r="120" spans="1:2" ht="15" x14ac:dyDescent="0.25">
      <c r="A120" s="11"/>
      <c r="B120" s="12"/>
    </row>
    <row r="121" spans="1:2" ht="15" x14ac:dyDescent="0.25">
      <c r="A121" s="11"/>
      <c r="B121" s="10"/>
    </row>
    <row r="122" spans="1:2" ht="15" x14ac:dyDescent="0.25">
      <c r="A122" s="6"/>
      <c r="B122" s="7"/>
    </row>
    <row r="123" spans="1:2" ht="15" x14ac:dyDescent="0.25">
      <c r="A123" s="6"/>
      <c r="B123" s="7"/>
    </row>
    <row r="124" spans="1:2" ht="15" x14ac:dyDescent="0.25">
      <c r="A124" s="6"/>
      <c r="B124" s="10"/>
    </row>
    <row r="125" spans="1:2" ht="15" x14ac:dyDescent="0.25">
      <c r="A125" s="11"/>
      <c r="B125" s="12"/>
    </row>
    <row r="126" spans="1:2" ht="15" x14ac:dyDescent="0.25">
      <c r="A126" s="11"/>
      <c r="B126" s="7"/>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11"/>
      <c r="B149" s="12"/>
    </row>
    <row r="150" spans="1:2" ht="15" x14ac:dyDescent="0.25">
      <c r="A150" s="11"/>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11"/>
      <c r="B160" s="12"/>
    </row>
    <row r="161" spans="1:2" ht="15" x14ac:dyDescent="0.25">
      <c r="A161" s="11"/>
      <c r="B161" s="10"/>
    </row>
    <row r="162" spans="1:2" ht="15" x14ac:dyDescent="0.25">
      <c r="A162" s="11"/>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11"/>
      <c r="B177" s="12"/>
    </row>
    <row r="178" spans="1:2" ht="15" x14ac:dyDescent="0.25">
      <c r="A178" s="11"/>
      <c r="B178" s="10"/>
    </row>
    <row r="179" spans="1:2" ht="15" x14ac:dyDescent="0.25">
      <c r="A179" s="11"/>
      <c r="B179" s="12"/>
    </row>
    <row r="180" spans="1:2" ht="15" x14ac:dyDescent="0.25">
      <c r="A180" s="11"/>
      <c r="B180" s="10"/>
    </row>
    <row r="181" spans="1:2" ht="15" x14ac:dyDescent="0.25">
      <c r="A181" s="6"/>
      <c r="B181" s="7"/>
    </row>
    <row r="182" spans="1:2" ht="15" x14ac:dyDescent="0.25">
      <c r="A182" s="6"/>
      <c r="B182" s="7"/>
    </row>
    <row r="183" spans="1:2" ht="15" x14ac:dyDescent="0.25">
      <c r="A183" s="6"/>
      <c r="B183" s="7"/>
    </row>
    <row r="184" spans="1:2" ht="15" x14ac:dyDescent="0.25">
      <c r="A184" s="6"/>
      <c r="B184" s="10"/>
    </row>
    <row r="185" spans="1:2" ht="15" x14ac:dyDescent="0.25">
      <c r="A185" s="6"/>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11"/>
      <c r="B194" s="12"/>
    </row>
    <row r="195" spans="1:2" ht="15" x14ac:dyDescent="0.25">
      <c r="A195" s="11"/>
      <c r="B195" s="10"/>
    </row>
    <row r="196" spans="1:2" ht="15" x14ac:dyDescent="0.25">
      <c r="A196" s="6"/>
      <c r="B196" s="7"/>
    </row>
    <row r="197" spans="1:2" ht="15" x14ac:dyDescent="0.25">
      <c r="A197" s="6"/>
      <c r="B197" s="10"/>
    </row>
    <row r="198" spans="1:2" ht="15" x14ac:dyDescent="0.25">
      <c r="A198" s="6"/>
      <c r="B198" s="10"/>
    </row>
    <row r="199" spans="1:2" ht="15" x14ac:dyDescent="0.25">
      <c r="A199" s="6"/>
      <c r="B199" s="10"/>
    </row>
    <row r="200" spans="1:2" ht="15" x14ac:dyDescent="0.25">
      <c r="A200" s="6"/>
      <c r="B200" s="7"/>
    </row>
    <row r="201" spans="1:2" ht="15" x14ac:dyDescent="0.25">
      <c r="A201" s="6"/>
      <c r="B201" s="10"/>
    </row>
    <row r="202" spans="1:2" ht="15" x14ac:dyDescent="0.25">
      <c r="A202" s="6"/>
      <c r="B202" s="7"/>
    </row>
    <row r="203" spans="1:2" ht="15" x14ac:dyDescent="0.25">
      <c r="A203" s="6"/>
      <c r="B203" s="7"/>
    </row>
    <row r="204" spans="1:2" ht="15" x14ac:dyDescent="0.25">
      <c r="A204" s="6"/>
      <c r="B204" s="10"/>
    </row>
    <row r="205" spans="1:2" ht="15" x14ac:dyDescent="0.25">
      <c r="A205" s="6"/>
      <c r="B205" s="10"/>
    </row>
    <row r="206" spans="1:2" ht="15" x14ac:dyDescent="0.25">
      <c r="A206" s="11"/>
      <c r="B206" s="12"/>
    </row>
    <row r="207" spans="1:2" ht="15" x14ac:dyDescent="0.25">
      <c r="A207" s="11"/>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7"/>
    </row>
    <row r="213" spans="1:2" ht="15" x14ac:dyDescent="0.25">
      <c r="A213" s="6"/>
      <c r="B213" s="10"/>
    </row>
    <row r="214" spans="1:2" ht="15" x14ac:dyDescent="0.25">
      <c r="A214" s="6"/>
      <c r="B214" s="10"/>
    </row>
    <row r="215" spans="1:2" ht="15" x14ac:dyDescent="0.25">
      <c r="A215" s="6"/>
      <c r="B215" s="10"/>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10"/>
    </row>
    <row r="221" spans="1:2" ht="15" x14ac:dyDescent="0.25">
      <c r="A221" s="6"/>
      <c r="B221" s="7"/>
    </row>
    <row r="222" spans="1:2" ht="15" x14ac:dyDescent="0.25">
      <c r="A222" s="6"/>
      <c r="B222" s="10"/>
    </row>
    <row r="223" spans="1:2" ht="15" x14ac:dyDescent="0.25">
      <c r="A223" s="6"/>
      <c r="B223" s="10"/>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10"/>
    </row>
    <row r="229" spans="1:2" ht="15" x14ac:dyDescent="0.25">
      <c r="A229" s="6"/>
      <c r="B229" s="7"/>
    </row>
    <row r="230" spans="1:2" ht="15" x14ac:dyDescent="0.25">
      <c r="A230" s="6"/>
      <c r="B230" s="10"/>
    </row>
    <row r="231" spans="1:2" ht="15" x14ac:dyDescent="0.25">
      <c r="A231" s="6"/>
      <c r="B231" s="10"/>
    </row>
    <row r="232" spans="1:2" ht="15" x14ac:dyDescent="0.25">
      <c r="A232" s="6"/>
      <c r="B232" s="7"/>
    </row>
    <row r="233" spans="1:2" ht="15" x14ac:dyDescent="0.25">
      <c r="A233" s="6"/>
      <c r="B233" s="10"/>
    </row>
    <row r="234" spans="1:2" ht="15" x14ac:dyDescent="0.25">
      <c r="A234" s="6"/>
      <c r="B234" s="10"/>
    </row>
    <row r="235" spans="1:2" ht="15" x14ac:dyDescent="0.25">
      <c r="A235" s="6"/>
      <c r="B235" s="10"/>
    </row>
    <row r="236" spans="1:2" ht="15" x14ac:dyDescent="0.25">
      <c r="A236" s="6"/>
      <c r="B236" s="7"/>
    </row>
    <row r="237" spans="1:2" ht="15" x14ac:dyDescent="0.25">
      <c r="A237" s="6"/>
      <c r="B237" s="10"/>
    </row>
    <row r="238" spans="1:2" ht="15" x14ac:dyDescent="0.25">
      <c r="A238" s="6"/>
      <c r="B238" s="7"/>
    </row>
    <row r="239" spans="1:2" ht="15" x14ac:dyDescent="0.25">
      <c r="A239" s="6"/>
      <c r="B239" s="10"/>
    </row>
    <row r="240" spans="1:2" ht="15" x14ac:dyDescent="0.25">
      <c r="A240" s="6"/>
      <c r="B240" s="7"/>
    </row>
    <row r="241" spans="1:2" ht="15" x14ac:dyDescent="0.25">
      <c r="A241" s="6"/>
      <c r="B241" s="7"/>
    </row>
    <row r="242" spans="1:2" ht="15" x14ac:dyDescent="0.25">
      <c r="A242" s="6"/>
      <c r="B242" s="7"/>
    </row>
    <row r="243" spans="1:2" ht="15" x14ac:dyDescent="0.25">
      <c r="A243" s="6"/>
      <c r="B243" s="7"/>
    </row>
    <row r="244" spans="1:2" ht="15" x14ac:dyDescent="0.25">
      <c r="A244" s="6"/>
      <c r="B244" s="7"/>
    </row>
  </sheetData>
  <sheetProtection sheet="1" objects="1" scenarios="1"/>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tabSelected="1" zoomScaleNormal="100" workbookViewId="0">
      <pane ySplit="2" topLeftCell="A3" activePane="bottomLeft" state="frozen"/>
      <selection pane="bottomLeft" activeCell="G7" sqref="G7"/>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371</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4" t="s">
        <v>311</v>
      </c>
      <c r="B6" s="175">
        <v>0.5</v>
      </c>
      <c r="F6" s="3"/>
      <c r="G6" s="3"/>
      <c r="H6" s="19"/>
      <c r="J6" s="3"/>
    </row>
    <row r="7" spans="1:20" ht="32.1" customHeight="1" x14ac:dyDescent="0.2">
      <c r="A7" s="174" t="s">
        <v>367</v>
      </c>
      <c r="B7" s="175">
        <v>0.5</v>
      </c>
      <c r="F7" s="3"/>
      <c r="G7" s="3"/>
      <c r="H7" s="19"/>
      <c r="J7" s="3"/>
    </row>
    <row r="8" spans="1:20" ht="32.1" customHeight="1" x14ac:dyDescent="0.2">
      <c r="A8" s="174" t="s">
        <v>370</v>
      </c>
      <c r="B8" s="176">
        <v>10</v>
      </c>
      <c r="D8" s="62"/>
      <c r="E8" s="133"/>
      <c r="F8" s="3"/>
      <c r="G8" s="3"/>
      <c r="H8" s="19"/>
      <c r="J8" s="3"/>
    </row>
    <row r="9" spans="1:20" ht="32.1" customHeight="1" x14ac:dyDescent="0.2">
      <c r="D9" s="62"/>
      <c r="E9" s="133"/>
      <c r="F9" s="3"/>
      <c r="G9" s="3"/>
      <c r="H9" s="19"/>
      <c r="J9" s="3"/>
    </row>
    <row r="10" spans="1:20" s="42" customFormat="1" ht="15" x14ac:dyDescent="0.2">
      <c r="A10" s="62" t="s">
        <v>317</v>
      </c>
      <c r="D10" s="62" t="s">
        <v>15</v>
      </c>
      <c r="G10" s="62" t="s">
        <v>68</v>
      </c>
      <c r="H10" s="79"/>
      <c r="I10" s="43"/>
      <c r="J10" s="62" t="s">
        <v>19</v>
      </c>
      <c r="M10" s="62" t="s">
        <v>16</v>
      </c>
      <c r="P10" s="62" t="s">
        <v>368</v>
      </c>
      <c r="S10" s="62" t="s">
        <v>369</v>
      </c>
    </row>
    <row r="11" spans="1:20" s="42" customFormat="1" x14ac:dyDescent="0.2">
      <c r="A11" s="107" t="s">
        <v>286</v>
      </c>
      <c r="B11" t="s">
        <v>285</v>
      </c>
      <c r="D11" s="19" t="s">
        <v>286</v>
      </c>
      <c r="E11" t="s">
        <v>285</v>
      </c>
      <c r="G11" s="62" t="s">
        <v>286</v>
      </c>
      <c r="H11" s="62" t="s">
        <v>285</v>
      </c>
      <c r="I11" s="43"/>
      <c r="J11" t="s">
        <v>286</v>
      </c>
      <c r="K11" s="62" t="s">
        <v>285</v>
      </c>
      <c r="M11" t="s">
        <v>286</v>
      </c>
      <c r="N11" s="62" t="s">
        <v>285</v>
      </c>
      <c r="P11" t="s">
        <v>286</v>
      </c>
      <c r="Q11" s="62" t="s">
        <v>285</v>
      </c>
      <c r="R11"/>
      <c r="S11" t="s">
        <v>286</v>
      </c>
      <c r="T11" s="62" t="s">
        <v>285</v>
      </c>
    </row>
    <row r="12" spans="1:20" s="42" customFormat="1" ht="15" x14ac:dyDescent="0.2">
      <c r="A12" s="62" t="s">
        <v>316</v>
      </c>
      <c r="B12" s="133">
        <v>0.88</v>
      </c>
      <c r="D12" t="s">
        <v>66</v>
      </c>
      <c r="E12" s="113">
        <v>0</v>
      </c>
      <c r="G12" s="72" t="s">
        <v>64</v>
      </c>
      <c r="H12" s="118">
        <v>0</v>
      </c>
      <c r="I12" s="43"/>
      <c r="J12" t="s">
        <v>76</v>
      </c>
      <c r="K12" s="119">
        <v>1.6</v>
      </c>
      <c r="L12" s="116"/>
      <c r="M12" s="5" t="s">
        <v>27</v>
      </c>
      <c r="N12" s="121">
        <v>340</v>
      </c>
      <c r="P12" s="13" t="s">
        <v>23</v>
      </c>
      <c r="Q12" s="131">
        <v>40</v>
      </c>
      <c r="R12"/>
      <c r="S12" s="13" t="s">
        <v>66</v>
      </c>
      <c r="T12" s="113">
        <v>20</v>
      </c>
    </row>
    <row r="13" spans="1:20" s="42" customFormat="1" ht="15" x14ac:dyDescent="0.2">
      <c r="A13" s="62" t="s">
        <v>318</v>
      </c>
      <c r="B13" s="120">
        <v>5.99</v>
      </c>
      <c r="D13" t="s">
        <v>26</v>
      </c>
      <c r="E13" s="114">
        <v>1.6</v>
      </c>
      <c r="G13" s="14" t="s">
        <v>61</v>
      </c>
      <c r="H13" s="118">
        <v>7</v>
      </c>
      <c r="I13" s="43"/>
      <c r="J13" t="s">
        <v>77</v>
      </c>
      <c r="K13" s="120">
        <v>1.6</v>
      </c>
      <c r="L13" s="116"/>
      <c r="M13" s="5" t="s">
        <v>86</v>
      </c>
      <c r="N13" s="121">
        <v>950</v>
      </c>
      <c r="P13" s="13" t="s">
        <v>25</v>
      </c>
      <c r="Q13" s="131">
        <v>55</v>
      </c>
      <c r="R13"/>
      <c r="S13" s="13" t="s">
        <v>22</v>
      </c>
      <c r="T13" s="113">
        <v>25</v>
      </c>
    </row>
    <row r="14" spans="1:20" s="42" customFormat="1" ht="15" x14ac:dyDescent="0.2">
      <c r="A14" s="62" t="s">
        <v>319</v>
      </c>
      <c r="B14" s="120">
        <v>1</v>
      </c>
      <c r="D14" t="s">
        <v>83</v>
      </c>
      <c r="E14" s="115">
        <v>1.5</v>
      </c>
      <c r="G14" s="72" t="s">
        <v>63</v>
      </c>
      <c r="H14" s="118">
        <v>7</v>
      </c>
      <c r="L14" s="116"/>
      <c r="M14" s="5" t="s">
        <v>87</v>
      </c>
      <c r="N14" s="121">
        <v>1200</v>
      </c>
      <c r="P14" s="28" t="s">
        <v>314</v>
      </c>
      <c r="Q14" s="132">
        <v>30</v>
      </c>
      <c r="R14"/>
      <c r="S14" s="28" t="s">
        <v>24</v>
      </c>
      <c r="T14" s="113">
        <v>30</v>
      </c>
    </row>
    <row r="15" spans="1:20" s="42" customFormat="1" ht="15" x14ac:dyDescent="0.2">
      <c r="D15" t="s">
        <v>84</v>
      </c>
      <c r="E15" s="114">
        <v>3.99</v>
      </c>
      <c r="G15" s="14" t="s">
        <v>62</v>
      </c>
      <c r="H15" s="118">
        <v>7</v>
      </c>
      <c r="L15" s="116"/>
      <c r="M15" s="5" t="s">
        <v>88</v>
      </c>
      <c r="N15" s="121">
        <v>1800</v>
      </c>
      <c r="P15"/>
      <c r="Q15"/>
      <c r="R15"/>
    </row>
    <row r="16" spans="1:20" s="42" customFormat="1" ht="15" x14ac:dyDescent="0.2">
      <c r="D16" s="14"/>
      <c r="E16" s="43"/>
      <c r="G16" s="72" t="s">
        <v>172</v>
      </c>
      <c r="H16" s="118">
        <v>14</v>
      </c>
      <c r="L16" s="116"/>
      <c r="M16" s="5" t="s">
        <v>28</v>
      </c>
      <c r="N16" s="121">
        <v>1200</v>
      </c>
      <c r="P16"/>
      <c r="Q16"/>
      <c r="R16"/>
    </row>
    <row r="17" spans="1:30" s="42" customFormat="1" ht="15" x14ac:dyDescent="0.2">
      <c r="D17" s="14"/>
      <c r="E17" s="43"/>
      <c r="G17" s="72" t="s">
        <v>173</v>
      </c>
      <c r="H17" s="118">
        <v>14</v>
      </c>
      <c r="L17" s="116"/>
      <c r="M17" s="5" t="s">
        <v>89</v>
      </c>
      <c r="N17" s="121" t="s">
        <v>307</v>
      </c>
      <c r="P17"/>
      <c r="Q17"/>
      <c r="R17"/>
    </row>
    <row r="18" spans="1:30" s="42" customFormat="1" ht="15" x14ac:dyDescent="0.2">
      <c r="D18" s="14"/>
      <c r="E18" s="43"/>
      <c r="G18" s="72" t="s">
        <v>174</v>
      </c>
      <c r="H18" s="118">
        <v>14</v>
      </c>
      <c r="L18" s="116"/>
      <c r="M18" s="5" t="s">
        <v>90</v>
      </c>
      <c r="N18" s="121">
        <v>4050</v>
      </c>
    </row>
    <row r="19" spans="1:30" s="42" customFormat="1" ht="15" x14ac:dyDescent="0.2">
      <c r="D19" s="14"/>
      <c r="E19" s="43"/>
      <c r="G19" s="72" t="s">
        <v>171</v>
      </c>
      <c r="H19" s="118">
        <v>1.64</v>
      </c>
      <c r="L19" s="116"/>
      <c r="M19" s="187" t="s">
        <v>387</v>
      </c>
      <c r="N19" s="120" t="s">
        <v>388</v>
      </c>
    </row>
    <row r="20" spans="1:30" s="42" customFormat="1" ht="15" x14ac:dyDescent="0.2">
      <c r="D20" s="14"/>
      <c r="E20" s="43"/>
      <c r="H20" s="15"/>
      <c r="L20" s="116"/>
      <c r="M20" s="117"/>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2"/>
      <c r="K26" s="72"/>
    </row>
    <row r="27" spans="1:30" ht="12" customHeight="1" x14ac:dyDescent="0.2">
      <c r="F27" s="76"/>
      <c r="G27"/>
      <c r="H27" s="72"/>
      <c r="I27" s="43"/>
      <c r="J27" s="72"/>
      <c r="K27" s="14"/>
      <c r="L27" s="63"/>
      <c r="M27" s="72"/>
      <c r="O27" s="72"/>
      <c r="P27" s="74"/>
      <c r="U27" s="74"/>
      <c r="X27" s="113"/>
      <c r="Z27" s="74"/>
      <c r="AB27" s="74"/>
      <c r="AD27" s="5"/>
    </row>
    <row r="28" spans="1:30" ht="12" customHeight="1" x14ac:dyDescent="0.2">
      <c r="F28" s="76"/>
      <c r="G28"/>
      <c r="H28" s="14"/>
      <c r="I28" s="43"/>
      <c r="J28" s="14"/>
      <c r="K28" s="42"/>
      <c r="L28" s="63"/>
      <c r="M28" s="14"/>
      <c r="O28" s="14"/>
      <c r="P28" s="74"/>
      <c r="U28" s="74"/>
      <c r="X28" s="114"/>
      <c r="Z28" s="74"/>
      <c r="AB28" s="74"/>
      <c r="AD28" s="5"/>
    </row>
    <row r="29" spans="1:30" ht="12" customHeight="1" x14ac:dyDescent="0.2">
      <c r="F29" s="76"/>
      <c r="G29"/>
      <c r="H29" s="72"/>
      <c r="I29" s="43"/>
      <c r="J29" s="42"/>
      <c r="K29" s="42"/>
      <c r="L29" s="15"/>
      <c r="M29" s="72"/>
      <c r="O29" s="72"/>
      <c r="P29" s="74"/>
      <c r="R29" s="42"/>
      <c r="S29" s="42"/>
      <c r="U29" s="74"/>
      <c r="X29" s="115"/>
      <c r="Z29" s="74"/>
      <c r="AB29" s="74"/>
      <c r="AD29" s="5"/>
    </row>
    <row r="30" spans="1:30" ht="12" customHeight="1" x14ac:dyDescent="0.2">
      <c r="D30"/>
      <c r="F30" s="72"/>
      <c r="G30"/>
      <c r="H30" s="14"/>
      <c r="I30" s="43"/>
      <c r="J30" s="42"/>
      <c r="K30" s="42"/>
      <c r="L30" s="15"/>
      <c r="M30" s="14"/>
      <c r="O30" s="14"/>
      <c r="P30" s="74"/>
      <c r="R30" s="42"/>
      <c r="S30" s="42"/>
      <c r="U30" s="74"/>
      <c r="X30" s="114"/>
      <c r="Z30" s="74"/>
      <c r="AB30" s="74"/>
      <c r="AD30" s="5"/>
    </row>
    <row r="31" spans="1:30" ht="12" customHeight="1" x14ac:dyDescent="0.2">
      <c r="D31"/>
      <c r="F31"/>
      <c r="G31"/>
      <c r="H31" s="72"/>
      <c r="I31" s="43"/>
      <c r="J31" s="42"/>
      <c r="K31" s="42"/>
      <c r="L31" s="15"/>
      <c r="M31" s="72"/>
      <c r="O31" s="72"/>
      <c r="P31" s="74"/>
      <c r="R31" s="42"/>
      <c r="S31" s="42"/>
      <c r="U31" s="75"/>
      <c r="Z31" s="74"/>
      <c r="AB31" s="74"/>
      <c r="AD31" s="5"/>
    </row>
    <row r="32" spans="1:30" ht="12" customHeight="1" x14ac:dyDescent="0.2">
      <c r="D32"/>
      <c r="F32"/>
      <c r="G32"/>
      <c r="H32" s="72"/>
      <c r="I32" s="43"/>
      <c r="J32" s="42"/>
      <c r="K32" s="42"/>
      <c r="L32" s="15"/>
      <c r="M32" s="72"/>
      <c r="O32" s="72"/>
      <c r="P32" s="74"/>
      <c r="R32" s="42"/>
      <c r="S32" s="42"/>
      <c r="U32" s="75"/>
      <c r="Z32" s="74"/>
      <c r="AB32" s="74"/>
      <c r="AD32" s="5"/>
    </row>
    <row r="33" spans="1:30" ht="12" customHeight="1" x14ac:dyDescent="0.2">
      <c r="D33"/>
      <c r="F33"/>
      <c r="G33"/>
      <c r="H33" s="72"/>
      <c r="I33" s="43"/>
      <c r="J33" s="42"/>
      <c r="K33" s="42"/>
      <c r="L33" s="42"/>
      <c r="M33" s="42"/>
      <c r="N33" s="42"/>
      <c r="O33" s="42"/>
      <c r="P33" s="74"/>
      <c r="Q33" s="42"/>
      <c r="R33" s="42"/>
      <c r="S33" s="42"/>
      <c r="T33" s="15"/>
      <c r="U33" s="75"/>
      <c r="V33" s="42"/>
      <c r="W33" s="42"/>
      <c r="X33" s="42"/>
      <c r="Z33" s="75"/>
      <c r="AB33" s="75"/>
      <c r="AD33" s="5"/>
    </row>
    <row r="34" spans="1:30" x14ac:dyDescent="0.2">
      <c r="D34"/>
      <c r="F34"/>
      <c r="G34"/>
      <c r="H34" s="72"/>
      <c r="I34" s="43"/>
      <c r="J34" s="42"/>
      <c r="K34" s="42"/>
      <c r="L34" s="42"/>
      <c r="M34" s="42"/>
      <c r="N34" s="42"/>
      <c r="O34" s="42"/>
      <c r="P34" s="75"/>
      <c r="Q34" s="42"/>
      <c r="R34" s="42"/>
      <c r="S34" s="42"/>
      <c r="T34" s="15"/>
      <c r="U34" s="75"/>
      <c r="V34" s="42"/>
      <c r="W34" s="42"/>
      <c r="Z34" s="75"/>
      <c r="AB34" s="75"/>
    </row>
    <row r="35" spans="1:30" x14ac:dyDescent="0.2">
      <c r="D35"/>
      <c r="F35"/>
      <c r="G35"/>
      <c r="H35" s="14"/>
      <c r="I35" s="43"/>
      <c r="J35" s="42"/>
      <c r="K35" s="42"/>
      <c r="L35" s="42"/>
      <c r="M35" s="42"/>
      <c r="N35" s="42"/>
      <c r="O35" s="42"/>
      <c r="P35" s="75"/>
      <c r="Q35" s="42"/>
      <c r="R35" s="42"/>
      <c r="S35" s="42"/>
      <c r="T35" s="15"/>
      <c r="U35" s="75"/>
      <c r="V35" s="42"/>
      <c r="W35" s="42"/>
      <c r="Z35" s="75"/>
      <c r="AB35" s="75"/>
      <c r="AD35" s="42"/>
    </row>
    <row r="36" spans="1:30" x14ac:dyDescent="0.2">
      <c r="D36"/>
      <c r="F36"/>
      <c r="G36"/>
      <c r="H36" s="14"/>
      <c r="I36" s="43"/>
      <c r="J36" s="42"/>
      <c r="K36" s="42"/>
      <c r="L36" s="42"/>
      <c r="M36" s="42"/>
      <c r="N36" s="42"/>
      <c r="O36" s="42"/>
      <c r="P36" s="75"/>
      <c r="Q36" s="42"/>
      <c r="R36" s="42"/>
      <c r="S36" s="42"/>
      <c r="T36" s="15"/>
      <c r="V36" s="42"/>
      <c r="W36" s="42"/>
      <c r="Z36" s="75"/>
      <c r="AB36" s="75"/>
      <c r="AD36" s="42"/>
    </row>
    <row r="37" spans="1:30" x14ac:dyDescent="0.2">
      <c r="A37" s="42"/>
      <c r="B37" s="42"/>
      <c r="D37" s="42"/>
      <c r="F37"/>
      <c r="G37"/>
      <c r="H37" s="14"/>
      <c r="I37" s="43"/>
      <c r="J37" s="42"/>
      <c r="K37" s="42"/>
      <c r="L37" s="42"/>
      <c r="M37" s="42"/>
      <c r="N37" s="42"/>
      <c r="O37" s="42"/>
      <c r="P37" s="75"/>
      <c r="Q37" s="42"/>
      <c r="R37" s="42"/>
      <c r="S37" s="42"/>
      <c r="T37" s="15"/>
      <c r="V37" s="42"/>
      <c r="W37" s="42"/>
      <c r="X37" s="42"/>
      <c r="Z37" s="75"/>
      <c r="AB37" s="75"/>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10" sqref="G10"/>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2" t="s">
        <v>65</v>
      </c>
      <c r="F4" s="62"/>
      <c r="G4" s="63" t="s">
        <v>17</v>
      </c>
      <c r="H4" s="62"/>
      <c r="I4" t="s">
        <v>18</v>
      </c>
      <c r="J4" s="62"/>
      <c r="K4" t="s">
        <v>75</v>
      </c>
      <c r="M4" t="s">
        <v>78</v>
      </c>
      <c r="O4" t="s">
        <v>79</v>
      </c>
      <c r="Q4" t="s">
        <v>80</v>
      </c>
    </row>
    <row r="5" spans="1:19" ht="12" customHeight="1" x14ac:dyDescent="0.2">
      <c r="A5" s="14" t="s">
        <v>58</v>
      </c>
      <c r="C5" s="76" t="s">
        <v>66</v>
      </c>
      <c r="D5"/>
      <c r="E5" s="72" t="s">
        <v>85</v>
      </c>
      <c r="F5" s="72"/>
      <c r="G5" s="63" t="s">
        <v>23</v>
      </c>
      <c r="H5" s="72"/>
      <c r="I5" t="s">
        <v>33</v>
      </c>
      <c r="J5" s="72"/>
      <c r="K5" s="74">
        <v>0</v>
      </c>
      <c r="M5" s="74">
        <v>2</v>
      </c>
      <c r="O5" s="74">
        <v>0</v>
      </c>
      <c r="Q5" s="74">
        <v>0</v>
      </c>
    </row>
    <row r="6" spans="1:19" ht="12" customHeight="1" x14ac:dyDescent="0.2">
      <c r="A6" s="14" t="s">
        <v>59</v>
      </c>
      <c r="C6" s="76" t="s">
        <v>22</v>
      </c>
      <c r="D6"/>
      <c r="E6" s="72" t="s">
        <v>72</v>
      </c>
      <c r="F6" s="14"/>
      <c r="G6" s="63" t="s">
        <v>25</v>
      </c>
      <c r="H6" s="14"/>
      <c r="I6" t="s">
        <v>34</v>
      </c>
      <c r="J6" s="14"/>
      <c r="K6" s="74">
        <v>1</v>
      </c>
      <c r="M6" s="74">
        <v>3</v>
      </c>
      <c r="O6" s="74">
        <v>1</v>
      </c>
      <c r="Q6" s="74">
        <v>1</v>
      </c>
    </row>
    <row r="7" spans="1:19" ht="12" customHeight="1" x14ac:dyDescent="0.2">
      <c r="A7" s="14" t="s">
        <v>60</v>
      </c>
      <c r="C7" s="76" t="s">
        <v>24</v>
      </c>
      <c r="D7"/>
      <c r="E7" s="14" t="s">
        <v>73</v>
      </c>
      <c r="F7" s="42"/>
      <c r="G7" s="63" t="s">
        <v>314</v>
      </c>
      <c r="H7" s="72"/>
      <c r="I7" t="s">
        <v>35</v>
      </c>
      <c r="J7" s="72"/>
      <c r="K7" s="74">
        <v>2</v>
      </c>
      <c r="M7" s="74">
        <v>4</v>
      </c>
      <c r="O7" s="74">
        <v>2</v>
      </c>
      <c r="Q7" s="74">
        <v>2</v>
      </c>
    </row>
    <row r="8" spans="1:19" ht="12" customHeight="1" x14ac:dyDescent="0.2">
      <c r="A8"/>
      <c r="C8" s="72"/>
      <c r="D8"/>
      <c r="E8" s="42"/>
      <c r="F8" s="42"/>
      <c r="G8" s="15"/>
      <c r="H8" s="14"/>
      <c r="J8" s="14"/>
      <c r="K8" s="74">
        <v>3</v>
      </c>
      <c r="M8" s="74">
        <v>5</v>
      </c>
      <c r="O8" s="74">
        <v>3</v>
      </c>
      <c r="Q8" s="74">
        <v>3</v>
      </c>
    </row>
    <row r="9" spans="1:19" ht="12" customHeight="1" x14ac:dyDescent="0.2">
      <c r="A9"/>
      <c r="C9"/>
      <c r="D9"/>
      <c r="E9" s="42"/>
      <c r="F9" s="42"/>
      <c r="G9" s="15"/>
      <c r="H9" s="72"/>
      <c r="J9" s="72"/>
      <c r="K9" s="74">
        <v>4</v>
      </c>
      <c r="M9" s="75">
        <v>6</v>
      </c>
      <c r="O9" s="74">
        <v>4</v>
      </c>
      <c r="Q9" s="74">
        <v>4</v>
      </c>
    </row>
    <row r="10" spans="1:19" ht="12" customHeight="1" x14ac:dyDescent="0.2">
      <c r="A10"/>
      <c r="C10"/>
      <c r="D10"/>
      <c r="E10" s="42"/>
      <c r="F10" s="42"/>
      <c r="G10" s="15"/>
      <c r="H10" s="72"/>
      <c r="J10" s="72"/>
      <c r="K10" s="74">
        <v>5</v>
      </c>
      <c r="M10" s="75">
        <v>7</v>
      </c>
      <c r="O10" s="74">
        <v>5</v>
      </c>
      <c r="Q10" s="74">
        <v>5</v>
      </c>
    </row>
    <row r="11" spans="1:19" ht="12" customHeight="1" x14ac:dyDescent="0.2">
      <c r="A11"/>
      <c r="C11"/>
      <c r="D11"/>
      <c r="E11" s="42"/>
      <c r="F11" s="42"/>
      <c r="G11" s="42"/>
      <c r="H11" s="42"/>
      <c r="I11" s="42"/>
      <c r="J11" s="42"/>
      <c r="K11" s="74">
        <v>6</v>
      </c>
      <c r="L11" s="42"/>
      <c r="M11" s="75">
        <v>8</v>
      </c>
      <c r="N11" s="42"/>
      <c r="O11" s="75">
        <v>6</v>
      </c>
      <c r="Q11" s="75">
        <v>6</v>
      </c>
    </row>
    <row r="12" spans="1:19" x14ac:dyDescent="0.2">
      <c r="A12"/>
      <c r="C12"/>
      <c r="D12"/>
      <c r="E12" s="42"/>
      <c r="F12" s="42"/>
      <c r="G12" s="42"/>
      <c r="H12" s="42"/>
      <c r="I12" s="42"/>
      <c r="J12" s="42"/>
      <c r="K12" s="75">
        <v>7</v>
      </c>
      <c r="L12" s="42"/>
      <c r="M12" s="75">
        <v>9</v>
      </c>
      <c r="N12" s="42"/>
      <c r="O12" s="75">
        <v>7</v>
      </c>
      <c r="Q12" s="75">
        <v>7</v>
      </c>
    </row>
    <row r="13" spans="1:19" x14ac:dyDescent="0.2">
      <c r="A13"/>
      <c r="C13"/>
      <c r="D13"/>
      <c r="E13" s="42"/>
      <c r="F13" s="42"/>
      <c r="G13" s="42"/>
      <c r="H13" s="42"/>
      <c r="I13" s="42"/>
      <c r="J13" s="42"/>
      <c r="K13" s="75">
        <v>8</v>
      </c>
      <c r="L13" s="42"/>
      <c r="M13" s="75">
        <v>10</v>
      </c>
      <c r="N13" s="42"/>
      <c r="O13" s="75">
        <v>8</v>
      </c>
      <c r="Q13" s="75">
        <v>8</v>
      </c>
      <c r="S13" s="42"/>
    </row>
    <row r="14" spans="1:19" x14ac:dyDescent="0.2">
      <c r="A14"/>
      <c r="C14"/>
      <c r="D14"/>
      <c r="E14" s="42"/>
      <c r="F14" s="42"/>
      <c r="G14" s="42"/>
      <c r="H14" s="42"/>
      <c r="I14" s="42"/>
      <c r="J14" s="42"/>
      <c r="K14" s="75">
        <v>9</v>
      </c>
      <c r="L14" s="42"/>
      <c r="N14" s="42"/>
      <c r="O14" s="75">
        <v>9</v>
      </c>
      <c r="Q14" s="75">
        <v>9</v>
      </c>
      <c r="S14" s="42"/>
    </row>
    <row r="15" spans="1:19" x14ac:dyDescent="0.2">
      <c r="A15" s="42"/>
      <c r="C15"/>
      <c r="D15"/>
      <c r="E15" s="42"/>
      <c r="F15" s="42"/>
      <c r="G15" s="42"/>
      <c r="H15" s="42"/>
      <c r="I15" s="42"/>
      <c r="J15" s="42"/>
      <c r="K15" s="75">
        <v>10</v>
      </c>
      <c r="L15" s="42"/>
      <c r="N15" s="42"/>
      <c r="O15" s="75">
        <v>10</v>
      </c>
      <c r="Q15" s="75">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07" customWidth="1"/>
  </cols>
  <sheetData>
    <row r="1" spans="1:2" x14ac:dyDescent="0.2">
      <c r="A1" s="107" t="s">
        <v>45</v>
      </c>
      <c r="B1" t="s">
        <v>93</v>
      </c>
    </row>
    <row r="2" spans="1:2" x14ac:dyDescent="0.2">
      <c r="A2" s="107" t="s">
        <v>52</v>
      </c>
      <c r="B2" t="s">
        <v>93</v>
      </c>
    </row>
    <row r="3" spans="1:2" x14ac:dyDescent="0.2">
      <c r="A3" s="107" t="s">
        <v>37</v>
      </c>
      <c r="B3" t="s">
        <v>93</v>
      </c>
    </row>
    <row r="4" spans="1:2" x14ac:dyDescent="0.2">
      <c r="A4" s="107" t="s">
        <v>38</v>
      </c>
      <c r="B4" t="s">
        <v>93</v>
      </c>
    </row>
    <row r="5" spans="1:2" x14ac:dyDescent="0.2">
      <c r="A5" s="107" t="s">
        <v>39</v>
      </c>
      <c r="B5" t="s">
        <v>93</v>
      </c>
    </row>
    <row r="6" spans="1:2" x14ac:dyDescent="0.2">
      <c r="A6" s="107" t="s">
        <v>254</v>
      </c>
      <c r="B6" t="s">
        <v>93</v>
      </c>
    </row>
    <row r="7" spans="1:2" x14ac:dyDescent="0.2">
      <c r="A7" s="107" t="s">
        <v>40</v>
      </c>
      <c r="B7" t="s">
        <v>93</v>
      </c>
    </row>
    <row r="8" spans="1:2" x14ac:dyDescent="0.2">
      <c r="A8" s="107" t="s">
        <v>41</v>
      </c>
      <c r="B8" t="s">
        <v>93</v>
      </c>
    </row>
    <row r="9" spans="1:2" x14ac:dyDescent="0.2">
      <c r="A9" s="107" t="s">
        <v>42</v>
      </c>
      <c r="B9" t="s">
        <v>93</v>
      </c>
    </row>
    <row r="10" spans="1:2" x14ac:dyDescent="0.2">
      <c r="A10" s="107" t="s">
        <v>43</v>
      </c>
      <c r="B10" t="s">
        <v>93</v>
      </c>
    </row>
    <row r="11" spans="1:2" x14ac:dyDescent="0.2">
      <c r="A11" s="107" t="s">
        <v>55</v>
      </c>
      <c r="B11" t="s">
        <v>93</v>
      </c>
    </row>
    <row r="12" spans="1:2" x14ac:dyDescent="0.2">
      <c r="A12" s="107" t="s">
        <v>56</v>
      </c>
      <c r="B12" t="s">
        <v>93</v>
      </c>
    </row>
    <row r="14" spans="1:2" x14ac:dyDescent="0.2">
      <c r="A14" s="107" t="s">
        <v>44</v>
      </c>
    </row>
    <row r="15" spans="1:2" x14ac:dyDescent="0.2">
      <c r="A15" s="107" t="s">
        <v>46</v>
      </c>
      <c r="B15" s="110"/>
    </row>
    <row r="16" spans="1:2" x14ac:dyDescent="0.2">
      <c r="A16" s="107" t="s">
        <v>47</v>
      </c>
      <c r="B16" t="s">
        <v>93</v>
      </c>
    </row>
    <row r="17" spans="1:2" x14ac:dyDescent="0.2">
      <c r="A17" s="107" t="s">
        <v>48</v>
      </c>
      <c r="B17" s="110"/>
    </row>
    <row r="19" spans="1:2" x14ac:dyDescent="0.2">
      <c r="A19" s="107" t="s">
        <v>49</v>
      </c>
      <c r="B19" t="s">
        <v>93</v>
      </c>
    </row>
    <row r="21" spans="1:2" x14ac:dyDescent="0.2">
      <c r="A21" s="107" t="s">
        <v>255</v>
      </c>
      <c r="B21" t="s">
        <v>93</v>
      </c>
    </row>
    <row r="22" spans="1:2" x14ac:dyDescent="0.2">
      <c r="A22" s="107" t="s">
        <v>50</v>
      </c>
      <c r="B22" t="s">
        <v>93</v>
      </c>
    </row>
    <row r="23" spans="1:2" x14ac:dyDescent="0.2">
      <c r="A23" s="107" t="s">
        <v>51</v>
      </c>
      <c r="B23" s="20" t="s">
        <v>93</v>
      </c>
    </row>
    <row r="25" spans="1:2" x14ac:dyDescent="0.2">
      <c r="A25" s="107" t="s">
        <v>153</v>
      </c>
      <c r="B25" t="s">
        <v>93</v>
      </c>
    </row>
    <row r="29" spans="1:2" x14ac:dyDescent="0.2">
      <c r="A29" s="107" t="s">
        <v>138</v>
      </c>
      <c r="B29" t="s">
        <v>93</v>
      </c>
    </row>
    <row r="30" spans="1:2" x14ac:dyDescent="0.2">
      <c r="A30" s="107" t="s">
        <v>137</v>
      </c>
      <c r="B30" t="s">
        <v>93</v>
      </c>
    </row>
    <row r="31" spans="1:2" x14ac:dyDescent="0.2">
      <c r="A31" s="107" t="s">
        <v>151</v>
      </c>
      <c r="B31" t="s">
        <v>93</v>
      </c>
    </row>
    <row r="32" spans="1:2" x14ac:dyDescent="0.2">
      <c r="A32" s="107" t="s">
        <v>140</v>
      </c>
      <c r="B32" t="s">
        <v>93</v>
      </c>
    </row>
    <row r="33" spans="1:2" x14ac:dyDescent="0.2">
      <c r="A33" s="107" t="s">
        <v>141</v>
      </c>
      <c r="B33" t="s">
        <v>93</v>
      </c>
    </row>
    <row r="34" spans="1:2" x14ac:dyDescent="0.2">
      <c r="A34" s="107" t="s">
        <v>146</v>
      </c>
      <c r="B34" t="s">
        <v>93</v>
      </c>
    </row>
    <row r="35" spans="1:2" x14ac:dyDescent="0.2">
      <c r="A35" s="107" t="s">
        <v>147</v>
      </c>
      <c r="B35" t="s">
        <v>93</v>
      </c>
    </row>
    <row r="36" spans="1:2" x14ac:dyDescent="0.2">
      <c r="A36" s="107" t="s">
        <v>155</v>
      </c>
      <c r="B36" t="s">
        <v>93</v>
      </c>
    </row>
    <row r="37" spans="1:2" x14ac:dyDescent="0.2">
      <c r="A37" s="107" t="s">
        <v>149</v>
      </c>
      <c r="B37" t="s">
        <v>93</v>
      </c>
    </row>
    <row r="38" spans="1:2" x14ac:dyDescent="0.2">
      <c r="A38" s="107" t="s">
        <v>150</v>
      </c>
      <c r="B38" t="s">
        <v>93</v>
      </c>
    </row>
    <row r="39" spans="1:2" x14ac:dyDescent="0.2">
      <c r="A39" s="107" t="s">
        <v>152</v>
      </c>
      <c r="B39" t="s">
        <v>93</v>
      </c>
    </row>
    <row r="40" spans="1:2" x14ac:dyDescent="0.2">
      <c r="A40" s="107" t="s">
        <v>177</v>
      </c>
      <c r="B40" t="s">
        <v>93</v>
      </c>
    </row>
    <row r="41" spans="1:2" x14ac:dyDescent="0.2">
      <c r="A41" s="107" t="s">
        <v>182</v>
      </c>
      <c r="B41" t="s">
        <v>248</v>
      </c>
    </row>
    <row r="42" spans="1:2" x14ac:dyDescent="0.2">
      <c r="A42" s="107" t="s">
        <v>256</v>
      </c>
      <c r="B42" s="110"/>
    </row>
    <row r="43" spans="1:2" x14ac:dyDescent="0.2">
      <c r="A43" s="107" t="s">
        <v>251</v>
      </c>
      <c r="B43" t="s">
        <v>93</v>
      </c>
    </row>
    <row r="44" spans="1:2" x14ac:dyDescent="0.2">
      <c r="A44" s="107" t="s">
        <v>252</v>
      </c>
      <c r="B44" t="s">
        <v>253</v>
      </c>
    </row>
    <row r="45" spans="1:2" x14ac:dyDescent="0.2">
      <c r="A45" s="107" t="s">
        <v>188</v>
      </c>
      <c r="B45" t="s">
        <v>93</v>
      </c>
    </row>
    <row r="47" spans="1:2" x14ac:dyDescent="0.2">
      <c r="A47" s="107" t="s">
        <v>191</v>
      </c>
      <c r="B47" t="s">
        <v>93</v>
      </c>
    </row>
    <row r="48" spans="1:2" ht="27.75" customHeight="1" x14ac:dyDescent="0.2">
      <c r="A48" s="107" t="s">
        <v>192</v>
      </c>
      <c r="B48" t="s">
        <v>93</v>
      </c>
    </row>
    <row r="49" spans="1:2" ht="24" x14ac:dyDescent="0.2">
      <c r="A49" s="107" t="s">
        <v>195</v>
      </c>
      <c r="B49" t="s">
        <v>93</v>
      </c>
    </row>
    <row r="50" spans="1:2" ht="24" x14ac:dyDescent="0.2">
      <c r="A50" s="107" t="s">
        <v>249</v>
      </c>
      <c r="B50" t="s">
        <v>93</v>
      </c>
    </row>
    <row r="51" spans="1:2" x14ac:dyDescent="0.2">
      <c r="A51" s="107" t="s">
        <v>194</v>
      </c>
      <c r="B51" s="110"/>
    </row>
    <row r="53" spans="1:2" x14ac:dyDescent="0.2">
      <c r="A53" s="107" t="s">
        <v>333</v>
      </c>
      <c r="B53" s="136" t="s">
        <v>93</v>
      </c>
    </row>
    <row r="55" spans="1:2" x14ac:dyDescent="0.2">
      <c r="A55" s="107" t="s">
        <v>258</v>
      </c>
      <c r="B55" t="s">
        <v>93</v>
      </c>
    </row>
    <row r="56" spans="1:2" x14ac:dyDescent="0.2">
      <c r="A56" s="107" t="s">
        <v>259</v>
      </c>
      <c r="B56" s="20" t="s">
        <v>93</v>
      </c>
    </row>
    <row r="57" spans="1:2" x14ac:dyDescent="0.2">
      <c r="A57" s="107" t="s">
        <v>260</v>
      </c>
      <c r="B57" t="s">
        <v>93</v>
      </c>
    </row>
    <row r="58" spans="1:2" x14ac:dyDescent="0.2">
      <c r="A58" s="107" t="s">
        <v>261</v>
      </c>
      <c r="B58" t="s">
        <v>93</v>
      </c>
    </row>
    <row r="59" spans="1:2" x14ac:dyDescent="0.2">
      <c r="A59" s="107" t="s">
        <v>262</v>
      </c>
      <c r="B59" t="s">
        <v>93</v>
      </c>
    </row>
    <row r="60" spans="1:2" x14ac:dyDescent="0.2">
      <c r="A60" s="107" t="s">
        <v>263</v>
      </c>
      <c r="B60" t="s">
        <v>93</v>
      </c>
    </row>
    <row r="61" spans="1:2" x14ac:dyDescent="0.2">
      <c r="A61" s="107" t="s">
        <v>264</v>
      </c>
      <c r="B61" s="20" t="s">
        <v>93</v>
      </c>
    </row>
    <row r="62" spans="1:2" x14ac:dyDescent="0.2">
      <c r="A62" s="107" t="s">
        <v>265</v>
      </c>
      <c r="B62" s="20" t="s">
        <v>93</v>
      </c>
    </row>
    <row r="63" spans="1:2" x14ac:dyDescent="0.2">
      <c r="A63" s="107" t="s">
        <v>266</v>
      </c>
      <c r="B63" s="20" t="s">
        <v>93</v>
      </c>
    </row>
    <row r="64" spans="1:2" x14ac:dyDescent="0.2">
      <c r="A64" s="107" t="s">
        <v>267</v>
      </c>
      <c r="B64" s="20" t="s">
        <v>93</v>
      </c>
    </row>
    <row r="65" spans="1:2" x14ac:dyDescent="0.2">
      <c r="A65" s="107" t="s">
        <v>268</v>
      </c>
      <c r="B65" t="s">
        <v>93</v>
      </c>
    </row>
    <row r="66" spans="1:2" x14ac:dyDescent="0.2">
      <c r="A66" s="107" t="s">
        <v>269</v>
      </c>
      <c r="B66" t="s">
        <v>337</v>
      </c>
    </row>
    <row r="68" spans="1:2" x14ac:dyDescent="0.2">
      <c r="A68" s="107" t="s">
        <v>345</v>
      </c>
      <c r="B68" t="s">
        <v>93</v>
      </c>
    </row>
    <row r="70" spans="1:2" x14ac:dyDescent="0.2">
      <c r="A70" s="107" t="s">
        <v>54</v>
      </c>
    </row>
    <row r="71" spans="1:2" x14ac:dyDescent="0.2">
      <c r="A71" s="107" t="s">
        <v>53</v>
      </c>
    </row>
    <row r="72" spans="1:2" x14ac:dyDescent="0.2">
      <c r="A72" s="107" t="s">
        <v>139</v>
      </c>
    </row>
    <row r="73" spans="1:2" ht="24" x14ac:dyDescent="0.2">
      <c r="A73" s="107" t="s">
        <v>148</v>
      </c>
      <c r="B73" t="s">
        <v>325</v>
      </c>
    </row>
    <row r="74" spans="1:2" x14ac:dyDescent="0.2">
      <c r="A74" s="107" t="s">
        <v>144</v>
      </c>
      <c r="B74" t="s">
        <v>322</v>
      </c>
    </row>
    <row r="75" spans="1:2" x14ac:dyDescent="0.2">
      <c r="A75" s="107" t="s">
        <v>145</v>
      </c>
      <c r="B75" t="s">
        <v>323</v>
      </c>
    </row>
    <row r="76" spans="1:2" ht="24" x14ac:dyDescent="0.2">
      <c r="A76" s="107" t="s">
        <v>154</v>
      </c>
      <c r="B76" t="s">
        <v>326</v>
      </c>
    </row>
    <row r="77" spans="1:2" x14ac:dyDescent="0.2">
      <c r="A77" s="107" t="s">
        <v>250</v>
      </c>
    </row>
    <row r="78" spans="1:2" x14ac:dyDescent="0.2">
      <c r="A78" s="107" t="s">
        <v>170</v>
      </c>
    </row>
    <row r="79" spans="1:2" x14ac:dyDescent="0.2">
      <c r="A79" s="107" t="s">
        <v>168</v>
      </c>
      <c r="B79" t="s">
        <v>324</v>
      </c>
    </row>
    <row r="80" spans="1:2" x14ac:dyDescent="0.2">
      <c r="A80" s="107" t="s">
        <v>169</v>
      </c>
      <c r="B80" t="s">
        <v>331</v>
      </c>
    </row>
    <row r="81" spans="1:2" ht="24" x14ac:dyDescent="0.2">
      <c r="A81" s="107" t="s">
        <v>176</v>
      </c>
      <c r="B81" t="s">
        <v>328</v>
      </c>
    </row>
    <row r="82" spans="1:2" x14ac:dyDescent="0.2">
      <c r="A82" s="107" t="s">
        <v>193</v>
      </c>
      <c r="B82" t="s">
        <v>330</v>
      </c>
    </row>
    <row r="83" spans="1:2" x14ac:dyDescent="0.2">
      <c r="A83" s="108" t="s">
        <v>228</v>
      </c>
    </row>
    <row r="84" spans="1:2" x14ac:dyDescent="0.2">
      <c r="A84" s="108" t="s">
        <v>276</v>
      </c>
    </row>
    <row r="85" spans="1:2" x14ac:dyDescent="0.2">
      <c r="A85" s="107" t="s">
        <v>271</v>
      </c>
    </row>
    <row r="86" spans="1:2" x14ac:dyDescent="0.2">
      <c r="A86" s="107" t="s">
        <v>315</v>
      </c>
    </row>
    <row r="87" spans="1:2" x14ac:dyDescent="0.2">
      <c r="A87" s="107" t="s">
        <v>321</v>
      </c>
    </row>
    <row r="88" spans="1:2" x14ac:dyDescent="0.2">
      <c r="A88" s="107" t="s">
        <v>329</v>
      </c>
    </row>
    <row r="89" spans="1:2" ht="24" x14ac:dyDescent="0.2">
      <c r="A89" s="107" t="s">
        <v>327</v>
      </c>
    </row>
    <row r="90" spans="1:2" x14ac:dyDescent="0.2">
      <c r="A90" s="107" t="s">
        <v>332</v>
      </c>
    </row>
    <row r="91" spans="1:2" x14ac:dyDescent="0.2">
      <c r="A91" s="107" t="s">
        <v>334</v>
      </c>
    </row>
    <row r="92" spans="1:2" x14ac:dyDescent="0.2">
      <c r="A92" s="107" t="s">
        <v>335</v>
      </c>
    </row>
    <row r="94" spans="1:2" x14ac:dyDescent="0.2">
      <c r="A94" s="107" t="s">
        <v>10</v>
      </c>
    </row>
    <row r="96" spans="1:2" x14ac:dyDescent="0.2">
      <c r="A96" s="107" t="s">
        <v>157</v>
      </c>
    </row>
    <row r="98" spans="1:1" x14ac:dyDescent="0.2">
      <c r="A98" s="107" t="s">
        <v>158</v>
      </c>
    </row>
    <row r="99" spans="1:1" x14ac:dyDescent="0.2">
      <c r="A99" s="107" t="s">
        <v>159</v>
      </c>
    </row>
    <row r="100" spans="1:1" x14ac:dyDescent="0.2">
      <c r="A100" s="107" t="s">
        <v>160</v>
      </c>
    </row>
    <row r="101" spans="1:1" x14ac:dyDescent="0.2">
      <c r="A101" s="107" t="s">
        <v>161</v>
      </c>
    </row>
    <row r="102" spans="1:1" x14ac:dyDescent="0.2">
      <c r="A102" s="107" t="s">
        <v>162</v>
      </c>
    </row>
    <row r="103" spans="1:1" x14ac:dyDescent="0.2">
      <c r="A103" s="107" t="s">
        <v>163</v>
      </c>
    </row>
    <row r="104" spans="1:1" x14ac:dyDescent="0.2">
      <c r="A104" s="107" t="s">
        <v>164</v>
      </c>
    </row>
    <row r="105" spans="1:1" x14ac:dyDescent="0.2">
      <c r="A105" s="107" t="s">
        <v>165</v>
      </c>
    </row>
    <row r="106" spans="1:1" x14ac:dyDescent="0.2">
      <c r="A106" s="107" t="s">
        <v>166</v>
      </c>
    </row>
    <row r="107" spans="1:1" x14ac:dyDescent="0.2">
      <c r="A107" s="107" t="s">
        <v>281</v>
      </c>
    </row>
    <row r="111" spans="1:1" x14ac:dyDescent="0.2">
      <c r="A111" s="107" t="s">
        <v>178</v>
      </c>
    </row>
    <row r="112" spans="1:1" x14ac:dyDescent="0.2">
      <c r="A112" s="107" t="s">
        <v>257</v>
      </c>
    </row>
    <row r="113" spans="1:1" x14ac:dyDescent="0.2">
      <c r="A113" s="107" t="s">
        <v>179</v>
      </c>
    </row>
    <row r="114" spans="1:1" x14ac:dyDescent="0.2">
      <c r="A114" s="107" t="s">
        <v>180</v>
      </c>
    </row>
    <row r="115" spans="1:1" x14ac:dyDescent="0.2">
      <c r="A115" s="107" t="s">
        <v>181</v>
      </c>
    </row>
    <row r="117" spans="1:1" x14ac:dyDescent="0.2">
      <c r="A117" s="107" t="s">
        <v>183</v>
      </c>
    </row>
    <row r="118" spans="1:1" x14ac:dyDescent="0.2">
      <c r="A118" s="107" t="s">
        <v>184</v>
      </c>
    </row>
    <row r="119" spans="1:1" x14ac:dyDescent="0.2">
      <c r="A119" s="107" t="s">
        <v>185</v>
      </c>
    </row>
    <row r="120" spans="1:1" x14ac:dyDescent="0.2">
      <c r="A120" s="107" t="s">
        <v>186</v>
      </c>
    </row>
    <row r="121" spans="1:1" x14ac:dyDescent="0.2">
      <c r="A121" s="107" t="s">
        <v>187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cp:lastModifiedBy>
  <cp:lastPrinted>2020-10-06T17:25:58Z</cp:lastPrinted>
  <dcterms:created xsi:type="dcterms:W3CDTF">2019-05-16T09:51:05Z</dcterms:created>
  <dcterms:modified xsi:type="dcterms:W3CDTF">2020-10-09T10:18:41Z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