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drawings/drawing1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B3CAEDE4-8DBE-444C-A78F-2E44F7F29D93}" xr6:coauthVersionLast="45" xr6:coauthVersionMax="45" xr10:uidLastSave="{00000000-0000-0000-0000-000000000000}"/>
  <bookViews>
    <workbookView xWindow="-120" yWindow="-120" windowWidth="20730" windowHeight="11160" tabRatio="500" firstSheet="11" activeTab="14" xr2:uid="{00000000-000D-0000-FFFF-FFFF00000000}"/>
  </bookViews>
  <sheets>
    <sheet name="Controls" sheetId="9" r:id="rId1"/>
    <sheet name="Quote" sheetId="74" r:id="rId2"/>
    <sheet name="Timbers" sheetId="46" r:id="rId3"/>
    <sheet name="Doors" sheetId="57" r:id="rId4"/>
    <sheet name="Stops" sheetId="47" r:id="rId5"/>
    <sheet name="Base blocks" sheetId="75" r:id="rId6"/>
    <sheet name="Thresholds" sheetId="48" r:id="rId7"/>
    <sheet name="Hinge facings" sheetId="50" r:id="rId8"/>
    <sheet name="Facings stop side" sheetId="58" r:id="rId9"/>
    <sheet name="Strappings" sheetId="49" r:id="rId10"/>
    <sheet name="Prices" sheetId="52" r:id="rId11"/>
    <sheet name="Schedules" sheetId="38" r:id="rId12"/>
    <sheet name="Constants" sheetId="41" r:id="rId13"/>
    <sheet name="Exceptions" sheetId="11" r:id="rId14"/>
    <sheet name="ReleaseNotes" sheetId="8" r:id="rId15"/>
    <sheet name="Price list" sheetId="66" r:id="rId16"/>
    <sheet name="Lists" sheetId="39" r:id="rId17"/>
    <sheet name="Todo" sheetId="40" r:id="rId18"/>
  </sheets>
  <functionGroups builtInGroupCount="19"/>
  <externalReferences>
    <externalReference r:id="rId19"/>
  </externalReferences>
  <definedNames>
    <definedName name="AdministratorPassword">Constants!$B$20</definedName>
    <definedName name="BlockQuantity">Constants!$B$16</definedName>
    <definedName name="ComplimentaryClose">Controls!$B$17</definedName>
    <definedName name="Contract" localSheetId="5">[1]Controls!$B$8</definedName>
    <definedName name="Contract">Controls!$B$8</definedName>
    <definedName name="CustomerAddressLine1" localSheetId="5">[1]Controls!$B$19</definedName>
    <definedName name="CustomerAddressLine1">Controls!$B$19</definedName>
    <definedName name="CustomerAddressLine2" localSheetId="5">[1]Controls!$B$20</definedName>
    <definedName name="CustomerAddressLine2">Controls!$B$20</definedName>
    <definedName name="CustomerCompany" localSheetId="5">[1]Controls!$B$18</definedName>
    <definedName name="CustomerCompany">Controls!$B$18</definedName>
    <definedName name="CustomerName" localSheetId="5">[1]Controls!$B$15</definedName>
    <definedName name="CustomerName">Controls!$B$15</definedName>
    <definedName name="CustomerOrderNumber" localSheetId="5">[1]Controls!$B$10</definedName>
    <definedName name="CustomerOrderNumber">Controls!$B$10</definedName>
    <definedName name="CustomerPostcode" localSheetId="5">[1]Controls!$B$22</definedName>
    <definedName name="CustomerPostcode">Controls!$B$22</definedName>
    <definedName name="CustomerTownCity" localSheetId="5">[1]Controls!$B$21</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0.23</definedName>
    <definedName name="PerformanceReportGeneration_s">Controls!$B$33</definedName>
    <definedName name="PreparedBy">Controls!$B$12</definedName>
    <definedName name="_xlnm.Print_Area" localSheetId="5">'Base blocks'!$A$3:$H$3</definedName>
    <definedName name="_xlnm.Print_Area" localSheetId="8">'Facings stop side'!$A$3:$K$3</definedName>
    <definedName name="_xlnm.Print_Area" localSheetId="7">'Hinge facings'!$A$3:$K$3</definedName>
    <definedName name="_xlnm.Print_Area" localSheetId="10">Prices!$A$3:$K$6</definedName>
    <definedName name="_xlnm.Print_Area" localSheetId="1">Quote!$A$4:$F$37</definedName>
    <definedName name="_xlnm.Print_Area" localSheetId="4">Stops!$A$3:$K$6</definedName>
    <definedName name="_xlnm.Print_Area" localSheetId="9">Strappings!$A$3:$K$5</definedName>
    <definedName name="_xlnm.Print_Area" localSheetId="6">Thresholds!$A$3:$F$188</definedName>
    <definedName name="_xlnm.Print_Area" localSheetId="2">Timbers!$A$3:$L$6</definedName>
    <definedName name="_xlnm.Print_Titles" localSheetId="5">'Base blocks'!$2:$3</definedName>
    <definedName name="_xlnm.Print_Titles" localSheetId="3">Doors!$2:$3</definedName>
    <definedName name="_xlnm.Print_Titles" localSheetId="8">'Facings stop side'!$2:$3</definedName>
    <definedName name="_xlnm.Print_Titles" localSheetId="7">'Hinge facings'!$2:$3</definedName>
    <definedName name="_xlnm.Print_Titles" localSheetId="10">Prices!$2:$3</definedName>
    <definedName name="_xlnm.Print_Titles" localSheetId="1">Quote!$6:$6</definedName>
    <definedName name="_xlnm.Print_Titles" localSheetId="4">Stops!$2:$3</definedName>
    <definedName name="_xlnm.Print_Titles" localSheetId="9">Strappings!$2:$3</definedName>
    <definedName name="_xlnm.Print_Titles" localSheetId="6">Thresholds!$2:$3</definedName>
    <definedName name="_xlnm.Print_Titles" localSheetId="2">Timbers!$2:$3</definedName>
    <definedName name="PurchaseOrderNoRW" localSheetId="5">[1]Controls!$B$6</definedName>
    <definedName name="PurchaseOrderNoRW">Controls!$B$6</definedName>
    <definedName name="QuoteNumberRQ" localSheetId="5">[1]Controls!$B$5</definedName>
    <definedName name="QuoteNumberRQ">Controls!$B$5</definedName>
    <definedName name="QuotePagesToPrint" localSheetId="5">#REF!</definedName>
    <definedName name="QuotePagesToPrint" localSheetId="1">Quote!$H$1</definedName>
    <definedName name="QuotePagesToPrint">#REF!</definedName>
    <definedName name="ScheduleRevision">Controls!$B$7</definedName>
    <definedName name="Site" localSheetId="5">[1]Controls!$B$9</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46" l="1"/>
  <c r="A6" i="74" l="1"/>
  <c r="A4" i="74" l="1"/>
  <c r="D2" i="75" l="1"/>
  <c r="D2" i="58" l="1"/>
  <c r="D2" i="50"/>
  <c r="D2" i="49"/>
  <c r="D2" i="48"/>
  <c r="C2" i="47"/>
  <c r="C2" i="57"/>
  <c r="C2" i="52"/>
  <c r="B2" i="9"/>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<sst xmlns="http://schemas.openxmlformats.org/spreadsheetml/2006/main" count="732" uniqueCount="399">
  <si>
    <t>0.00</t>
  </si>
  <si>
    <t>Controls</t>
  </si>
  <si>
    <t xml:space="preserve"> </t>
  </si>
  <si>
    <t>Source</t>
  </si>
  <si>
    <t>Location</t>
  </si>
  <si>
    <t>Type</t>
  </si>
  <si>
    <t>Description</t>
  </si>
  <si>
    <t>Performance</t>
  </si>
  <si>
    <t>Making 64 Bit Safe</t>
  </si>
  <si>
    <t>Release</t>
  </si>
  <si>
    <t>Notes</t>
  </si>
  <si>
    <t>Contract</t>
  </si>
  <si>
    <t>Site</t>
  </si>
  <si>
    <t>Door Info</t>
  </si>
  <si>
    <t>Fire Rating</t>
  </si>
  <si>
    <t>Aperture</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</si>
  <si>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</si>
  <si>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</si>
  <si>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</si>
  <si>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</si>
  <si>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</si>
  <si>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</si>
  <si>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</si>
  <si>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</si>
  <si>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</si>
  <si>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</si>
  <si>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</si>
  <si>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</si>
  <si>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</si>
  <si>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</si>
  <si>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</si>
  <si>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</si>
  <si>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</si>
  <si>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</si>
  <si>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</si>
  <si>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</si>
  <si>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</si>
  <si>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</si>
  <si>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</si>
  <si>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</si>
  <si>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</si>
  <si>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</si>
  <si>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</si>
  <si>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</si>
  <si>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</si>
  <si>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</si>
  <si>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</si>
  <si>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</si>
  <si>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</si>
  <si>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</si>
  <si>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</si>
  <si>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</si>
  <si>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</si>
  <si>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</si>
  <si>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</si>
  <si>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</si>
  <si>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</si>
  <si>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</si>
  <si>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</si>
  <si>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</si>
  <si>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</si>
  <si>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</si>
  <si>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</si>
  <si>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</si>
  <si>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</si>
  <si>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</si>
  <si>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</si>
  <si>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</si>
  <si>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</si>
  <si>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</si>
  <si>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</si>
  <si>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</si>
  <si>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</si>
  <si>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</si>
  <si>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</si>
  <si>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</si>
  <si>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</si>
  <si>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</si>
  <si>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</si>
  <si>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</si>
  <si>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</si>
  <si>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</si>
  <si>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</si>
  <si>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</si>
  <si>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</si>
  <si>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</si>
  <si>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</si>
  <si>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</si>
  <si>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</si>
  <si>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</si>
  <si>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</si>
  <si>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</si>
  <si>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</si>
  <si>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</si>
  <si>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</si>
  <si>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</si>
  <si>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</si>
  <si>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</si>
  <si>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</si>
  <si>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</si>
  <si>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</si>
  <si>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</si>
  <si>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</si>
  <si>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</si>
  <si>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</si>
  <si>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</si>
  <si>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</si>
  <si>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</si>
  <si>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</si>
  <si>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</si>
  <si>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</si>
  <si>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</si>
  <si>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</si>
  <si>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</si>
  <si>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</si>
  <si>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</si>
  <si>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</si>
  <si>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</si>
  <si>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</si>
  <si>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</si>
  <si>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</si>
  <si>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</si>
  <si>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</si>
  <si>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</si>
  <si>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</si>
  <si>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</si>
  <si>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</si>
  <si>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</si>
  <si>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</si>
  <si>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</si>
  <si>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</si>
  <si>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</si>
  <si>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</si>
  <si>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</si>
  <si>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</si>
  <si>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</si>
  <si>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</si>
  <si>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</si>
  <si>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</si>
  <si>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</si>
  <si>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</si>
  <si>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</si>
  <si>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</si>
  <si>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</si>
  <si>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</si>
  <si>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</si>
  <si>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</si>
  <si>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</si>
  <si>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</si>
  <si>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</si>
  <si>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</si>
  <si>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</si>
  <si>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</si>
  <si>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</si>
  <si>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</si>
  <si>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</si>
  <si>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</si>
  <si>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</si>
  <si>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</si>
  <si>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</si>
  <si>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</si>
  <si>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</si>
  <si>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</si>
  <si>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</si>
  <si>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</si>
  <si>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</si>
  <si>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</si>
  <si>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</si>
  <si>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</si>
  <si>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</si>
  <si>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</si>
  <si>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</si>
  <si>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</si>
  <si>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</si>
  <si>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</si>
  <si>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</si>
  <si>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</si>
  <si>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</si>
  <si>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</si>
  <si>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</si>
  <si>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</si>
  <si>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</si>
  <si>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</si>
  <si>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</si>
  <si>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</si>
  <si>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</si>
  <si>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</si>
  <si>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</si>
  <si>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</si>
  <si>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</si>
  <si>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</si>
  <si>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</si>
  <si>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</si>
  <si>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</si>
  <si>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</si>
  <si>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</si>
  <si>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</si>
  <si>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</si>
  <si>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</si>
  <si>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</si>
  <si>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</si>
  <si>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</si>
  <si>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</si>
  <si>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</si>
  <si>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</si>
  <si>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</si>
  <si>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</si>
  <si>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</si>
  <si>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</si>
  <si>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</si>
  <si>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</si>
  <si>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</si>
  <si>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</si>
  <si>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</si>
  <si>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contract 23</t>
  </si>
  <si>
    <t>RPM</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</si>
  <si>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</si>
  <si>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</si>
  <si>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</si>
  <si>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</si>
  <si>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</si>
  <si>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</si>
  <si>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</si>
  <si>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</si>
  <si>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</si>
  <si>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</si>
  <si>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</si>
  <si>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</si>
  <si>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</si>
  <si>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</si>
  <si>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</si>
  <si>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</si>
  <si>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</si>
  <si>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</si>
  <si>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</si>
  <si>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</si>
  <si>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</si>
  <si>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</si>
  <si>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</si>
  <si>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</si>
  <si>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</si>
  <si>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</si>
  <si>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</si>
  <si>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</si>
  <si>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</si>
  <si>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</si>
  <si>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</si>
  <si>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</si>
  <si>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</si>
  <si>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</si>
  <si>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</si>
  <si>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</si>
  <si>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</si>
  <si>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</si>
  <si>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</si>
  <si>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Dear Sir</t>
  </si>
  <si>
    <t>VAT (%)</t>
  </si>
  <si>
    <t>0.08</t>
  </si>
  <si>
    <t>Minor update: 26-Sep-2020</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</si>
  <si>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</si>
  <si>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</si>
  <si>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</si>
  <si>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</si>
  <si>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</si>
  <si>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</si>
  <si>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</si>
  <si>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</si>
  <si>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</si>
  <si>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</si>
  <si>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</si>
  <si>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</si>
  <si>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</si>
  <si>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</si>
  <si>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</si>
  <si>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</si>
  <si>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</si>
  <si>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</si>
  <si>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</si>
  <si>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</si>
  <si>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</si>
  <si>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</si>
  <si>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</si>
  <si>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</si>
  <si>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</si>
  <si>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</si>
  <si>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</si>
  <si>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</si>
  <si>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</si>
  <si>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</si>
  <si>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</si>
  <si>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</si>
  <si>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</si>
  <si>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</si>
  <si>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</si>
  <si>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</si>
  <si>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</si>
  <si>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</si>
  <si>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</si>
  <si>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</si>
  <si>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</si>
  <si>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</si>
  <si>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</si>
  <si>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</si>
  <si>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</si>
  <si>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</si>
  <si>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</si>
  <si>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</si>
  <si>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</si>
  <si>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</si>
  <si>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</si>
  <si>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</si>
  <si>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</si>
  <si>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</si>
  <si>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</si>
  <si>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</si>
  <si>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</si>
  <si>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</si>
  <si>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</si>
  <si>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</si>
  <si>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</si>
  <si>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</si>
  <si>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</si>
  <si>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</si>
  <si>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</si>
  <si>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</si>
  <si>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</si>
  <si>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</si>
  <si>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</si>
  <si>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</si>
  <si>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</si>
  <si>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</si>
  <si>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</si>
  <si>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</si>
  <si>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</si>
  <si>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Comment</t>
  </si>
  <si>
    <t>Standard (mm)</t>
  </si>
  <si>
    <t>Standard timber widths</t>
  </si>
  <si>
    <t>Standard timber thicknesses</t>
  </si>
  <si>
    <t>Calculation error</t>
  </si>
  <si>
    <t>a</t>
  </si>
  <si>
    <t>Stop length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</si>
  <si>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</si>
  <si>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</si>
  <si>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</si>
  <si>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</si>
  <si>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</si>
  <si>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</si>
  <si>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</si>
  <si>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</si>
  <si>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</si>
  <si>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</si>
  <si>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</si>
  <si>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</si>
  <si>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</si>
  <si>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</si>
  <si>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</si>
  <si>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</si>
  <si>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</si>
  <si>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</si>
  <si>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</si>
  <si>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</si>
  <si>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</si>
  <si>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</si>
  <si>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</si>
  <si>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</si>
  <si>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</si>
  <si>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</si>
  <si>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</si>
  <si>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</si>
  <si>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</si>
  <si>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</si>
  <si>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</si>
  <si>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</si>
  <si>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AB/2304</t>
  </si>
  <si>
    <t>Price report</t>
  </si>
  <si>
    <t>0.22</t>
  </si>
  <si>
    <t>Minor update: 01-Oct-2020</t>
  </si>
  <si>
    <t>Door quantity</t>
  </si>
  <si>
    <t>Base blocks report</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</si>
  <si>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</si>
  <si>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</si>
  <si>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</si>
  <si>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</si>
  <si>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</si>
  <si>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</si>
  <si>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</si>
  <si>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</si>
  <si>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</si>
  <si>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</si>
  <si>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</si>
  <si>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</si>
  <si>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</si>
  <si>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</si>
  <si>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Comments</t>
  </si>
  <si>
    <t>Aperture 200 mm x 500 mm, 400 mm from top and 300 mm from left</t>
  </si>
  <si>
    <t>0.25</t>
  </si>
  <si>
    <t>ESTIMATE</t>
  </si>
  <si>
    <t>4.77 s</t>
  </si>
  <si>
    <t>Gooch and Housego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</si>
</sst>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rgb="FF000000"/>
      <name val="Calibri"/>
      <family val="2"/>
      <scheme val="minor"/>
    </font>
    <font>
      <sz val="12"/>
      <color theme="3"/>
      <name val="Calibri"/>
      <family val="2"/>
      <scheme val="minor"/>
    </font>
    <font>
      <b/>
      <sz val="20"/>
      <color theme="1"/>
      <name val="Calibri"/>
      <family val="2"/>
      <scheme val="minor"/>
    </font>
  </fonts>
  <fills count="9">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29">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4">
    <xf numFmtId="0" fontId="0" fillId="0" borderId="0"/>
    <xf numFmtId="0" fontId="4" fillId="0" borderId="7"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8" applyNumberFormat="0" applyAlignment="0">
      <protection locked="0"/>
    </xf>
  </cellStyleXfs>
  <cellXfs count="200">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4" fillId="0" borderId="0" xfId="1" applyBorder="1"/>
    <xf numFmtId="0" fontId="41" fillId="0" borderId="9" xfId="22" applyFont="1" applyFill="1" applyBorder="1"/>
    <xf numFmtId="0" fontId="41" fillId="0" borderId="10" xfId="22" applyFont="1" applyFill="1" applyBorder="1"/>
    <xf numFmtId="0" fontId="41" fillId="0" borderId="11"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12" xfId="22" applyFont="1" applyFill="1" applyBorder="1"/>
    <xf numFmtId="0" fontId="40" fillId="4" borderId="13" xfId="23" applyBorder="1" applyAlignment="1">
      <alignment horizontal="left"/>
      <protection locked="0"/>
    </xf>
    <xf numFmtId="0" fontId="41" fillId="0" borderId="14" xfId="22" applyFont="1" applyFill="1" applyBorder="1"/>
    <xf numFmtId="0" fontId="40" fillId="4" borderId="15" xfId="23" applyBorder="1" applyAlignment="1">
      <alignment horizontal="left"/>
      <protection locked="0"/>
    </xf>
    <xf numFmtId="0" fontId="41" fillId="0" borderId="16" xfId="22" applyFont="1" applyFill="1" applyBorder="1"/>
    <xf numFmtId="0" fontId="40" fillId="4" borderId="17"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8" xfId="22" applyFont="1" applyFill="1" applyBorder="1"/>
    <xf numFmtId="0" fontId="40" fillId="4" borderId="19" xfId="23" applyBorder="1" applyAlignment="1">
      <alignment horizontal="left"/>
      <protection locked="0"/>
    </xf>
    <xf numFmtId="0" fontId="0" fillId="0" borderId="0" xfId="0" applyAlignment="1">
      <alignment wrapText="1"/>
    </xf>
    <xf numFmtId="0" fontId="44"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3" xfId="0" applyNumberFormat="1" applyFont="1" applyFill="1" applyBorder="1" applyAlignment="1">
      <alignment vertical="center"/>
    </xf>
    <xf numFmtId="165" fontId="0" fillId="0" borderId="23"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173" fontId="0" fillId="0" borderId="0" xfId="0" applyNumberFormat="1"/>
    <xf numFmtId="0" fontId="42" fillId="6" borderId="0" xfId="0" applyFont="1" applyFill="1" applyAlignment="1">
      <alignment horizontal="center" vertical="top" wrapText="1"/>
    </xf>
    <xf numFmtId="172" fontId="0" fillId="0" borderId="0" xfId="0" applyNumberFormat="1"/>
    <xf numFmtId="172" fontId="8" fillId="0" borderId="0" xfId="0" applyNumberFormat="1" applyFont="1"/>
    <xf numFmtId="0" fontId="42" fillId="5" borderId="4" xfId="0" applyFont="1" applyFill="1" applyBorder="1" applyAlignment="1">
      <alignment horizontal="center" vertical="top" wrapText="1"/>
    </xf>
    <xf numFmtId="0" fontId="42" fillId="6" borderId="4"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0" fontId="0" fillId="8" borderId="24" xfId="0" applyFont="1" applyFill="1" applyBorder="1" applyAlignment="1">
      <alignment horizontal="left" vertical="top"/>
    </xf>
    <xf numFmtId="10" fontId="33" fillId="8" borderId="23" xfId="2" applyNumberFormat="1" applyFont="1" applyFill="1" applyBorder="1" applyAlignment="1">
      <alignment horizontal="left" vertical="top"/>
    </xf>
    <xf numFmtId="0" fontId="0" fillId="0" borderId="24" xfId="0" applyFont="1" applyBorder="1" applyAlignment="1">
      <alignment horizontal="left" vertical="top"/>
    </xf>
    <xf numFmtId="172" fontId="33" fillId="0" borderId="23" xfId="2" applyNumberFormat="1" applyFont="1" applyBorder="1" applyAlignment="1">
      <alignment horizontal="left" vertical="top"/>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64" fontId="0" fillId="0" borderId="0" xfId="0" applyNumberFormat="1"/>
    <xf numFmtId="0" fontId="45" fillId="0" borderId="0" xfId="0" applyFont="1" applyFill="1"/>
    <xf numFmtId="0" fontId="46" fillId="0" borderId="0" xfId="0" applyFont="1" applyAlignment="1">
      <alignment vertical="center"/>
    </xf>
    <xf numFmtId="0" fontId="47"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7"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8"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 fillId="0" borderId="0" xfId="1" applyBorder="1" applyAlignment="1">
      <alignment horizontal="left" vertical="top"/>
    </xf>
    <xf numFmtId="0" fontId="42" fillId="6" borderId="25" xfId="0" applyFont="1" applyFill="1" applyBorder="1" applyAlignment="1">
      <alignment horizontal="center" vertical="top" wrapText="1"/>
    </xf>
    <xf numFmtId="0" fontId="4" fillId="0" borderId="0" xfId="1" applyFill="1" applyBorder="1" applyAlignment="1">
      <alignment horizontal="left" vertical="top"/>
    </xf>
    <xf numFmtId="0" fontId="4" fillId="0" borderId="0" xfId="1" applyFill="1" applyBorder="1" applyAlignment="1">
      <alignment horizontal="left" vertical="center"/>
    </xf>
    <xf numFmtId="0" fontId="38" fillId="0" borderId="7" xfId="0" applyFont="1" applyBorder="1"/>
    <xf numFmtId="0" fontId="30" fillId="0" borderId="0" xfId="0" applyFont="1" applyBorder="1" applyAlignment="1">
      <alignment horizontal="left"/>
    </xf>
    <xf numFmtId="0" fontId="43"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0" fontId="30" fillId="0" borderId="6" xfId="0" applyFont="1" applyBorder="1" applyAlignment="1">
      <alignment horizontal="left"/>
    </xf>
    <xf numFmtId="0" fontId="43" fillId="0" borderId="6" xfId="0" applyFont="1" applyBorder="1" applyAlignment="1">
      <alignment wrapText="1"/>
    </xf>
    <xf numFmtId="0" fontId="30" fillId="0" borderId="6" xfId="0" applyFont="1" applyBorder="1"/>
    <xf numFmtId="0" fontId="30" fillId="0" borderId="6" xfId="0" applyFont="1" applyBorder="1" applyAlignment="1">
      <alignment horizontal="center"/>
    </xf>
    <xf numFmtId="174" fontId="30" fillId="0" borderId="6" xfId="0" applyNumberFormat="1" applyFont="1" applyBorder="1" applyAlignment="1">
      <alignment horizontal="right"/>
    </xf>
    <xf numFmtId="174" fontId="30" fillId="0" borderId="20" xfId="0" applyNumberFormat="1" applyFont="1" applyBorder="1" applyAlignment="1">
      <alignment horizontal="right"/>
    </xf>
    <xf numFmtId="0" fontId="43" fillId="0" borderId="0" xfId="0" applyFont="1" applyBorder="1" applyAlignment="1">
      <alignment horizontal="left"/>
    </xf>
    <xf numFmtId="0" fontId="43" fillId="0" borderId="21" xfId="0" applyFont="1" applyBorder="1" applyAlignment="1">
      <alignment horizontal="left"/>
    </xf>
    <xf numFmtId="174" fontId="43" fillId="0" borderId="22" xfId="0" applyNumberFormat="1" applyFont="1" applyBorder="1" applyAlignment="1">
      <alignment horizontal="right"/>
    </xf>
    <xf numFmtId="0" fontId="42" fillId="6" borderId="0" xfId="0" applyFont="1" applyFill="1" applyBorder="1" applyAlignment="1">
      <alignment horizontal="center" vertical="top" wrapText="1"/>
    </xf>
    <xf numFmtId="0" fontId="40" fillId="4" borderId="8" xfId="23" applyAlignment="1">
      <alignment horizontal="left" vertical="top"/>
      <protection locked="0"/>
    </xf>
    <xf numFmtId="10" fontId="40" fillId="4" borderId="8" xfId="23" applyNumberFormat="1" applyAlignment="1">
      <alignment horizontal="left" vertical="top"/>
      <protection locked="0"/>
    </xf>
    <xf numFmtId="0" fontId="40" fillId="4" borderId="8" xfId="23" applyAlignment="1">
      <alignment vertical="top"/>
      <protection locked="0"/>
    </xf>
    <xf numFmtId="0" fontId="40" fillId="4" borderId="8" xfId="23">
      <protection locked="0"/>
    </xf>
    <xf numFmtId="1" fontId="40" fillId="4" borderId="8" xfId="23" applyNumberFormat="1" applyAlignment="1">
      <alignment horizontal="right"/>
      <protection locked="0"/>
    </xf>
    <xf numFmtId="1" fontId="40" fillId="4" borderId="8" xfId="23" applyNumberFormat="1" applyAlignment="1">
      <alignment horizontal="right" vertical="top"/>
      <protection locked="0"/>
    </xf>
    <xf numFmtId="0" fontId="40" fillId="4" borderId="26" xfId="23" applyBorder="1" applyAlignment="1">
      <alignment horizontal="left"/>
      <protection locked="0"/>
    </xf>
    <xf numFmtId="0" fontId="40" fillId="4" borderId="27" xfId="23" applyBorder="1" applyAlignment="1">
      <alignment horizontal="left"/>
      <protection locked="0"/>
    </xf>
    <xf numFmtId="167" fontId="40" fillId="4" borderId="27" xfId="23" applyNumberFormat="1" applyBorder="1" applyAlignment="1">
      <alignment horizontal="left" vertical="center" wrapText="1"/>
      <protection locked="0"/>
    </xf>
    <xf numFmtId="0" fontId="40" fillId="4" borderId="28" xfId="23" applyBorder="1" applyAlignment="1">
      <alignment horizontal="left" vertical="center" wrapText="1"/>
      <protection locked="0"/>
    </xf>
    <xf numFmtId="0" fontId="16" fillId="0" borderId="0" xfId="0" applyFont="1" applyBorder="1" applyAlignment="1">
      <alignment vertical="center" wrapText="1"/>
    </xf>
    <xf numFmtId="0" fontId="39" fillId="0" borderId="0" xfId="0" applyFont="1" applyBorder="1" applyAlignment="1">
      <alignment horizontal="left" wrapText="1"/>
    </xf>
    <xf numFmtId="0" fontId="29" fillId="0" borderId="0" xfId="0" applyFont="1" applyAlignment="1">
      <alignment horizontal="left" vertical="top" wrapText="1"/>
    </xf>
    <xf numFmtId="0" fontId="48" fillId="0" borderId="0" xfId="0" applyFont="1" applyAlignment="1">
      <alignment horizontal="center" vertical="top" wrapText="1"/>
    </xf>
    <xf numFmtId="0" fontId="30" fillId="0" borderId="0" xfId="0" applyFont="1" applyBorder="1" applyAlignment="1">
      <alignment wrapText="1"/>
    </xf>
    <xf numFmtId="0" fontId="47" fillId="0" borderId="0" xfId="1" applyFont="1" applyBorder="1" applyAlignment="1">
      <alignment horizontal="left" wrapText="1"/>
    </xf>
    <xf numFmtId="0" fontId="47" fillId="0" borderId="0" xfId="1" applyFont="1" applyBorder="1" applyAlignment="1">
      <alignment horizontal="left" vertical="top" wrapText="1"/>
    </xf>
    <xf numFmtId="0" fontId="46" fillId="0" borderId="0" xfId="0" applyFont="1" applyAlignment="1">
      <alignment horizontal="left" vertical="top" wrapText="1"/>
    </xf>
    <xf numFmtId="0" fontId="35"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27">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26"/>
      <tableStyleElement type="secondSubtotalRow" dxfId="125"/>
      <tableStyleElement type="thirdSubtotalRow" dxfId="1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dwells%20v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s"/>
      <sheetName val="Prices"/>
      <sheetName val="Quote"/>
      <sheetName val="Q Bak blank"/>
      <sheetName val="Q Bak"/>
      <sheetName val="Base blocks"/>
      <sheetName val="Schedules"/>
      <sheetName val="Schedules temp for validation"/>
      <sheetName val="Timbers"/>
      <sheetName val="Doors"/>
      <sheetName val="Stops"/>
      <sheetName val="Thresholds"/>
      <sheetName val="Strappings"/>
      <sheetName val="Hinge facings"/>
      <sheetName val="Facings stop side"/>
      <sheetName val="Constants"/>
      <sheetName val="SchedulesRef"/>
      <sheetName val="Exceptions"/>
      <sheetName val="ReleaseNotes"/>
      <sheetName val="Price list"/>
      <sheetName val="Lists"/>
      <sheetName val="Todo"/>
      <sheetName val="Quote BCK"/>
    </sheetNames>
    <sheetDataSet>
      <sheetData sheetId="0">
        <row r="5">
          <cell r="B5">
            <v>9.0900909090908995E+22</v>
          </cell>
        </row>
        <row r="6">
          <cell r="B6" t="str">
            <v>AB/2304</v>
          </cell>
        </row>
        <row r="8">
          <cell r="B8" t="str">
            <v>Mr Blogs</v>
          </cell>
        </row>
        <row r="9">
          <cell r="B9" t="str">
            <v>Big Co Ltd</v>
          </cell>
        </row>
        <row r="10">
          <cell r="B10" t="str">
            <v>contract 23</v>
          </cell>
        </row>
        <row r="15">
          <cell r="B15" t="str">
            <v>Dr Rob Morse</v>
          </cell>
        </row>
        <row r="18">
          <cell r="B18" t="str">
            <v>Central Doors</v>
          </cell>
        </row>
        <row r="19">
          <cell r="B19" t="str">
            <v>5 Haypark Business Centre</v>
          </cell>
        </row>
        <row r="20">
          <cell r="B20" t="str">
            <v>Marchmont Avenue</v>
          </cell>
        </row>
        <row r="21">
          <cell r="B21" t="str">
            <v>Dahab</v>
          </cell>
        </row>
        <row r="22">
          <cell r="B22" t="str">
            <v>FK2 0NZ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M8" totalsRowShown="0" headerRowDxfId="123" dataDxfId="121" headerRowBorderDxfId="122" tableBorderDxfId="120" headerRowCellStyle="Normal 2" dataCellStyle="Normal 2">
  <autoFilter ref="A3:BM8" xr:uid="{40209109-380A-47A4-81C9-AC9E2D565D3B}"/>
  <tableColumns count="65">
    <tableColumn id="63" xr3:uid="{EE02FA41-B767-4EDA-8A42-16775A1CE61D}" name="Number" dataDxfId="119" dataCellStyle="Normal 2"/>
    <tableColumn id="1" xr3:uid="{C2547AE1-A085-4B64-A835-5930DF641EFF}" name="Flat / plot" dataDxfId="118" dataCellStyle="Normal 2"/>
    <tableColumn id="2" xr3:uid="{5E685CB6-772D-43F5-947F-8F004694B5D8}" name="Door spec" dataDxfId="117" dataCellStyle="Normal 2"/>
    <tableColumn id="3" xr3:uid="{DA6E3C03-A706-4B73-8852-6750B4D70BA0}" name="Location" dataDxfId="116" dataCellStyle="Normal 2"/>
    <tableColumn id="4" xr3:uid="{0C4D87F5-5C2B-466D-9A4E-1F3B3731B622}" name="Door ref/number" dataDxfId="115" dataCellStyle="Normal 2"/>
    <tableColumn id="5" xr3:uid="{C2DF3D45-E4A7-461C-9D39-335EDF5260F8}" name="Fire Rating" dataDxfId="114" dataCellStyle="Normal 2"/>
    <tableColumn id="6" xr3:uid="{2C999091-B956-44CC-822F-AB4EDFD7E332}" name="Instrument strip" dataDxfId="113" dataCellStyle="Normal 2"/>
    <tableColumn id="7" xr3:uid="{B064A130-78DC-431E-9521-58512D72A4DC}" name="Flipper colour" dataDxfId="112" dataCellStyle="Normal 2"/>
    <tableColumn id="8" xr3:uid="{3B94FCCB-CC65-47C5-8377-A8CC723E2C77}" name="Doorset layout" dataDxfId="111" dataCellStyle="Normal 2"/>
    <tableColumn id="64" xr3:uid="{3822204B-AB43-4164-BD78-7DB1A9CEA471}" name="Handing" dataDxfId="110" dataCellStyle="Normal 2"/>
    <tableColumn id="9" xr3:uid="{648CC17C-1403-4838-9C11-DCE9FE411B0C}" name="Lead door width (mm)" dataDxfId="109" dataCellStyle="Normal 2"/>
    <tableColumn id="10" xr3:uid="{6B663A8E-A3E3-4365-B5A0-635C3DC26C51}" name="Slave door width (mm)" dataDxfId="108" dataCellStyle="Normal 2"/>
    <tableColumn id="11" xr3:uid="{DC51496B-E561-4AB0-912D-42DE11D3FD11}" name="Door height (mm)" dataDxfId="107" dataCellStyle="Normal 2"/>
    <tableColumn id="12" xr3:uid="{A91C5037-F37B-4806-92A5-7C8F8E02DF77}" name="Door thickness (mm)" dataDxfId="106" dataCellStyle="Normal 2"/>
    <tableColumn id="13" xr3:uid="{811715EE-8154-491E-853B-04119F5D1B3C}" name="Aperture fire rating" dataDxfId="105" dataCellStyle="Normal 2"/>
    <tableColumn id="14" xr3:uid="{D5527189-CEBA-49D3-B4D4-411F61006300}" name="Aperture quantity" dataDxfId="104" dataCellStyle="Normal 2"/>
    <tableColumn id="65" xr3:uid="{32CD4C9B-85F6-45B2-B011-B0836C65C07A}" name="Additional costs (£)" dataDxfId="103" dataCellStyle="Normal 2"/>
    <tableColumn id="62" xr3:uid="{E051C50A-4D79-4327-A156-D3CCBD6042BE}" name="Comments" dataDxfId="102" dataCellStyle="Normal 2"/>
    <tableColumn id="16" xr3:uid="{61B44BE8-7015-4DA9-B8FC-8E3AED49F8A8}" name="Hinge type" dataDxfId="101" dataCellStyle="Normal 2"/>
    <tableColumn id="17" xr3:uid="{BFEB86BD-1D6F-4779-A2E0-6F771B7275F3}" name="Hinge quantity" dataDxfId="100" dataCellStyle="Normal 2"/>
    <tableColumn id="18" xr3:uid="{2B44A9FC-919B-42B5-8270-212A48A74DBF}" name="Ironmongery" dataDxfId="99" dataCellStyle="Normal 2"/>
    <tableColumn id="19" xr3:uid="{D0325A9D-6F8B-43AA-BA29-613A006ED5AD}" name="Flush bolt quantity " dataDxfId="98" dataCellStyle="Normal 2"/>
    <tableColumn id="20" xr3:uid="{64A84D9A-0E9B-44A9-8B8D-21722651638C}" name="Roller catch quantity" dataDxfId="97" dataCellStyle="Normal 2"/>
    <tableColumn id="21" xr3:uid="{BF743E01-BC3C-4C71-8C45-A44A4E19D021}" name="Frame timber" dataDxfId="96" dataCellStyle="Normal 2"/>
    <tableColumn id="22" xr3:uid="{85E42A7A-6DE8-4DC6-88A0-FECE51C842E1}" name="Frame thickness (mm)" dataDxfId="95" dataCellStyle="Normal 2"/>
    <tableColumn id="23" xr3:uid="{F5C26954-B720-489D-8F32-7EA10C8532B8}" name="Frame width (mm)" dataDxfId="94" dataCellStyle="Normal 2"/>
    <tableColumn id="24" xr3:uid="{02CB49B1-90B8-4CEC-9E34-7844CF63B008}" name="Lintol thickness (mm)" dataDxfId="93" dataCellStyle="Normal 2"/>
    <tableColumn id="25" xr3:uid="{08F24E03-6DF2-48DC-88E7-7EEF8460001D}" name="Stop timber" dataDxfId="92" dataCellStyle="Normal 2"/>
    <tableColumn id="26" xr3:uid="{73748A60-7FED-45DC-B4F3-0C5D10635A35}" name="Stop thickness (mm)" dataDxfId="91" dataCellStyle="Normal 2"/>
    <tableColumn id="27" xr3:uid="{92495BFC-5E5E-428F-B5DC-E22977F1228D}" name="Stop width (mm)" dataDxfId="90" dataCellStyle="Normal 2"/>
    <tableColumn id="28" xr3:uid="{41E3299C-E614-4A4C-BF04-DB83D466CF8F}" name="Undercut (mm)" dataDxfId="89" dataCellStyle="Normal 2"/>
    <tableColumn id="15" xr3:uid="{4DA4E20C-E8CD-4128-9E31-5343E60A84AD}" name="Include facings" dataDxfId="88" dataCellStyle="Normal 2"/>
    <tableColumn id="38" xr3:uid="{CE9DF7B3-E259-433F-8EE2-870DD96BAFD8}" name="Facing timber" dataDxfId="87" dataCellStyle="Normal 2"/>
    <tableColumn id="39" xr3:uid="{130FB667-CC1E-4063-AAE5-8999783296B1}" name="Facings width (mm)" dataDxfId="86" dataCellStyle="Normal 2"/>
    <tableColumn id="40" xr3:uid="{C212C7BC-E011-4BDE-8EF9-8CE19C37DC7C}" name="Facings depth (mm)" dataDxfId="85" dataCellStyle="Normal 2"/>
    <tableColumn id="53" xr3:uid="{AA3A7732-0599-41A9-9469-87DEB2005E18}" name="Base blocks timber" dataDxfId="84" dataCellStyle="Normal 2"/>
    <tableColumn id="54" xr3:uid="{99E2F268-6497-4453-BB53-CA7498EB1C54}" name="Base block width (mm)" dataDxfId="83" dataCellStyle="Normal 2"/>
    <tableColumn id="55" xr3:uid="{07E735BC-053B-4BA3-B976-58661EEB43C1}" name="Base block thickness (mm)" dataDxfId="82" dataCellStyle="Normal 2"/>
    <tableColumn id="56" xr3:uid="{00DDC031-77F6-4E6E-B630-DF2C6F62015B}" name="Base block height (mm)" dataDxfId="81" dataCellStyle="Normal 2"/>
    <tableColumn id="58" xr3:uid="{EC09E856-2FFB-4D2D-87FB-695D7DB56EDC}" name="Threshold timber" dataDxfId="80" dataCellStyle="Normal 2"/>
    <tableColumn id="59" xr3:uid="{5AF331AE-019F-406E-B557-AAB3DBD57A85}" name="Threshold thickness (mm)" dataDxfId="79" dataCellStyle="Normal 2"/>
    <tableColumn id="60" xr3:uid="{440F6002-C5D6-4D89-8806-CBA2507D6FB7}" name="Threshold width (mm)" dataDxfId="78" dataCellStyle="Normal 2"/>
    <tableColumn id="61" xr3:uid="{6C5F4C8F-327E-4782-A6C0-9F38838FED62}" name="Threshold length (mm)" dataDxfId="77" dataCellStyle="Normal 2"/>
    <tableColumn id="29" xr3:uid="{8EBAD418-4E2E-4DA4-8C81-54B0E36882F6}" name="Door state" dataDxfId="76" dataCellStyle="Normal 2"/>
    <tableColumn id="30" xr3:uid="{D3A5BDD4-08C1-4618-859B-898995181957}" name="Same as" dataDxfId="75" dataCellStyle="Normal 2"/>
    <tableColumn id="31" xr3:uid="{3ADABACE-D726-4053-87A6-950B75D46F2C}" name="Quantity" dataDxfId="74" dataCellStyle="Normal 2"/>
    <tableColumn id="57" xr3:uid="{DF4D45EE-7549-4759-B8CC-216A5BE7600B}" name="Calculation error"/>
    <tableColumn id="36" xr3:uid="{F2F4BA8A-F7A9-4020-87CA-4E84285C7E6F}" name="Trench (mm)" dataDxfId="73" dataCellStyle="Normal 2"/>
    <tableColumn id="37" xr3:uid="{ABAC42E5-BFB5-4779-A129-431B029DE360}" name="Meeting style" dataDxfId="72" dataCellStyle="Normal 2"/>
    <tableColumn id="41" xr3:uid="{FBE20AA2-687F-4811-A06A-A553C940C672}" name="Leg (mm)" dataDxfId="71" dataCellStyle="Normal 2"/>
    <tableColumn id="42" xr3:uid="{10505334-555C-4851-8CEE-DC2337411FB1}" name="Lintol (mm)" dataDxfId="70" dataCellStyle="Normal 2"/>
    <tableColumn id="43" xr3:uid="{924C6EA6-9F27-498E-8512-2AC7CD4A3473}" name="Stop leg (mm)" dataDxfId="69" dataCellStyle="Normal 2"/>
    <tableColumn id="44" xr3:uid="{1CBEE59C-7A46-4747-B47B-E2588C7AF6DD}" name="Stop lintol (mm)" dataDxfId="68" dataCellStyle="Normal 2"/>
    <tableColumn id="49" xr3:uid="{AF5FA26B-8164-461A-BBEA-72843D9EDD9C}" name="Cutting length (mm)" dataDxfId="67" dataCellStyle="Normal 2"/>
    <tableColumn id="32" xr3:uid="{7A0E7F03-BD39-4D34-8997-1E0BCB2E9F27}" name="Facings leg hinge side (mm)_x000a_        " dataDxfId="66" dataCellStyle="Normal 2"/>
    <tableColumn id="45" xr3:uid="{D1EEF98D-C6B2-4248-A39B-0A8C64089A74}" name="Facings lintol hinge side (mm)" dataDxfId="65" dataCellStyle="Normal 2"/>
    <tableColumn id="35" xr3:uid="{BB2DA1A4-4B34-4FA0-9F36-CC8E3E465AE8}" name="Facings leg non-hinge side (mm)" dataDxfId="64" dataCellStyle="Normal 2"/>
    <tableColumn id="33" xr3:uid="{6E70D4DF-8264-4703-AEED-A93622187730}" name="Facings lintol non-hinge side (mm)" dataDxfId="63" dataCellStyle="Normal 2"/>
    <tableColumn id="51" xr3:uid="{8EF06B99-72B7-4E2D-9A05-A0C64523C195}" name="Standard frame width (mm)" dataDxfId="62" dataCellStyle="Normal 2"/>
    <tableColumn id="50" xr3:uid="{953A2212-C4B9-4600-8BAB-6F335615720E}" name="Standard frame thickness (mm)" dataDxfId="61" dataCellStyle="Normal 2"/>
    <tableColumn id="52" xr3:uid="{C3589508-B39C-4876-894B-9C7362462ACD}" name="Frame length (mm)" dataDxfId="60" dataCellStyle="Normal 2"/>
    <tableColumn id="48" xr3:uid="{CE24249C-44E8-4497-ACD7-4AC195ABE1F9}" name="Frame volume (m3)" dataDxfId="59" dataCellStyle="Normal 2"/>
    <tableColumn id="47" xr3:uid="{C49F1C43-C002-4C4D-B81C-5035CBB5B06A}" name="Stop length (mm)" dataDxfId="58" dataCellStyle="Normal 2"/>
    <tableColumn id="46" xr3:uid="{71E42521-2901-443F-9EC6-317412E3B051}" name="Stop volume (m3)" dataDxfId="57" dataCellStyle="Normal 2"/>
    <tableColumn id="34" xr3:uid="{30E0B8EF-072B-43AA-AEFB-471B867DD190}" name="Charge price per door" dataDxfId="5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5" dataDxfId="54">
  <autoFilter ref="A3:B20" xr:uid="{46B05878-3C26-48D2-BABD-E80EB00EAFDE}"/>
  <tableColumns count="2">
    <tableColumn id="1" xr3:uid="{C1DD83A2-653E-4627-8930-ACBCCE77789E}" name="Constant name" dataDxfId="53"/>
    <tableColumn id="2" xr3:uid="{A9145533-B66B-47C9-A95D-53EB03D79361}" name="Value" dataDxfId="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2" totalsRowShown="0">
  <autoFilter ref="E3:G22" xr:uid="{22FE94DD-EC5F-45DB-AD02-8FDA277419AC}"/>
  <tableColumns count="3">
    <tableColumn id="1" xr3:uid="{D0208553-BBEA-4A4F-B8AC-7CA2AF1D40DB}" name="Parameter name" dataDxfId="51"/>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0" dataDxfId="49"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48" dataCellStyle="Input"/>
    <tableColumn id="3" xr3:uid="{373993A9-4710-478C-9EE7-52600C4EE1CC}" name="Max cut (mm)" dataDxfId="47"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6" dataDxfId="45">
  <autoFilter ref="M4:N7" xr:uid="{98B60C2B-9BAB-43DB-9D0B-2AF9E4EDFAAF}"/>
  <tableColumns count="2">
    <tableColumn id="1" xr3:uid="{33DFDE00-0307-4FA5-8852-A2E11B18FD2D}" name="Standard (mm)" dataDxfId="44"/>
    <tableColumn id="3" xr3:uid="{B4507771-0E50-4655-A977-CCFE84522E91}" name="Max cut (mm)"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41" dataDxfId="40" tableBorderDxfId="39">
  <autoFilter ref="G10:H18" xr:uid="{00B1724C-3B19-4B0D-8442-AA99743F92FF}"/>
  <tableColumns count="2">
    <tableColumn id="1" xr3:uid="{C9F49D4B-53E2-488D-9EB3-647AEE3F192C}" name="Item" dataDxfId="38"/>
    <tableColumn id="2" xr3:uid="{475649B0-B57B-45EC-BAE7-B1F0962942E7}" name="Price" dataDxfId="3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35">
  <autoFilter ref="M10:N17" xr:uid="{EFB736B9-D117-475E-8752-3686B271059F}"/>
  <tableColumns count="2">
    <tableColumn id="1" xr3:uid="{16B15BCE-3840-43C0-8270-35D72856772F}" name="Item" dataDxfId="34"/>
    <tableColumn id="2" xr3:uid="{DA15E9DC-CBB8-4C49-A080-A7D1116A95AF}" name="Price" dataDxfId="3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32">
  <autoFilter ref="A10:B13" xr:uid="{3AB9E48B-CDF4-4D87-9D2B-60C3D872B911}"/>
  <tableColumns count="2">
    <tableColumn id="1" xr3:uid="{372558CA-34C0-4DAC-8CB7-5AA7B8F7C189}" name="Item"/>
    <tableColumn id="2" xr3:uid="{138F8550-E333-4554-A8B5-74EE555FF4DC}" name="Price" dataDxfId="3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30">
  <autoFilter ref="P10:Q13" xr:uid="{895C630A-D575-4D52-9F9F-A8C5D69A7612}"/>
  <tableColumns count="2">
    <tableColumn id="1" xr3:uid="{99A74DB6-0D81-4876-BB5F-FEBFAB303A55}" name="Item" dataDxfId="29"/>
    <tableColumn id="2" xr3:uid="{64A14F6A-18C3-4AC3-B109-EE39FA2A2FA5}" name="Price" dataDxfId="2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27">
  <autoFilter ref="S10:T13" xr:uid="{15A36B3F-984D-4A7B-96ED-CF8450EF78C2}"/>
  <tableColumns count="2">
    <tableColumn id="1" xr3:uid="{5378677E-3079-43A4-A740-4E78EA5CE9F9}" name="Item" dataDxfId="26"/>
    <tableColumn id="2" xr3:uid="{4DF3F40E-A359-4E72-B8EB-F311F795740E}" name="Price" dataDxfId="2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4" dataDxfId="23">
  <autoFilter ref="C4:C7" xr:uid="{0902FF45-95D7-4CB3-B877-36956C4D8363}"/>
  <tableColumns count="1">
    <tableColumn id="1" xr3:uid="{50D2381B-209A-4F94-BAC9-AD26CCC2B599}" name="Fire rating" dataDxfId="2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1" dataDxfId="20">
  <autoFilter ref="G4:G7" xr:uid="{E68C8121-B1C7-4F44-88A0-4760005BA04B}"/>
  <tableColumns count="1">
    <tableColumn id="1" xr3:uid="{EF3492D1-961F-4120-9E07-95AC7765D076}" name="Doorset Layout" dataDxfId="1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8" dataDxfId="17">
  <autoFilter ref="A4:A7" xr:uid="{46B05878-3C26-48D2-BABD-E80EB00EAFDE}"/>
  <tableColumns count="1">
    <tableColumn id="1" xr3:uid="{1A4F6AEC-2F7E-4A56-B69B-4522423F94AB}" name="Door spec"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5" dataDxfId="14" tableBorderDxfId="13">
  <autoFilter ref="E4:E7" xr:uid="{4748AB34-0A5E-4AAC-837B-1180BBF3B96F}"/>
  <tableColumns count="1">
    <tableColumn id="1" xr3:uid="{56FB0A26-AE6B-450B-ADE8-560BDC50B014}" name="Flipper colour" dataDxfId="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1">
  <autoFilter ref="K4:K15" xr:uid="{D0000841-D9B1-4F52-8B4F-5D8B780DC3CC}"/>
  <tableColumns count="1">
    <tableColumn id="1" xr3:uid="{2AD5D4B7-75C8-4A37-8B37-4764C7662513}" name="Aperture quantity" dataDxfId="1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9">
  <autoFilter ref="M4:M13" xr:uid="{16BC64D3-E8F0-40DB-BC03-23BC06B38158}"/>
  <tableColumns count="1">
    <tableColumn id="1" xr3:uid="{8FC30FDF-F578-4F23-B254-BCD94615C606}" name="Hinge quantity" dataDxfId="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7">
  <autoFilter ref="O4:O15" xr:uid="{5186BBEE-A296-4090-A40C-CAEE5313AC17}"/>
  <tableColumns count="1">
    <tableColumn id="1" xr3:uid="{3B933C82-CABA-418F-A60A-5DDB1C654177}" name="Flush bolt quantity" dataDxfId="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5">
  <autoFilter ref="Q4:Q15" xr:uid="{8F440D9B-3CA6-4D3E-9DAB-600BAB5F6854}"/>
  <tableColumns count="1">
    <tableColumn id="1" xr3:uid="{C73BC335-20CE-4047-AC9D-1CC97D9AEAB5}" name="Roller catch quantity"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C3" sqref="C3"/>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85" customFormat="1" ht="30.95" customHeight="1" x14ac:dyDescent="0.3">
      <c r="A2" s="8" t="s">
        <v>1</v>
      </c>
      <c r="B2" s="85" t="str">
        <f>oeFilename &amp; " v" &amp;TEXT(oeReleaseNumber,"0.00")</f>
        <v>Redwells v0.23</v>
      </c>
      <c r="D2" s="86"/>
      <c r="E2" s="87"/>
      <c r="F2" s="88"/>
      <c r="G2" s="89"/>
      <c r="O2" s="85" t="s">
        <v>2</v>
      </c>
    </row>
    <row r="3" spans="1:15" ht="18" customHeight="1" x14ac:dyDescent="0.2">
      <c r="A3" s="21"/>
      <c r="D3" s="56"/>
      <c r="E3" s="57"/>
      <c r="F3" s="20"/>
      <c r="G3" s="13"/>
    </row>
    <row r="4" spans="1:15" ht="18" customHeight="1" thickBot="1" x14ac:dyDescent="0.35">
      <c r="A4" s="8" t="s">
        <v>204</v>
      </c>
      <c r="B4" s="91"/>
      <c r="D4" s="58"/>
      <c r="E4" s="59"/>
      <c r="F4" s="20"/>
      <c r="G4" s="13"/>
    </row>
    <row r="5" spans="1:15" ht="15" customHeight="1" x14ac:dyDescent="0.25">
      <c r="A5" s="92" t="s">
        <v>205</v>
      </c>
      <c r="B5" s="187">
        <v>67577472</v>
      </c>
      <c r="E5" s="46"/>
    </row>
    <row r="6" spans="1:15" ht="15" customHeight="1" x14ac:dyDescent="0.25">
      <c r="A6" s="93" t="s">
        <v>206</v>
      </c>
      <c r="B6" s="188" t="s">
        <v>373</v>
      </c>
      <c r="E6" s="46"/>
    </row>
    <row r="7" spans="1:15" ht="15" customHeight="1" x14ac:dyDescent="0.25">
      <c r="A7" s="93" t="s">
        <v>207</v>
      </c>
      <c r="B7" s="188" t="s">
        <v>212</v>
      </c>
      <c r="E7" s="46"/>
    </row>
    <row r="8" spans="1:15" ht="15" customHeight="1" x14ac:dyDescent="0.25">
      <c r="A8" s="93" t="s">
        <v>11</v>
      </c>
      <c r="B8" s="188" t="s">
        <v>213</v>
      </c>
      <c r="E8" s="46"/>
    </row>
    <row r="9" spans="1:15" ht="15" customHeight="1" x14ac:dyDescent="0.25">
      <c r="A9" s="93" t="s">
        <v>12</v>
      </c>
      <c r="B9" s="188" t="s">
        <v>398</v>
      </c>
      <c r="E9" s="46"/>
    </row>
    <row r="10" spans="1:15" ht="15" customHeight="1" x14ac:dyDescent="0.25">
      <c r="A10" s="93" t="s">
        <v>217</v>
      </c>
      <c r="B10" s="188" t="s">
        <v>214</v>
      </c>
      <c r="E10" s="46"/>
    </row>
    <row r="11" spans="1:15" ht="15" customHeight="1" x14ac:dyDescent="0.25">
      <c r="A11" s="93" t="s">
        <v>210</v>
      </c>
      <c r="B11" s="189">
        <v>44106.90834490741</v>
      </c>
      <c r="C11" s="44"/>
      <c r="E11" s="46"/>
    </row>
    <row r="12" spans="1:15" ht="15" customHeight="1" thickBot="1" x14ac:dyDescent="0.3">
      <c r="A12" s="94" t="s">
        <v>211</v>
      </c>
      <c r="B12" s="190" t="s">
        <v>215</v>
      </c>
      <c r="C12" s="44"/>
      <c r="E12" s="46"/>
    </row>
    <row r="13" spans="1:15" ht="20.100000000000001" customHeight="1" x14ac:dyDescent="0.2">
      <c r="C13" s="44"/>
      <c r="E13" s="46"/>
    </row>
    <row r="14" spans="1:15" ht="20.100000000000001" customHeight="1" thickBot="1" x14ac:dyDescent="0.35">
      <c r="A14" s="8" t="s">
        <v>230</v>
      </c>
      <c r="B14" s="91"/>
      <c r="C14" s="44"/>
      <c r="E14" s="46"/>
    </row>
    <row r="15" spans="1:15" ht="15" customHeight="1" x14ac:dyDescent="0.25">
      <c r="A15" s="97" t="s">
        <v>229</v>
      </c>
      <c r="B15" s="98" t="s">
        <v>266</v>
      </c>
      <c r="C15" s="44"/>
      <c r="E15" s="46"/>
    </row>
    <row r="16" spans="1:15" ht="15" customHeight="1" x14ac:dyDescent="0.25">
      <c r="A16" s="109" t="s">
        <v>263</v>
      </c>
      <c r="B16" s="110" t="s">
        <v>255</v>
      </c>
      <c r="C16" s="44"/>
      <c r="E16" s="46"/>
    </row>
    <row r="17" spans="1:6" ht="15" customHeight="1" x14ac:dyDescent="0.25">
      <c r="A17" s="109" t="s">
        <v>260</v>
      </c>
      <c r="B17" s="110" t="s">
        <v>261</v>
      </c>
      <c r="C17" s="44"/>
      <c r="E17" s="46"/>
    </row>
    <row r="18" spans="1:6" ht="15" customHeight="1" x14ac:dyDescent="0.25">
      <c r="A18" s="99" t="s">
        <v>231</v>
      </c>
      <c r="B18" s="100" t="s">
        <v>234</v>
      </c>
      <c r="C18" s="44"/>
      <c r="E18" s="46"/>
    </row>
    <row r="19" spans="1:6" ht="15" customHeight="1" x14ac:dyDescent="0.25">
      <c r="A19" s="99" t="s">
        <v>232</v>
      </c>
      <c r="B19" s="100" t="s">
        <v>235</v>
      </c>
      <c r="C19" s="44"/>
      <c r="E19" s="46"/>
    </row>
    <row r="20" spans="1:6" ht="15" customHeight="1" x14ac:dyDescent="0.25">
      <c r="A20" s="99" t="s">
        <v>233</v>
      </c>
      <c r="B20" s="100" t="s">
        <v>236</v>
      </c>
      <c r="C20" s="44"/>
      <c r="E20" s="46"/>
    </row>
    <row r="21" spans="1:6" ht="15" customHeight="1" x14ac:dyDescent="0.25">
      <c r="A21" s="99" t="s">
        <v>237</v>
      </c>
      <c r="B21" s="100" t="s">
        <v>267</v>
      </c>
      <c r="C21" s="44"/>
      <c r="E21" s="46"/>
    </row>
    <row r="22" spans="1:6" ht="15" customHeight="1" thickBot="1" x14ac:dyDescent="0.3">
      <c r="A22" s="101" t="s">
        <v>238</v>
      </c>
      <c r="B22" s="102" t="s">
        <v>239</v>
      </c>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369</v>
      </c>
      <c r="B33" s="5" t="s">
        <v>397</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1"/>
      <c r="E40" s="52"/>
      <c r="F40" s="30"/>
    </row>
    <row r="41" spans="1:9" x14ac:dyDescent="0.2">
      <c r="C41" s="28"/>
      <c r="D41" s="191"/>
      <c r="E41" s="52"/>
      <c r="F41" s="30"/>
    </row>
    <row r="42" spans="1:9" x14ac:dyDescent="0.2">
      <c r="C42" s="28"/>
      <c r="D42" s="191"/>
      <c r="E42" s="52"/>
      <c r="F42" s="30"/>
    </row>
    <row r="43" spans="1:9" x14ac:dyDescent="0.2">
      <c r="C43" s="28"/>
      <c r="D43" s="191"/>
      <c r="E43" s="52"/>
      <c r="F43" s="30"/>
    </row>
    <row r="44" spans="1:9" x14ac:dyDescent="0.2">
      <c r="C44" s="28"/>
      <c r="D44" s="191"/>
      <c r="E44" s="52"/>
      <c r="F44" s="30"/>
    </row>
    <row r="45" spans="1:9" x14ac:dyDescent="0.2">
      <c r="A45" s="20"/>
      <c r="B45" s="20"/>
      <c r="C45" s="28"/>
      <c r="D45" s="191"/>
      <c r="E45" s="52"/>
      <c r="F45" s="30"/>
    </row>
    <row r="46" spans="1:9" x14ac:dyDescent="0.2">
      <c r="A46" s="20"/>
      <c r="B46" s="20"/>
      <c r="C46" s="28"/>
      <c r="D46" s="191"/>
      <c r="E46" s="52"/>
      <c r="F46" s="30"/>
    </row>
    <row r="47" spans="1:9" x14ac:dyDescent="0.2">
      <c r="A47" s="20"/>
      <c r="B47" s="20"/>
      <c r="C47" s="28"/>
      <c r="D47" s="191"/>
      <c r="E47" s="52"/>
      <c r="F47" s="30"/>
    </row>
    <row r="48" spans="1:9" x14ac:dyDescent="0.2">
      <c r="A48" s="20"/>
      <c r="B48" s="20"/>
      <c r="C48" s="28"/>
      <c r="D48" s="191"/>
      <c r="E48" s="52"/>
      <c r="F48" s="30"/>
    </row>
    <row r="49" spans="1:6" x14ac:dyDescent="0.2">
      <c r="A49" s="20"/>
      <c r="B49" s="20"/>
      <c r="C49" s="28"/>
      <c r="D49" s="191"/>
      <c r="E49" s="52"/>
      <c r="F49" s="30"/>
    </row>
    <row r="50" spans="1:6" x14ac:dyDescent="0.2">
      <c r="A50" s="20"/>
      <c r="B50" s="20"/>
      <c r="C50" s="28"/>
      <c r="D50" s="191"/>
      <c r="E50" s="52"/>
      <c r="F50" s="30"/>
    </row>
    <row r="51" spans="1:6" x14ac:dyDescent="0.2">
      <c r="A51" s="20"/>
      <c r="B51" s="20"/>
      <c r="C51" s="28"/>
      <c r="D51" s="191"/>
      <c r="E51" s="52"/>
      <c r="F51" s="30"/>
    </row>
    <row r="52" spans="1:6" x14ac:dyDescent="0.2">
      <c r="A52" s="20"/>
      <c r="B52" s="20"/>
      <c r="C52" s="28"/>
      <c r="D52" s="191"/>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1"/>
      <c r="E55" s="52"/>
      <c r="F55" s="30"/>
    </row>
    <row r="56" spans="1:6" ht="15.75" x14ac:dyDescent="0.25">
      <c r="A56" s="25"/>
      <c r="B56" s="20"/>
      <c r="C56" s="28"/>
      <c r="D56" s="191"/>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3"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view="pageBreakPreview" topLeftCell="A2" zoomScale="90" zoomScaleNormal="100" zoomScaleSheetLayoutView="90" zoomScalePageLayoutView="70" workbookViewId="0">
      <selection activeCell="H4" sqref="H4"/>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8"/>
      <c r="B1" s="158"/>
      <c r="C1" s="158"/>
      <c r="D1" s="158"/>
      <c r="E1" s="158"/>
      <c r="F1" s="158"/>
      <c r="G1" s="90"/>
      <c r="H1" s="95"/>
    </row>
    <row r="2" spans="1:11" ht="32.1" customHeight="1" x14ac:dyDescent="0.25">
      <c r="A2" s="158"/>
      <c r="B2" s="158"/>
      <c r="C2" s="158"/>
      <c r="D2" s="158"/>
      <c r="E2" s="158"/>
      <c r="F2" s="158"/>
      <c r="G2" s="19"/>
    </row>
    <row r="3" spans="1:11" s="96" customFormat="1" ht="69.95" customHeight="1" x14ac:dyDescent="0.25">
      <c r="A3" s="158"/>
      <c r="B3" s="158"/>
      <c r="C3" s="158"/>
      <c r="D3" s="158"/>
      <c r="E3" s="158"/>
      <c r="F3" s="158"/>
      <c r="G3"/>
      <c r="H3"/>
      <c r="I3"/>
      <c r="J3"/>
      <c r="K3"/>
    </row>
    <row r="4" spans="1:11" ht="99.95" customHeight="1" x14ac:dyDescent="0.2">
      <c r="A4" s="193"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193"/>
      <c r="C4" s="193"/>
      <c r="D4" s="193"/>
      <c r="E4" s="193"/>
      <c r="F4" s="193"/>
    </row>
    <row r="5" spans="1:11" ht="50.1" customHeight="1" x14ac:dyDescent="0.2">
      <c r="A5" s="194" t="s">
        <v>396</v>
      </c>
      <c r="B5" s="194"/>
      <c r="C5" s="194"/>
      <c r="D5" s="194"/>
      <c r="E5" s="194"/>
      <c r="F5" s="194"/>
    </row>
    <row r="6" spans="1:11" ht="69.95" customHeight="1" x14ac:dyDescent="0.25">
      <c r="A6" s="195" t="str">
        <f>"Reference: " &amp; "Source?" &amp; CHAR(10) &amp; "Quote number RQ: " &amp; QuoteNumberRQ &amp; CHAR(10 )&amp; "Date of estimate: "</f>
        <v xml:space="preserve">Reference: Source?
Quote number RQ: 67577472
Date of estimate: </v>
      </c>
      <c r="B6" s="195"/>
      <c r="C6" s="195"/>
      <c r="D6" s="195"/>
      <c r="E6" s="195"/>
      <c r="F6" s="195"/>
    </row>
    <row r="7" spans="1:11" ht="69.95" customHeight="1" x14ac:dyDescent="0.25">
      <c r="A7" s="158"/>
      <c r="B7" s="158"/>
      <c r="C7" s="158"/>
      <c r="D7" s="158"/>
      <c r="E7" s="158"/>
      <c r="F7" s="158"/>
      <c r="G7" s="90"/>
    </row>
    <row r="8" spans="1:11" s="157" customFormat="1" ht="30" customHeight="1" x14ac:dyDescent="0.3">
      <c r="A8" s="166" t="s">
        <v>253</v>
      </c>
      <c r="B8" s="166" t="s">
        <v>6</v>
      </c>
      <c r="C8" s="166" t="s">
        <v>39</v>
      </c>
      <c r="D8" s="166" t="s">
        <v>21</v>
      </c>
      <c r="E8" s="166" t="s">
        <v>22</v>
      </c>
      <c r="F8" s="166" t="s">
        <v>254</v>
      </c>
    </row>
    <row r="9" spans="1:11" ht="69.95" customHeight="1" x14ac:dyDescent="0.25">
      <c r="A9" s="171">
        <v>1</v>
      </c>
      <c r="B9" s="172" t="s">
        <v>379</v>
      </c>
      <c r="C9" s="173">
        <v>1</v>
      </c>
      <c r="D9" s="174" t="s">
        <v>380</v>
      </c>
      <c r="E9" s="174" t="s">
        <v>381</v>
      </c>
      <c r="F9" s="175">
        <v>255.75749999999999</v>
      </c>
    </row>
    <row r="10" spans="1:11" ht="69.95" customHeight="1" x14ac:dyDescent="0.25">
      <c r="A10" s="171">
        <v>2</v>
      </c>
      <c r="B10" s="172" t="s">
        <v>382</v>
      </c>
      <c r="C10" s="173">
        <v>1</v>
      </c>
      <c r="D10" s="174" t="s">
        <v>380</v>
      </c>
      <c r="E10" s="174" t="s">
        <v>383</v>
      </c>
      <c r="F10" s="175">
        <v>646.28499999999997</v>
      </c>
    </row>
    <row r="11" spans="1:11" ht="69.95" customHeight="1" x14ac:dyDescent="0.25">
      <c r="A11" s="167">
        <v>3</v>
      </c>
      <c r="B11" s="168" t="s">
        <v>382</v>
      </c>
      <c r="C11" s="158">
        <v>1</v>
      </c>
      <c r="D11" s="169" t="s">
        <v>380</v>
      </c>
      <c r="E11" s="169" t="s">
        <v>383</v>
      </c>
      <c r="F11" s="170">
        <v>206.85509999999999</v>
      </c>
    </row>
    <row r="12" spans="1:11" ht="30" customHeight="1" x14ac:dyDescent="0.25">
      <c r="A12" s="158"/>
      <c r="B12" s="158"/>
      <c r="C12" s="158"/>
      <c r="D12" s="158"/>
      <c r="E12" s="158"/>
      <c r="F12" s="176">
        <v>1108.8976</v>
      </c>
    </row>
    <row r="13" spans="1:11" ht="30" customHeight="1" x14ac:dyDescent="0.25">
      <c r="A13" s="158"/>
      <c r="B13" s="158"/>
      <c r="C13" s="158"/>
      <c r="D13" s="177" t="s">
        <v>300</v>
      </c>
      <c r="E13" s="158"/>
      <c r="F13" s="170">
        <v>221.77952000000002</v>
      </c>
    </row>
    <row r="14" spans="1:11" ht="30" customHeight="1" thickBot="1" x14ac:dyDescent="0.3">
      <c r="A14" s="158"/>
      <c r="B14" s="158"/>
      <c r="C14" s="158"/>
      <c r="D14" s="178" t="s">
        <v>301</v>
      </c>
      <c r="E14" s="158"/>
      <c r="F14" s="179">
        <v>1330.6771200000001</v>
      </c>
    </row>
    <row r="15" spans="1:11" ht="90" customHeight="1" thickTop="1" x14ac:dyDescent="0.3">
      <c r="A15" s="192" t="s">
        <v>262</v>
      </c>
      <c r="B15" s="192"/>
      <c r="C15" s="192"/>
      <c r="D15" s="192"/>
      <c r="E15" s="192"/>
      <c r="F15" s="192"/>
    </row>
    <row r="16" spans="1:11" ht="69.95" customHeight="1" x14ac:dyDescent="0.25">
      <c r="A16" s="158"/>
      <c r="B16" s="158"/>
      <c r="C16" s="158"/>
      <c r="D16" s="158"/>
      <c r="E16" s="158"/>
      <c r="F16" s="158"/>
    </row>
    <row r="17" spans="1:6" ht="69.95" customHeight="1" x14ac:dyDescent="0.25">
      <c r="A17" s="158"/>
      <c r="B17" s="158"/>
      <c r="C17" s="158"/>
      <c r="D17" s="158"/>
      <c r="E17" s="158"/>
      <c r="F17" s="158"/>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15:F15"/>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I12" sqref="I12"/>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43"/>
      <c r="G1" s="143"/>
      <c r="H1" s="95"/>
    </row>
    <row r="2" spans="1:12" ht="32.1" customHeight="1" x14ac:dyDescent="0.25">
      <c r="A2" s="162" t="s">
        <v>216</v>
      </c>
      <c r="C2" s="3"/>
      <c r="D2" s="196" t="str">
        <f xml:space="preserve"> "RQ: " &amp; QuoteNumberRQ &amp; ", P/O: " &amp; PurchaseOrderNoRW &amp; ", Contract: " &amp; Contract &amp; ", Site: " &amp; Site &amp; ", Customer O/N: " &amp; CustomerOrderNumber</f>
        <v>RQ: 67577472, P/O: AB/2304, Contract: Mr Blogs, Site: Gooch and Housego Ltd, Customer O/N: contract 23</v>
      </c>
      <c r="E2" s="196"/>
      <c r="F2" s="196"/>
      <c r="G2" s="196"/>
      <c r="H2" s="196"/>
      <c r="I2" s="196"/>
      <c r="J2" s="196"/>
      <c r="K2" s="196"/>
      <c r="L2" s="196"/>
    </row>
    <row r="3" spans="1:12" s="96" customFormat="1" ht="30" customHeight="1" x14ac:dyDescent="0.2">
      <c r="A3" s="130" t="s">
        <v>377</v>
      </c>
      <c r="B3" s="130" t="s">
        <v>130</v>
      </c>
      <c r="C3" s="130" t="s">
        <v>70</v>
      </c>
      <c r="D3" s="130" t="s">
        <v>71</v>
      </c>
      <c r="E3" s="130" t="s">
        <v>68</v>
      </c>
      <c r="F3" s="130" t="s">
        <v>129</v>
      </c>
      <c r="G3" s="130" t="s">
        <v>128</v>
      </c>
      <c r="H3" s="131" t="s">
        <v>100</v>
      </c>
      <c r="I3" s="131" t="s">
        <v>219</v>
      </c>
      <c r="J3" s="131" t="s">
        <v>242</v>
      </c>
      <c r="K3" s="163" t="s">
        <v>224</v>
      </c>
      <c r="L3" s="180" t="s">
        <v>218</v>
      </c>
    </row>
    <row r="4" spans="1:12" x14ac:dyDescent="0.2">
      <c r="A4" s="45">
        <v>1</v>
      </c>
      <c r="B4" s="45" t="s">
        <v>91</v>
      </c>
      <c r="C4" s="45" t="s">
        <v>69</v>
      </c>
      <c r="D4" s="45" t="s">
        <v>65</v>
      </c>
      <c r="E4" s="45" t="s">
        <v>75</v>
      </c>
      <c r="F4" s="45">
        <v>40</v>
      </c>
      <c r="G4" s="45">
        <v>53</v>
      </c>
      <c r="H4" s="45">
        <v>2</v>
      </c>
      <c r="I4" s="45">
        <v>1513</v>
      </c>
      <c r="J4" s="45">
        <v>5</v>
      </c>
      <c r="K4" s="45">
        <v>1</v>
      </c>
      <c r="L4">
        <v>1403</v>
      </c>
    </row>
    <row r="5" spans="1:12" x14ac:dyDescent="0.2">
      <c r="A5" s="45">
        <v>1</v>
      </c>
      <c r="B5" s="45" t="s">
        <v>91</v>
      </c>
      <c r="C5" s="45" t="s">
        <v>69</v>
      </c>
      <c r="D5" s="45" t="s">
        <v>67</v>
      </c>
      <c r="E5" s="45" t="s">
        <v>75</v>
      </c>
      <c r="F5" s="45">
        <v>30</v>
      </c>
      <c r="G5" s="45">
        <v>64</v>
      </c>
      <c r="H5" s="45">
        <v>2</v>
      </c>
      <c r="I5" s="45">
        <v>1813</v>
      </c>
      <c r="J5" s="45">
        <v>5</v>
      </c>
      <c r="K5" s="45">
        <v>1</v>
      </c>
      <c r="L5">
        <v>959</v>
      </c>
    </row>
    <row r="6" spans="1:12" x14ac:dyDescent="0.2">
      <c r="A6" s="45">
        <v>1</v>
      </c>
      <c r="B6" s="45" t="s">
        <v>91</v>
      </c>
      <c r="C6" s="45" t="s">
        <v>69</v>
      </c>
      <c r="D6" s="45" t="s">
        <v>67</v>
      </c>
      <c r="E6" s="45" t="s">
        <v>75</v>
      </c>
      <c r="F6" s="45">
        <v>35</v>
      </c>
      <c r="G6" s="45">
        <v>62</v>
      </c>
      <c r="H6" s="45">
        <v>2</v>
      </c>
      <c r="I6" s="45">
        <v>1813</v>
      </c>
      <c r="J6" s="45">
        <v>5</v>
      </c>
      <c r="K6" s="45">
        <v>1</v>
      </c>
      <c r="L6">
        <v>959</v>
      </c>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mergeCells count="1">
    <mergeCell ref="D2:L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F10" sqref="F10"/>
    </sheetView>
  </sheetViews>
  <sheetFormatPr defaultColWidth="9" defaultRowHeight="12" x14ac:dyDescent="0.2"/>
  <cols>
    <col min="1" max="1" width="12" style="155" customWidth="1"/>
    <col min="2" max="2" width="11" style="45" customWidth="1"/>
    <col min="3" max="3" width="9.33203125" style="155" customWidth="1"/>
    <col min="4" max="4" width="10.33203125" style="155" customWidth="1"/>
    <col min="5" max="5" width="11.83203125" style="156"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9"/>
      <c r="C1" s="150"/>
      <c r="D1" s="150"/>
      <c r="E1" s="149"/>
      <c r="F1" s="151"/>
      <c r="G1" s="151"/>
      <c r="H1" s="152"/>
    </row>
    <row r="2" spans="1:16" ht="32.1" customHeight="1" x14ac:dyDescent="0.2">
      <c r="A2" s="162" t="s">
        <v>298</v>
      </c>
      <c r="C2" s="197" t="str">
        <f xml:space="preserve"> "RQ: " &amp; QuoteNumberRQ &amp; ", P/O: " &amp; PurchaseOrderNoRW &amp; ", Contract: " &amp; Contract &amp; ", Site: " &amp; Site &amp; ", Customer O/N: " &amp; CustomerOrderNumber</f>
        <v>RQ: 67577472, P/O: AB/2304, Contract: Mr Blogs, Site: Gooch and Housego Ltd, Customer O/N: contract 23</v>
      </c>
      <c r="D2" s="197"/>
      <c r="E2" s="197"/>
      <c r="F2" s="197"/>
      <c r="G2" s="197"/>
      <c r="H2" s="197"/>
      <c r="I2" s="197"/>
      <c r="J2" s="197"/>
    </row>
    <row r="3" spans="1:16" s="96" customFormat="1" ht="30" customHeight="1" x14ac:dyDescent="0.2">
      <c r="A3" s="134" t="s">
        <v>377</v>
      </c>
      <c r="B3" s="134" t="s">
        <v>72</v>
      </c>
      <c r="C3" s="134" t="s">
        <v>60</v>
      </c>
      <c r="D3" s="134" t="s">
        <v>70</v>
      </c>
      <c r="E3" s="134" t="s">
        <v>78</v>
      </c>
      <c r="F3" s="127" t="s">
        <v>77</v>
      </c>
      <c r="G3" s="127" t="s">
        <v>71</v>
      </c>
      <c r="H3" s="127" t="s">
        <v>68</v>
      </c>
      <c r="I3" s="127" t="s">
        <v>74</v>
      </c>
      <c r="J3" s="127" t="s">
        <v>114</v>
      </c>
      <c r="K3" s="127" t="s">
        <v>112</v>
      </c>
      <c r="L3" s="127" t="s">
        <v>113</v>
      </c>
      <c r="M3" s="127" t="s">
        <v>19</v>
      </c>
      <c r="N3" s="127" t="s">
        <v>16</v>
      </c>
      <c r="O3" s="127" t="s">
        <v>82</v>
      </c>
      <c r="P3" s="127" t="s">
        <v>393</v>
      </c>
    </row>
    <row r="4" spans="1:16" x14ac:dyDescent="0.2">
      <c r="A4" s="45">
        <v>1</v>
      </c>
      <c r="B4" s="45" t="s">
        <v>270</v>
      </c>
      <c r="C4" s="45" t="s">
        <v>61</v>
      </c>
      <c r="D4" s="45" t="s">
        <v>69</v>
      </c>
      <c r="E4" s="45">
        <v>2</v>
      </c>
      <c r="F4" s="45" t="s">
        <v>25</v>
      </c>
      <c r="G4" s="45" t="s">
        <v>65</v>
      </c>
      <c r="H4" s="45" t="s">
        <v>75</v>
      </c>
      <c r="I4" s="45" t="s">
        <v>28</v>
      </c>
      <c r="J4" s="45">
        <v>1500</v>
      </c>
      <c r="K4" s="45">
        <v>888</v>
      </c>
      <c r="L4" s="45">
        <v>500</v>
      </c>
      <c r="M4" s="45" t="s">
        <v>36</v>
      </c>
      <c r="N4" s="45" t="s">
        <v>29</v>
      </c>
      <c r="O4" s="45">
        <v>1</v>
      </c>
      <c r="P4" t="s">
        <v>394</v>
      </c>
    </row>
    <row r="5" spans="1:16" x14ac:dyDescent="0.2">
      <c r="A5" s="45">
        <v>2</v>
      </c>
      <c r="B5" s="45" t="s">
        <v>270</v>
      </c>
      <c r="C5" s="45" t="s">
        <v>61</v>
      </c>
      <c r="D5" s="45" t="s">
        <v>69</v>
      </c>
      <c r="E5" s="45">
        <v>2</v>
      </c>
      <c r="F5" s="45" t="s">
        <v>25</v>
      </c>
      <c r="G5" s="45" t="s">
        <v>67</v>
      </c>
      <c r="H5" s="45" t="s">
        <v>75</v>
      </c>
      <c r="I5" s="45" t="s">
        <v>28</v>
      </c>
      <c r="J5" s="45">
        <v>1800</v>
      </c>
      <c r="K5" s="45">
        <v>444</v>
      </c>
      <c r="L5" s="45">
        <v>500</v>
      </c>
      <c r="M5" s="45" t="s">
        <v>36</v>
      </c>
      <c r="N5" s="45" t="s">
        <v>29</v>
      </c>
      <c r="O5" s="45">
        <v>1</v>
      </c>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mergeCells count="1">
    <mergeCell ref="C2:J2"/>
  </mergeCells>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5" customWidth="1"/>
    <col min="2" max="2" width="15.83203125" style="45" customWidth="1"/>
    <col min="3" max="3" width="8.33203125" style="155" customWidth="1"/>
    <col min="4" max="4" width="20.83203125" style="155" customWidth="1"/>
    <col min="5" max="5" width="14.1640625" style="156"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51"/>
      <c r="H1" s="152"/>
    </row>
    <row r="2" spans="1:11" ht="32.1" customHeight="1" x14ac:dyDescent="0.2">
      <c r="A2" s="3" t="s">
        <v>220</v>
      </c>
      <c r="B2" s="90"/>
      <c r="C2" s="148" t="str">
        <f xml:space="preserve"> "RQ: " &amp; QuoteNumberRQ &amp; ", P/O: " &amp; PurchaseOrderNoRW &amp; ", Contract: " &amp; Contract &amp; ", Site: " &amp; Site &amp; ", Customer O/N: " &amp; CustomerOrderNumber</f>
        <v>RQ: 67577472, P/O: AB/2304, Contract: Mr Blogs, Site: Gooch and Housego Ltd, Customer O/N: contract 23</v>
      </c>
      <c r="D2" s="3"/>
      <c r="E2" s="160"/>
      <c r="F2" s="161"/>
      <c r="G2" s="154"/>
    </row>
    <row r="3" spans="1:11" s="96" customFormat="1" ht="30" customHeight="1" x14ac:dyDescent="0.2">
      <c r="A3" s="132" t="s">
        <v>377</v>
      </c>
      <c r="B3" s="132" t="s">
        <v>126</v>
      </c>
      <c r="C3" s="132" t="s">
        <v>70</v>
      </c>
      <c r="D3" s="132" t="s">
        <v>131</v>
      </c>
      <c r="E3" s="132" t="s">
        <v>125</v>
      </c>
      <c r="F3" s="132" t="s">
        <v>100</v>
      </c>
      <c r="G3" s="132" t="s">
        <v>222</v>
      </c>
      <c r="H3" s="133" t="s">
        <v>224</v>
      </c>
      <c r="I3" s="133" t="s">
        <v>221</v>
      </c>
      <c r="J3"/>
      <c r="K3"/>
    </row>
    <row r="4" spans="1:11" x14ac:dyDescent="0.2">
      <c r="A4" s="45">
        <v>1</v>
      </c>
      <c r="B4" s="45" t="s">
        <v>31</v>
      </c>
      <c r="C4" s="45" t="s">
        <v>69</v>
      </c>
      <c r="D4" s="45">
        <v>26</v>
      </c>
      <c r="E4" s="45">
        <v>55</v>
      </c>
      <c r="F4" s="45">
        <v>2</v>
      </c>
      <c r="G4" s="45">
        <v>1482</v>
      </c>
      <c r="H4" s="45">
        <v>1</v>
      </c>
      <c r="I4" s="45">
        <v>1323</v>
      </c>
    </row>
    <row r="5" spans="1:11" x14ac:dyDescent="0.2">
      <c r="A5" s="45">
        <v>1</v>
      </c>
      <c r="B5" s="45" t="s">
        <v>31</v>
      </c>
      <c r="C5" s="45" t="s">
        <v>69</v>
      </c>
      <c r="D5" s="45">
        <v>26</v>
      </c>
      <c r="E5" s="45">
        <v>57</v>
      </c>
      <c r="F5" s="45">
        <v>2</v>
      </c>
      <c r="G5" s="45">
        <v>1782</v>
      </c>
      <c r="H5" s="45">
        <v>1</v>
      </c>
      <c r="I5" s="45">
        <v>899</v>
      </c>
    </row>
    <row r="6" spans="1:11" x14ac:dyDescent="0.2">
      <c r="A6" s="45">
        <v>1</v>
      </c>
      <c r="B6" s="45" t="s">
        <v>31</v>
      </c>
      <c r="C6" s="45" t="s">
        <v>69</v>
      </c>
      <c r="D6" s="45">
        <v>26</v>
      </c>
      <c r="E6" s="45">
        <v>57</v>
      </c>
      <c r="F6" s="45">
        <v>2</v>
      </c>
      <c r="G6" s="45">
        <v>1782</v>
      </c>
      <c r="H6" s="45">
        <v>1</v>
      </c>
      <c r="I6" s="45">
        <v>889</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64" t="s">
        <v>378</v>
      </c>
      <c r="C2" s="165"/>
      <c r="D2" s="198" t="str">
        <f xml:space="preserve"> "RQ: " &amp; QuoteNumberRQ &amp; ", P/O: " &amp; PurchaseOrderNoRW &amp; ", Contract: " &amp; Contract &amp; ", Site: " &amp; Site &amp; ", Customer O/N: " &amp; CustomerOrderNumber</f>
        <v>RQ: 9.0900909090909E+22, P/O: AB/2304, Contract: Mr Blogs, Site: Big Co Ltd, Customer O/N: contract 23</v>
      </c>
      <c r="E2" s="198"/>
      <c r="F2" s="198"/>
      <c r="G2" s="198"/>
    </row>
    <row r="3" spans="1:11" s="96" customFormat="1" ht="30" customHeight="1" x14ac:dyDescent="0.2">
      <c r="A3" s="127" t="s">
        <v>377</v>
      </c>
      <c r="B3" s="127" t="s">
        <v>133</v>
      </c>
      <c r="C3" s="127" t="s">
        <v>137</v>
      </c>
      <c r="D3" s="127" t="s">
        <v>138</v>
      </c>
      <c r="E3" s="127" t="s">
        <v>139</v>
      </c>
      <c r="F3"/>
      <c r="G3"/>
      <c r="H3"/>
      <c r="I3"/>
      <c r="J3"/>
      <c r="K3"/>
    </row>
    <row r="4" spans="1:11" ht="12" customHeight="1" x14ac:dyDescent="0.2">
      <c r="A4" s="45">
        <v>1</v>
      </c>
      <c r="B4" s="45" t="s">
        <v>90</v>
      </c>
      <c r="C4" s="45">
        <v>200</v>
      </c>
      <c r="D4" s="45">
        <v>300</v>
      </c>
      <c r="E4" s="45">
        <v>600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D2: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A4" sqref="A4:O6"/>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15.83203125" style="156"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43"/>
      <c r="H1" s="95"/>
    </row>
    <row r="2" spans="1:11" s="90" customFormat="1" ht="32.1" customHeight="1" x14ac:dyDescent="0.2">
      <c r="A2" s="3" t="s">
        <v>223</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32" t="s">
        <v>377</v>
      </c>
      <c r="B3" s="132" t="s">
        <v>117</v>
      </c>
      <c r="C3" s="132" t="s">
        <v>134</v>
      </c>
      <c r="D3" s="132" t="s">
        <v>118</v>
      </c>
      <c r="E3" s="132" t="s">
        <v>119</v>
      </c>
      <c r="F3" s="132" t="s">
        <v>120</v>
      </c>
      <c r="G3"/>
      <c r="H3"/>
      <c r="I3"/>
      <c r="J3"/>
      <c r="K3"/>
    </row>
    <row r="4" spans="1:11" x14ac:dyDescent="0.2">
      <c r="A4" s="45">
        <v>1</v>
      </c>
      <c r="B4" s="45" t="s">
        <v>91</v>
      </c>
      <c r="C4" s="45">
        <v>400</v>
      </c>
      <c r="D4" s="45">
        <v>550</v>
      </c>
      <c r="E4" s="45">
        <v>600</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55"/>
      <c r="B190" s="45"/>
      <c r="C190" s="155"/>
      <c r="D190" s="155"/>
      <c r="E190" s="156"/>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H9" sqref="H9"/>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21" style="156"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9"/>
      <c r="C1" s="150"/>
      <c r="D1" s="153"/>
      <c r="E1" s="153"/>
      <c r="F1" s="153"/>
      <c r="G1" s="148"/>
      <c r="H1" s="148"/>
      <c r="I1" s="148"/>
      <c r="J1" s="148"/>
      <c r="K1" s="148"/>
      <c r="L1" s="148"/>
    </row>
    <row r="2" spans="1:12" s="90" customFormat="1" ht="32.1" customHeight="1" x14ac:dyDescent="0.2">
      <c r="A2" s="3" t="s">
        <v>228</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48"/>
      <c r="F2" s="148"/>
      <c r="G2" s="148"/>
      <c r="H2" s="148"/>
      <c r="I2" s="148"/>
      <c r="J2" s="148"/>
      <c r="K2" s="148"/>
      <c r="L2" s="148"/>
    </row>
    <row r="3" spans="1:12" s="96" customFormat="1" ht="30" customHeight="1" x14ac:dyDescent="0.2">
      <c r="A3" s="127" t="s">
        <v>377</v>
      </c>
      <c r="B3" s="127" t="s">
        <v>251</v>
      </c>
      <c r="C3" s="127" t="s">
        <v>124</v>
      </c>
      <c r="D3" s="127" t="s">
        <v>123</v>
      </c>
      <c r="E3" s="127" t="s">
        <v>247</v>
      </c>
      <c r="F3" s="127" t="s">
        <v>252</v>
      </c>
      <c r="G3" s="127" t="s">
        <v>386</v>
      </c>
      <c r="H3" s="127" t="s">
        <v>303</v>
      </c>
      <c r="I3"/>
      <c r="J3"/>
      <c r="K3"/>
    </row>
    <row r="4" spans="1:12" x14ac:dyDescent="0.2">
      <c r="A4" s="45">
        <v>1</v>
      </c>
      <c r="B4" s="45" t="s">
        <v>89</v>
      </c>
      <c r="C4" s="45">
        <v>10</v>
      </c>
      <c r="D4" s="45">
        <v>5</v>
      </c>
      <c r="E4" s="45">
        <v>2</v>
      </c>
      <c r="F4" s="45">
        <v>1208</v>
      </c>
      <c r="G4" s="45">
        <v>1</v>
      </c>
      <c r="H4">
        <v>967</v>
      </c>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10" sqref="D10"/>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32.83203125" style="156"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51"/>
      <c r="H1" s="95"/>
    </row>
    <row r="2" spans="1:11" s="90" customFormat="1" ht="32.1" customHeight="1" x14ac:dyDescent="0.2">
      <c r="A2" s="3" t="s">
        <v>307</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27" t="s">
        <v>377</v>
      </c>
      <c r="B3" s="127" t="s">
        <v>251</v>
      </c>
      <c r="C3" s="127" t="s">
        <v>124</v>
      </c>
      <c r="D3" s="127" t="s">
        <v>123</v>
      </c>
      <c r="E3" s="127" t="s">
        <v>248</v>
      </c>
      <c r="F3" s="127" t="s">
        <v>304</v>
      </c>
      <c r="G3" s="127" t="s">
        <v>385</v>
      </c>
      <c r="H3" s="127" t="s">
        <v>305</v>
      </c>
      <c r="I3"/>
      <c r="J3"/>
      <c r="K3"/>
    </row>
    <row r="4" spans="1:11" x14ac:dyDescent="0.2">
      <c r="A4" s="150">
        <v>1</v>
      </c>
      <c r="B4" s="150" t="s">
        <v>89</v>
      </c>
      <c r="C4" s="150">
        <v>10</v>
      </c>
      <c r="D4" s="150">
        <v>5</v>
      </c>
      <c r="E4" s="150">
        <v>2</v>
      </c>
      <c r="F4" s="150">
        <v>1182</v>
      </c>
      <c r="G4" s="150">
        <v>1</v>
      </c>
      <c r="H4" s="150">
        <v>915</v>
      </c>
    </row>
    <row r="5" spans="1:11" x14ac:dyDescent="0.2">
      <c r="A5" s="150"/>
      <c r="B5" s="150"/>
      <c r="C5" s="150"/>
      <c r="D5" s="150"/>
      <c r="E5" s="150"/>
      <c r="F5" s="150"/>
      <c r="G5" s="150"/>
      <c r="H5" s="150"/>
    </row>
    <row r="6" spans="1:11" x14ac:dyDescent="0.2">
      <c r="A6" s="150"/>
      <c r="B6" s="150"/>
      <c r="C6" s="150"/>
      <c r="D6" s="150"/>
      <c r="E6" s="150"/>
      <c r="F6" s="150"/>
      <c r="G6" s="150"/>
      <c r="H6" s="150"/>
    </row>
    <row r="7" spans="1:11" x14ac:dyDescent="0.2">
      <c r="A7" s="150"/>
      <c r="B7" s="150"/>
      <c r="C7" s="150"/>
      <c r="D7" s="150"/>
      <c r="E7" s="150"/>
      <c r="F7" s="150"/>
      <c r="G7" s="150"/>
      <c r="H7" s="150"/>
    </row>
    <row r="8" spans="1:11" x14ac:dyDescent="0.2">
      <c r="A8" s="150"/>
      <c r="B8" s="150"/>
      <c r="C8" s="150"/>
      <c r="D8" s="150"/>
      <c r="E8" s="150"/>
      <c r="F8" s="150"/>
      <c r="G8" s="150"/>
      <c r="H8" s="150"/>
    </row>
    <row r="9" spans="1:11" x14ac:dyDescent="0.2">
      <c r="A9" s="150"/>
      <c r="B9" s="150"/>
      <c r="C9" s="150"/>
      <c r="D9" s="150"/>
      <c r="E9" s="150"/>
      <c r="F9" s="150"/>
      <c r="G9" s="150"/>
      <c r="H9" s="150"/>
    </row>
    <row r="10" spans="1:11" x14ac:dyDescent="0.2">
      <c r="A10" s="150"/>
      <c r="B10" s="150"/>
      <c r="C10" s="150"/>
      <c r="D10" s="150"/>
      <c r="E10" s="150"/>
      <c r="F10" s="150"/>
      <c r="G10" s="150"/>
      <c r="H10" s="150"/>
    </row>
    <row r="11" spans="1:11" x14ac:dyDescent="0.2">
      <c r="A11" s="150"/>
      <c r="B11" s="150"/>
      <c r="C11" s="150"/>
      <c r="D11" s="150"/>
      <c r="E11" s="150"/>
      <c r="F11" s="150"/>
      <c r="G11" s="150"/>
      <c r="H11" s="150"/>
    </row>
    <row r="12" spans="1:11" x14ac:dyDescent="0.2">
      <c r="A12" s="150"/>
      <c r="B12" s="150"/>
      <c r="C12" s="150"/>
      <c r="D12" s="150"/>
      <c r="E12" s="150"/>
      <c r="F12" s="150"/>
      <c r="G12" s="150"/>
      <c r="H12" s="150"/>
    </row>
    <row r="13" spans="1:11" x14ac:dyDescent="0.2">
      <c r="A13" s="150"/>
      <c r="B13" s="150"/>
      <c r="C13" s="150"/>
      <c r="D13" s="150"/>
      <c r="E13" s="150"/>
      <c r="F13" s="150"/>
      <c r="G13" s="150"/>
      <c r="H13" s="150"/>
    </row>
    <row r="14" spans="1:11" x14ac:dyDescent="0.2">
      <c r="A14" s="150"/>
      <c r="B14" s="150"/>
      <c r="C14" s="150"/>
      <c r="D14" s="150"/>
      <c r="E14" s="150"/>
      <c r="F14" s="150"/>
      <c r="G14" s="150"/>
      <c r="H14" s="150"/>
    </row>
    <row r="15" spans="1:11" x14ac:dyDescent="0.2">
      <c r="A15" s="150"/>
      <c r="B15" s="150"/>
      <c r="C15" s="150"/>
      <c r="D15" s="150"/>
      <c r="E15" s="150"/>
      <c r="F15" s="150"/>
      <c r="G15" s="150"/>
      <c r="H15" s="150"/>
    </row>
    <row r="16" spans="1:11" x14ac:dyDescent="0.2">
      <c r="A16" s="150"/>
      <c r="B16" s="150"/>
      <c r="C16" s="150"/>
      <c r="D16" s="150"/>
      <c r="E16" s="150"/>
      <c r="F16" s="150"/>
      <c r="G16" s="150"/>
      <c r="H16" s="150"/>
    </row>
    <row r="17" spans="1:8" x14ac:dyDescent="0.2">
      <c r="A17" s="150"/>
      <c r="B17" s="150"/>
      <c r="C17" s="150"/>
      <c r="D17" s="150"/>
      <c r="E17" s="150"/>
      <c r="F17" s="150"/>
      <c r="G17" s="150"/>
      <c r="H17" s="150"/>
    </row>
    <row r="18" spans="1:8" x14ac:dyDescent="0.2">
      <c r="A18" s="150"/>
      <c r="B18" s="150"/>
      <c r="C18" s="150"/>
      <c r="D18" s="150"/>
      <c r="E18" s="150"/>
      <c r="F18" s="150"/>
      <c r="G18" s="150"/>
      <c r="H18" s="150"/>
    </row>
    <row r="19" spans="1:8" x14ac:dyDescent="0.2">
      <c r="A19" s="150"/>
      <c r="B19" s="150"/>
      <c r="C19" s="150"/>
      <c r="D19" s="150"/>
      <c r="E19" s="150"/>
      <c r="F19" s="150"/>
      <c r="G19" s="150"/>
      <c r="H19" s="150"/>
    </row>
    <row r="20" spans="1:8" x14ac:dyDescent="0.2">
      <c r="A20" s="150"/>
      <c r="B20" s="150"/>
      <c r="C20" s="150"/>
      <c r="D20" s="150"/>
      <c r="E20" s="150"/>
      <c r="F20" s="150"/>
      <c r="G20" s="150"/>
      <c r="H20" s="150"/>
    </row>
    <row r="21" spans="1:8" x14ac:dyDescent="0.2">
      <c r="A21" s="150"/>
      <c r="B21" s="150"/>
      <c r="C21" s="150"/>
      <c r="D21" s="150"/>
      <c r="E21" s="150"/>
      <c r="F21" s="150"/>
      <c r="G21" s="150"/>
      <c r="H21" s="150"/>
    </row>
    <row r="22" spans="1:8" x14ac:dyDescent="0.2">
      <c r="A22" s="150"/>
      <c r="B22" s="150"/>
      <c r="C22" s="150"/>
      <c r="D22" s="150"/>
      <c r="E22" s="150"/>
      <c r="F22" s="150"/>
      <c r="G22" s="150"/>
      <c r="H22" s="150"/>
    </row>
    <row r="23" spans="1:8" x14ac:dyDescent="0.2">
      <c r="A23" s="150"/>
      <c r="B23" s="150"/>
      <c r="C23" s="150"/>
      <c r="D23" s="150"/>
      <c r="E23" s="150"/>
      <c r="F23" s="150"/>
      <c r="G23" s="150"/>
      <c r="H23" s="150"/>
    </row>
    <row r="24" spans="1:8" x14ac:dyDescent="0.2">
      <c r="A24" s="150"/>
      <c r="B24" s="150"/>
      <c r="C24" s="150"/>
      <c r="D24" s="150"/>
      <c r="E24" s="150"/>
      <c r="F24" s="150"/>
      <c r="G24" s="150"/>
      <c r="H24" s="150"/>
    </row>
    <row r="25" spans="1:8" x14ac:dyDescent="0.2">
      <c r="A25" s="150"/>
      <c r="B25" s="150"/>
      <c r="C25" s="150"/>
      <c r="D25" s="150"/>
      <c r="E25" s="150"/>
      <c r="F25" s="150"/>
      <c r="G25" s="150"/>
      <c r="H25" s="150"/>
    </row>
    <row r="26" spans="1:8" x14ac:dyDescent="0.2">
      <c r="A26" s="150"/>
      <c r="B26" s="150"/>
      <c r="C26" s="150"/>
      <c r="D26" s="150"/>
      <c r="E26" s="150"/>
      <c r="F26" s="150"/>
      <c r="G26" s="150"/>
      <c r="H26" s="150"/>
    </row>
    <row r="27" spans="1:8" x14ac:dyDescent="0.2">
      <c r="A27" s="150"/>
      <c r="B27" s="150"/>
      <c r="C27" s="150"/>
      <c r="D27" s="150"/>
      <c r="E27" s="150"/>
      <c r="F27" s="150"/>
      <c r="G27" s="150"/>
      <c r="H27" s="150"/>
    </row>
    <row r="28" spans="1:8" x14ac:dyDescent="0.2">
      <c r="A28" s="150"/>
      <c r="B28" s="150"/>
      <c r="C28" s="150"/>
      <c r="D28" s="150"/>
      <c r="E28" s="150"/>
      <c r="F28" s="150"/>
      <c r="G28" s="150"/>
      <c r="H28" s="150"/>
    </row>
    <row r="29" spans="1:8" x14ac:dyDescent="0.2">
      <c r="A29" s="150"/>
      <c r="B29" s="150"/>
      <c r="C29" s="150"/>
      <c r="D29" s="150"/>
      <c r="E29" s="150"/>
      <c r="F29" s="150"/>
      <c r="G29" s="150"/>
      <c r="H29" s="150"/>
    </row>
    <row r="30" spans="1:8" x14ac:dyDescent="0.2">
      <c r="A30" s="150"/>
      <c r="B30" s="150"/>
      <c r="C30" s="150"/>
      <c r="D30" s="150"/>
      <c r="E30" s="150"/>
      <c r="F30" s="150"/>
      <c r="G30" s="150"/>
      <c r="H30" s="150"/>
    </row>
    <row r="31" spans="1:8" x14ac:dyDescent="0.2">
      <c r="A31" s="150"/>
      <c r="B31" s="150"/>
      <c r="C31" s="150"/>
      <c r="D31" s="150"/>
      <c r="E31" s="150"/>
      <c r="F31" s="150"/>
      <c r="G31" s="150"/>
      <c r="H31" s="150"/>
    </row>
    <row r="32" spans="1:8" x14ac:dyDescent="0.2">
      <c r="A32" s="150"/>
      <c r="B32" s="150"/>
      <c r="C32" s="150"/>
      <c r="D32" s="150"/>
      <c r="E32" s="150"/>
      <c r="F32" s="150"/>
      <c r="G32" s="150"/>
      <c r="H32" s="150"/>
    </row>
    <row r="33" spans="1:8" x14ac:dyDescent="0.2">
      <c r="A33" s="150"/>
      <c r="B33" s="150"/>
      <c r="C33" s="150"/>
      <c r="D33" s="150"/>
      <c r="E33" s="150"/>
      <c r="F33" s="150"/>
      <c r="G33" s="150"/>
      <c r="H33" s="150"/>
    </row>
    <row r="34" spans="1:8" x14ac:dyDescent="0.2">
      <c r="A34" s="150"/>
      <c r="B34" s="150"/>
      <c r="C34" s="150"/>
      <c r="D34" s="150"/>
      <c r="E34" s="150"/>
      <c r="F34" s="150"/>
      <c r="G34" s="150"/>
      <c r="H34" s="150"/>
    </row>
    <row r="35" spans="1:8" x14ac:dyDescent="0.2">
      <c r="A35" s="150"/>
      <c r="B35" s="150"/>
      <c r="C35" s="150"/>
      <c r="D35" s="150"/>
      <c r="E35" s="150"/>
      <c r="F35" s="150"/>
      <c r="G35" s="150"/>
      <c r="H35" s="150"/>
    </row>
    <row r="36" spans="1:8" x14ac:dyDescent="0.2">
      <c r="A36" s="150"/>
      <c r="B36" s="150"/>
      <c r="C36" s="150"/>
      <c r="D36" s="150"/>
      <c r="E36" s="150"/>
      <c r="F36" s="150"/>
      <c r="G36" s="150"/>
      <c r="H36" s="150"/>
    </row>
    <row r="37" spans="1:8" x14ac:dyDescent="0.2">
      <c r="A37" s="150"/>
      <c r="B37" s="150"/>
      <c r="C37" s="150"/>
      <c r="D37" s="150"/>
      <c r="E37" s="150"/>
      <c r="F37" s="150"/>
      <c r="G37" s="150"/>
      <c r="H37" s="150"/>
    </row>
    <row r="38" spans="1:8" x14ac:dyDescent="0.2">
      <c r="A38" s="150"/>
      <c r="B38" s="150"/>
      <c r="C38" s="150"/>
      <c r="D38" s="150"/>
      <c r="E38" s="150"/>
      <c r="F38" s="150"/>
      <c r="G38" s="150"/>
      <c r="H38" s="150"/>
    </row>
    <row r="39" spans="1:8" x14ac:dyDescent="0.2">
      <c r="A39" s="150"/>
      <c r="B39" s="150"/>
      <c r="C39" s="150"/>
      <c r="D39" s="150"/>
      <c r="E39" s="150"/>
      <c r="F39" s="150"/>
      <c r="G39" s="150"/>
      <c r="H39" s="150"/>
    </row>
    <row r="40" spans="1:8" x14ac:dyDescent="0.2">
      <c r="A40" s="150"/>
      <c r="B40" s="150"/>
      <c r="C40" s="150"/>
      <c r="D40" s="150"/>
      <c r="E40" s="150"/>
      <c r="F40" s="150"/>
      <c r="G40" s="150"/>
      <c r="H40" s="150"/>
    </row>
    <row r="41" spans="1:8" x14ac:dyDescent="0.2">
      <c r="A41" s="150"/>
      <c r="B41" s="150"/>
      <c r="C41" s="150"/>
      <c r="D41" s="150"/>
      <c r="E41" s="150"/>
      <c r="F41" s="150"/>
      <c r="G41" s="150"/>
      <c r="H41" s="150"/>
    </row>
    <row r="42" spans="1:8" x14ac:dyDescent="0.2">
      <c r="A42" s="150"/>
      <c r="B42" s="150"/>
      <c r="C42" s="150"/>
      <c r="D42" s="150"/>
      <c r="E42" s="150"/>
      <c r="F42" s="150"/>
      <c r="G42" s="150"/>
      <c r="H42" s="150"/>
    </row>
    <row r="43" spans="1:8" x14ac:dyDescent="0.2">
      <c r="A43" s="150"/>
      <c r="B43" s="150"/>
      <c r="C43" s="150"/>
      <c r="D43" s="150"/>
      <c r="E43" s="150"/>
      <c r="F43" s="150"/>
      <c r="G43" s="150"/>
      <c r="H43" s="150"/>
    </row>
    <row r="44" spans="1:8" x14ac:dyDescent="0.2">
      <c r="A44" s="150"/>
      <c r="B44" s="150"/>
      <c r="C44" s="150"/>
      <c r="D44" s="150"/>
      <c r="E44" s="150"/>
      <c r="F44" s="150"/>
      <c r="G44" s="150"/>
      <c r="H44" s="150"/>
    </row>
    <row r="45" spans="1:8" x14ac:dyDescent="0.2">
      <c r="A45" s="150"/>
      <c r="B45" s="150"/>
      <c r="C45" s="150"/>
      <c r="D45" s="150"/>
      <c r="E45" s="150"/>
      <c r="F45" s="150"/>
      <c r="G45" s="150"/>
      <c r="H45" s="150"/>
    </row>
    <row r="46" spans="1:8" x14ac:dyDescent="0.2">
      <c r="A46" s="150"/>
      <c r="B46" s="150"/>
      <c r="C46" s="150"/>
      <c r="D46" s="150"/>
      <c r="E46" s="150"/>
      <c r="F46" s="150"/>
      <c r="G46" s="150"/>
      <c r="H46" s="150"/>
    </row>
    <row r="47" spans="1:8" x14ac:dyDescent="0.2">
      <c r="A47" s="150"/>
      <c r="B47" s="150"/>
      <c r="C47" s="150"/>
      <c r="D47" s="150"/>
      <c r="E47" s="150"/>
      <c r="F47" s="150"/>
      <c r="G47" s="150"/>
      <c r="H47" s="150"/>
    </row>
    <row r="48" spans="1:8" x14ac:dyDescent="0.2">
      <c r="A48" s="150"/>
      <c r="B48" s="150"/>
      <c r="C48" s="150"/>
      <c r="D48" s="150"/>
      <c r="E48" s="150"/>
      <c r="F48" s="150"/>
      <c r="G48" s="150"/>
      <c r="H48" s="150"/>
    </row>
    <row r="49" spans="1:8" x14ac:dyDescent="0.2">
      <c r="A49" s="150"/>
      <c r="B49" s="150"/>
      <c r="C49" s="150"/>
      <c r="D49" s="150"/>
      <c r="E49" s="150"/>
      <c r="F49" s="150"/>
      <c r="G49" s="150"/>
      <c r="H49" s="150"/>
    </row>
    <row r="50" spans="1:8" x14ac:dyDescent="0.2">
      <c r="A50" s="150"/>
      <c r="B50" s="150"/>
      <c r="C50" s="150"/>
      <c r="D50" s="150"/>
      <c r="E50" s="150"/>
      <c r="F50" s="150"/>
      <c r="G50" s="150"/>
      <c r="H50" s="150"/>
    </row>
    <row r="51" spans="1:8" x14ac:dyDescent="0.2">
      <c r="A51" s="150"/>
      <c r="B51" s="150"/>
      <c r="C51" s="150"/>
      <c r="D51" s="150"/>
      <c r="E51" s="150"/>
      <c r="F51" s="150"/>
      <c r="G51" s="150"/>
      <c r="H51" s="150"/>
    </row>
    <row r="52" spans="1:8" x14ac:dyDescent="0.2">
      <c r="A52" s="150"/>
      <c r="B52" s="150"/>
      <c r="C52" s="150"/>
      <c r="D52" s="150"/>
      <c r="E52" s="150"/>
      <c r="F52" s="150"/>
      <c r="G52" s="150"/>
      <c r="H52" s="150"/>
    </row>
    <row r="53" spans="1:8" x14ac:dyDescent="0.2">
      <c r="A53" s="150"/>
      <c r="B53" s="150"/>
      <c r="C53" s="150"/>
      <c r="D53" s="150"/>
      <c r="E53" s="150"/>
      <c r="F53" s="150"/>
      <c r="G53" s="150"/>
      <c r="H53" s="150"/>
    </row>
    <row r="54" spans="1:8" x14ac:dyDescent="0.2">
      <c r="A54" s="150"/>
      <c r="B54" s="150"/>
      <c r="C54" s="150"/>
      <c r="D54" s="150"/>
      <c r="E54" s="150"/>
      <c r="F54" s="150"/>
      <c r="G54" s="150"/>
      <c r="H54" s="150"/>
    </row>
    <row r="55" spans="1:8" x14ac:dyDescent="0.2">
      <c r="A55" s="150"/>
      <c r="B55" s="150"/>
      <c r="C55" s="150"/>
      <c r="D55" s="150"/>
      <c r="E55" s="150"/>
      <c r="F55" s="150"/>
      <c r="G55" s="150"/>
      <c r="H55" s="150"/>
    </row>
    <row r="56" spans="1:8" x14ac:dyDescent="0.2">
      <c r="A56" s="150"/>
      <c r="B56" s="150"/>
      <c r="C56" s="150"/>
      <c r="D56" s="150"/>
      <c r="E56" s="150"/>
      <c r="F56" s="150"/>
      <c r="G56" s="150"/>
      <c r="H56" s="150"/>
    </row>
    <row r="57" spans="1:8" x14ac:dyDescent="0.2">
      <c r="A57" s="150"/>
      <c r="B57" s="150"/>
      <c r="C57" s="150"/>
      <c r="D57" s="150"/>
      <c r="E57" s="150"/>
      <c r="F57" s="150"/>
      <c r="G57" s="150"/>
      <c r="H57" s="150"/>
    </row>
    <row r="58" spans="1:8" x14ac:dyDescent="0.2">
      <c r="A58" s="150"/>
      <c r="B58" s="150"/>
      <c r="C58" s="150"/>
      <c r="D58" s="150"/>
      <c r="E58" s="150"/>
      <c r="F58" s="150"/>
      <c r="G58" s="150"/>
      <c r="H58" s="150"/>
    </row>
    <row r="59" spans="1:8" x14ac:dyDescent="0.2">
      <c r="A59" s="150"/>
      <c r="B59" s="150"/>
      <c r="C59" s="150"/>
      <c r="D59" s="150"/>
      <c r="E59" s="150"/>
      <c r="F59" s="150"/>
      <c r="G59" s="150"/>
      <c r="H59" s="150"/>
    </row>
    <row r="60" spans="1:8" x14ac:dyDescent="0.2">
      <c r="A60" s="150"/>
      <c r="B60" s="150"/>
      <c r="C60" s="150"/>
      <c r="D60" s="150"/>
      <c r="E60" s="150"/>
      <c r="F60" s="150"/>
      <c r="G60" s="150"/>
      <c r="H60" s="150"/>
    </row>
    <row r="61" spans="1:8" x14ac:dyDescent="0.2">
      <c r="A61" s="150"/>
      <c r="B61" s="150"/>
      <c r="C61" s="150"/>
      <c r="D61" s="150"/>
      <c r="E61" s="150"/>
      <c r="F61" s="150"/>
      <c r="G61" s="150"/>
      <c r="H61" s="150"/>
    </row>
    <row r="62" spans="1:8" x14ac:dyDescent="0.2">
      <c r="A62" s="150"/>
      <c r="B62" s="150"/>
      <c r="C62" s="150"/>
      <c r="D62" s="150"/>
      <c r="E62" s="150"/>
      <c r="F62" s="150"/>
      <c r="G62" s="150"/>
      <c r="H62" s="150"/>
    </row>
    <row r="63" spans="1:8" x14ac:dyDescent="0.2">
      <c r="A63" s="150"/>
      <c r="B63" s="150"/>
      <c r="C63" s="150"/>
      <c r="D63" s="150"/>
      <c r="E63" s="150"/>
      <c r="F63" s="150"/>
      <c r="G63" s="150"/>
      <c r="H63" s="150"/>
    </row>
    <row r="64" spans="1:8" x14ac:dyDescent="0.2">
      <c r="A64" s="150"/>
      <c r="B64" s="150"/>
      <c r="C64" s="150"/>
      <c r="D64" s="150"/>
      <c r="E64" s="150"/>
      <c r="F64" s="150"/>
      <c r="G64" s="150"/>
      <c r="H64" s="150"/>
    </row>
    <row r="65" spans="1:8" x14ac:dyDescent="0.2">
      <c r="A65" s="150"/>
      <c r="B65" s="150"/>
      <c r="C65" s="150"/>
      <c r="D65" s="150"/>
      <c r="E65" s="150"/>
      <c r="F65" s="150"/>
      <c r="G65" s="150"/>
      <c r="H65" s="150"/>
    </row>
    <row r="66" spans="1:8" x14ac:dyDescent="0.2">
      <c r="A66" s="150"/>
      <c r="B66" s="150"/>
      <c r="C66" s="150"/>
      <c r="D66" s="150"/>
      <c r="E66" s="150"/>
      <c r="F66" s="150"/>
      <c r="G66" s="150"/>
      <c r="H66" s="150"/>
    </row>
    <row r="67" spans="1:8" x14ac:dyDescent="0.2">
      <c r="A67" s="150"/>
      <c r="B67" s="150"/>
      <c r="C67" s="150"/>
      <c r="D67" s="150"/>
      <c r="E67" s="150"/>
      <c r="F67" s="150"/>
      <c r="G67" s="150"/>
      <c r="H67" s="150"/>
    </row>
    <row r="68" spans="1:8" x14ac:dyDescent="0.2">
      <c r="A68" s="150"/>
      <c r="B68" s="150"/>
      <c r="C68" s="150"/>
      <c r="D68" s="150"/>
      <c r="E68" s="150"/>
      <c r="F68" s="150"/>
      <c r="G68" s="150"/>
      <c r="H68" s="150"/>
    </row>
    <row r="69" spans="1:8" x14ac:dyDescent="0.2">
      <c r="A69" s="150"/>
      <c r="B69" s="150"/>
      <c r="C69" s="150"/>
      <c r="D69" s="150"/>
      <c r="E69" s="150"/>
      <c r="F69" s="150"/>
      <c r="G69" s="150"/>
      <c r="H69" s="150"/>
    </row>
    <row r="70" spans="1:8" x14ac:dyDescent="0.2">
      <c r="A70" s="150"/>
      <c r="B70" s="150"/>
      <c r="C70" s="150"/>
      <c r="D70" s="150"/>
      <c r="E70" s="150"/>
      <c r="F70" s="150"/>
      <c r="G70" s="150"/>
      <c r="H70" s="150"/>
    </row>
    <row r="71" spans="1:8" x14ac:dyDescent="0.2">
      <c r="A71" s="150"/>
      <c r="B71" s="150"/>
      <c r="C71" s="150"/>
      <c r="D71" s="150"/>
      <c r="E71" s="150"/>
      <c r="F71" s="150"/>
      <c r="G71" s="150"/>
      <c r="H71" s="150"/>
    </row>
    <row r="72" spans="1:8" x14ac:dyDescent="0.2">
      <c r="A72" s="150"/>
      <c r="B72" s="150"/>
      <c r="C72" s="150"/>
      <c r="D72" s="150"/>
      <c r="E72" s="150"/>
      <c r="F72" s="150"/>
      <c r="G72" s="150"/>
      <c r="H72" s="150"/>
    </row>
    <row r="73" spans="1:8" x14ac:dyDescent="0.2">
      <c r="A73" s="150"/>
      <c r="B73" s="150"/>
      <c r="C73" s="150"/>
      <c r="D73" s="150"/>
      <c r="E73" s="150"/>
      <c r="F73" s="150"/>
      <c r="G73" s="150"/>
      <c r="H73" s="150"/>
    </row>
    <row r="74" spans="1:8" x14ac:dyDescent="0.2">
      <c r="A74" s="150"/>
      <c r="B74" s="150"/>
      <c r="C74" s="150"/>
      <c r="D74" s="150"/>
      <c r="E74" s="150"/>
      <c r="F74" s="150"/>
      <c r="G74" s="150"/>
      <c r="H74" s="150"/>
    </row>
    <row r="75" spans="1:8" x14ac:dyDescent="0.2">
      <c r="A75" s="150"/>
      <c r="B75" s="150"/>
      <c r="C75" s="150"/>
      <c r="D75" s="150"/>
      <c r="E75" s="150"/>
      <c r="F75" s="150"/>
      <c r="G75" s="150"/>
      <c r="H75" s="150"/>
    </row>
    <row r="76" spans="1:8" x14ac:dyDescent="0.2">
      <c r="A76" s="150"/>
      <c r="B76" s="150"/>
      <c r="C76" s="150"/>
      <c r="D76" s="150"/>
      <c r="E76" s="150"/>
      <c r="F76" s="150"/>
      <c r="G76" s="150"/>
      <c r="H76" s="150"/>
    </row>
    <row r="77" spans="1:8" x14ac:dyDescent="0.2">
      <c r="A77" s="150"/>
      <c r="B77" s="150"/>
      <c r="C77" s="150"/>
      <c r="D77" s="150"/>
      <c r="E77" s="150"/>
      <c r="F77" s="150"/>
      <c r="G77" s="150"/>
      <c r="H77" s="150"/>
    </row>
    <row r="78" spans="1:8" x14ac:dyDescent="0.2">
      <c r="A78" s="150"/>
      <c r="B78" s="150"/>
      <c r="C78" s="150"/>
      <c r="D78" s="150"/>
      <c r="E78" s="150"/>
      <c r="F78" s="150"/>
      <c r="G78" s="150"/>
      <c r="H78" s="150"/>
    </row>
    <row r="79" spans="1:8" x14ac:dyDescent="0.2">
      <c r="A79" s="150"/>
      <c r="B79" s="150"/>
      <c r="C79" s="150"/>
      <c r="D79" s="150"/>
      <c r="E79" s="150"/>
      <c r="F79" s="150"/>
      <c r="G79" s="150"/>
      <c r="H79" s="150"/>
    </row>
    <row r="80" spans="1:8" x14ac:dyDescent="0.2">
      <c r="A80" s="150"/>
      <c r="B80" s="150"/>
      <c r="C80" s="150"/>
      <c r="D80" s="150"/>
      <c r="E80" s="150"/>
      <c r="F80" s="150"/>
      <c r="G80" s="150"/>
      <c r="H80" s="150"/>
    </row>
    <row r="81" spans="1:8" x14ac:dyDescent="0.2">
      <c r="A81" s="150"/>
      <c r="B81" s="150"/>
      <c r="C81" s="150"/>
      <c r="D81" s="150"/>
      <c r="E81" s="150"/>
      <c r="F81" s="150"/>
      <c r="G81" s="150"/>
      <c r="H81" s="150"/>
    </row>
    <row r="82" spans="1:8" x14ac:dyDescent="0.2">
      <c r="A82" s="150"/>
      <c r="B82" s="150"/>
      <c r="C82" s="150"/>
      <c r="D82" s="150"/>
      <c r="E82" s="150"/>
      <c r="F82" s="150"/>
      <c r="G82" s="150"/>
      <c r="H82" s="150"/>
    </row>
    <row r="83" spans="1:8" x14ac:dyDescent="0.2">
      <c r="A83" s="150"/>
      <c r="B83" s="150"/>
      <c r="C83" s="150"/>
      <c r="D83" s="150"/>
      <c r="E83" s="150"/>
      <c r="F83" s="150"/>
      <c r="G83" s="150"/>
      <c r="H83" s="150"/>
    </row>
    <row r="84" spans="1:8" x14ac:dyDescent="0.2">
      <c r="A84" s="150"/>
      <c r="B84" s="150"/>
      <c r="C84" s="150"/>
      <c r="D84" s="150"/>
      <c r="E84" s="150"/>
      <c r="F84" s="150"/>
      <c r="G84" s="150"/>
      <c r="H84" s="150"/>
    </row>
    <row r="85" spans="1:8" x14ac:dyDescent="0.2">
      <c r="A85" s="150"/>
      <c r="B85" s="150"/>
      <c r="C85" s="150"/>
      <c r="D85" s="150"/>
      <c r="E85" s="150"/>
      <c r="F85" s="150"/>
      <c r="G85" s="150"/>
      <c r="H85" s="150"/>
    </row>
    <row r="86" spans="1:8" x14ac:dyDescent="0.2">
      <c r="A86" s="150"/>
      <c r="B86" s="150"/>
      <c r="C86" s="150"/>
      <c r="D86" s="150"/>
      <c r="E86" s="150"/>
      <c r="F86" s="150"/>
      <c r="G86" s="150"/>
      <c r="H86" s="150"/>
    </row>
    <row r="87" spans="1:8" x14ac:dyDescent="0.2">
      <c r="A87" s="150"/>
      <c r="B87" s="150"/>
      <c r="C87" s="150"/>
      <c r="D87" s="150"/>
      <c r="E87" s="150"/>
      <c r="F87" s="150"/>
      <c r="G87" s="150"/>
      <c r="H87" s="150"/>
    </row>
    <row r="88" spans="1:8" x14ac:dyDescent="0.2">
      <c r="A88" s="150"/>
      <c r="B88" s="150"/>
      <c r="C88" s="150"/>
      <c r="D88" s="150"/>
      <c r="E88" s="150"/>
      <c r="F88" s="150"/>
      <c r="G88" s="150"/>
      <c r="H88" s="150"/>
    </row>
    <row r="89" spans="1:8" x14ac:dyDescent="0.2">
      <c r="A89" s="150"/>
      <c r="B89" s="150"/>
      <c r="C89" s="150"/>
      <c r="D89" s="150"/>
      <c r="E89" s="150"/>
      <c r="F89" s="150"/>
      <c r="G89" s="150"/>
      <c r="H89" s="150"/>
    </row>
    <row r="90" spans="1:8" x14ac:dyDescent="0.2">
      <c r="A90" s="150"/>
      <c r="B90" s="150"/>
      <c r="C90" s="150"/>
      <c r="D90" s="150"/>
      <c r="E90" s="150"/>
      <c r="F90" s="150"/>
      <c r="G90" s="150"/>
      <c r="H90" s="150"/>
    </row>
    <row r="91" spans="1:8" x14ac:dyDescent="0.2">
      <c r="A91" s="150"/>
      <c r="B91" s="150"/>
      <c r="C91" s="150"/>
      <c r="D91" s="150"/>
      <c r="E91" s="150"/>
      <c r="F91" s="150"/>
      <c r="G91" s="150"/>
      <c r="H91" s="150"/>
    </row>
    <row r="92" spans="1:8" x14ac:dyDescent="0.2">
      <c r="A92" s="150"/>
      <c r="B92" s="150"/>
      <c r="C92" s="150"/>
      <c r="D92" s="150"/>
      <c r="E92" s="150"/>
      <c r="F92" s="150"/>
      <c r="G92" s="150"/>
      <c r="H92" s="150"/>
    </row>
    <row r="93" spans="1:8" x14ac:dyDescent="0.2">
      <c r="A93" s="150"/>
      <c r="B93" s="150"/>
      <c r="C93" s="150"/>
      <c r="D93" s="150"/>
      <c r="E93" s="150"/>
      <c r="F93" s="150"/>
      <c r="G93" s="150"/>
      <c r="H93" s="150"/>
    </row>
    <row r="94" spans="1:8" x14ac:dyDescent="0.2">
      <c r="A94" s="150"/>
      <c r="B94" s="150"/>
      <c r="C94" s="150"/>
      <c r="D94" s="150"/>
      <c r="E94" s="150"/>
      <c r="F94" s="150"/>
      <c r="G94" s="150"/>
      <c r="H94" s="150"/>
    </row>
    <row r="95" spans="1:8" x14ac:dyDescent="0.2">
      <c r="A95" s="150"/>
      <c r="B95" s="150"/>
      <c r="C95" s="150"/>
      <c r="D95" s="150"/>
      <c r="E95" s="150"/>
      <c r="F95" s="150"/>
      <c r="G95" s="150"/>
      <c r="H95" s="150"/>
    </row>
    <row r="96" spans="1:8" x14ac:dyDescent="0.2">
      <c r="A96" s="150"/>
      <c r="B96" s="150"/>
      <c r="C96" s="150"/>
      <c r="D96" s="150"/>
      <c r="E96" s="150"/>
      <c r="F96" s="150"/>
      <c r="G96" s="150"/>
      <c r="H96" s="150"/>
    </row>
    <row r="97" spans="1:8" x14ac:dyDescent="0.2">
      <c r="A97" s="150"/>
      <c r="B97" s="150"/>
      <c r="C97" s="150"/>
      <c r="D97" s="150"/>
      <c r="E97" s="150"/>
      <c r="F97" s="150"/>
      <c r="G97" s="150"/>
      <c r="H97" s="150"/>
    </row>
    <row r="98" spans="1:8" x14ac:dyDescent="0.2">
      <c r="A98" s="150"/>
      <c r="B98" s="150"/>
      <c r="C98" s="150"/>
      <c r="D98" s="150"/>
      <c r="E98" s="150"/>
      <c r="F98" s="150"/>
      <c r="G98" s="150"/>
      <c r="H98" s="150"/>
    </row>
    <row r="99" spans="1:8" x14ac:dyDescent="0.2">
      <c r="A99" s="150"/>
      <c r="B99" s="150"/>
      <c r="C99" s="150"/>
      <c r="D99" s="150"/>
      <c r="E99" s="150"/>
      <c r="F99" s="150"/>
      <c r="G99" s="150"/>
      <c r="H99" s="150"/>
    </row>
    <row r="100" spans="1:8" x14ac:dyDescent="0.2">
      <c r="A100" s="150"/>
      <c r="B100" s="150"/>
      <c r="C100" s="150"/>
      <c r="D100" s="150"/>
      <c r="E100" s="150"/>
      <c r="F100" s="150"/>
      <c r="G100" s="150"/>
      <c r="H100" s="150"/>
    </row>
    <row r="101" spans="1:8" x14ac:dyDescent="0.2">
      <c r="A101" s="150"/>
      <c r="B101" s="150"/>
      <c r="C101" s="150"/>
      <c r="D101" s="150"/>
      <c r="E101" s="150"/>
      <c r="F101" s="150"/>
      <c r="G101" s="150"/>
      <c r="H101" s="150"/>
    </row>
    <row r="102" spans="1:8" x14ac:dyDescent="0.2">
      <c r="A102" s="150"/>
      <c r="B102" s="150"/>
      <c r="C102" s="150"/>
      <c r="D102" s="150"/>
      <c r="E102" s="150"/>
      <c r="F102" s="150"/>
      <c r="G102" s="150"/>
      <c r="H102" s="150"/>
    </row>
    <row r="103" spans="1:8" x14ac:dyDescent="0.2">
      <c r="A103" s="150"/>
      <c r="B103" s="150"/>
      <c r="C103" s="150"/>
      <c r="D103" s="150"/>
      <c r="E103" s="150"/>
      <c r="F103" s="150"/>
      <c r="G103" s="150"/>
      <c r="H103" s="150"/>
    </row>
    <row r="104" spans="1:8" x14ac:dyDescent="0.2">
      <c r="A104" s="150"/>
      <c r="B104" s="150"/>
      <c r="C104" s="150"/>
      <c r="D104" s="150"/>
      <c r="E104" s="150"/>
      <c r="F104" s="150"/>
      <c r="G104" s="150"/>
      <c r="H104" s="150"/>
    </row>
    <row r="105" spans="1:8" x14ac:dyDescent="0.2">
      <c r="A105" s="150"/>
      <c r="B105" s="150"/>
      <c r="C105" s="150"/>
      <c r="D105" s="150"/>
      <c r="E105" s="150"/>
      <c r="F105" s="150"/>
      <c r="G105" s="150"/>
      <c r="H105" s="150"/>
    </row>
    <row r="106" spans="1:8" x14ac:dyDescent="0.2">
      <c r="A106" s="150"/>
      <c r="B106" s="150"/>
      <c r="C106" s="150"/>
      <c r="D106" s="150"/>
      <c r="E106" s="150"/>
      <c r="F106" s="150"/>
      <c r="G106" s="150"/>
      <c r="H106" s="150"/>
    </row>
    <row r="107" spans="1:8" x14ac:dyDescent="0.2">
      <c r="A107" s="150"/>
      <c r="B107" s="150"/>
      <c r="C107" s="150"/>
      <c r="D107" s="150"/>
      <c r="E107" s="150"/>
      <c r="F107" s="150"/>
      <c r="G107" s="150"/>
      <c r="H107" s="150"/>
    </row>
    <row r="108" spans="1:8" x14ac:dyDescent="0.2">
      <c r="A108" s="150"/>
      <c r="B108" s="150"/>
      <c r="C108" s="150"/>
      <c r="D108" s="150"/>
      <c r="E108" s="150"/>
      <c r="F108" s="150"/>
      <c r="G108" s="150"/>
      <c r="H108" s="150"/>
    </row>
    <row r="109" spans="1:8" x14ac:dyDescent="0.2">
      <c r="A109" s="150"/>
      <c r="B109" s="150"/>
      <c r="C109" s="150"/>
      <c r="D109" s="150"/>
      <c r="E109" s="150"/>
      <c r="F109" s="150"/>
      <c r="G109" s="150"/>
      <c r="H109" s="150"/>
    </row>
    <row r="110" spans="1:8" x14ac:dyDescent="0.2">
      <c r="A110" s="150"/>
      <c r="B110" s="150"/>
      <c r="C110" s="150"/>
      <c r="D110" s="150"/>
      <c r="E110" s="150"/>
      <c r="F110" s="150"/>
      <c r="G110" s="150"/>
      <c r="H110" s="150"/>
    </row>
    <row r="111" spans="1:8" x14ac:dyDescent="0.2">
      <c r="A111" s="150"/>
      <c r="B111" s="150"/>
      <c r="C111" s="150"/>
      <c r="D111" s="150"/>
      <c r="E111" s="150"/>
      <c r="F111" s="150"/>
      <c r="G111" s="150"/>
      <c r="H111" s="150"/>
    </row>
    <row r="112" spans="1:8" x14ac:dyDescent="0.2">
      <c r="A112" s="150"/>
      <c r="B112" s="150"/>
      <c r="C112" s="150"/>
      <c r="D112" s="150"/>
      <c r="E112" s="150"/>
      <c r="F112" s="150"/>
      <c r="G112" s="150"/>
      <c r="H112" s="150"/>
    </row>
    <row r="113" spans="1:8" x14ac:dyDescent="0.2">
      <c r="A113" s="150"/>
      <c r="B113" s="150"/>
      <c r="C113" s="150"/>
      <c r="D113" s="150"/>
      <c r="E113" s="150"/>
      <c r="F113" s="150"/>
      <c r="G113" s="150"/>
      <c r="H113" s="150"/>
    </row>
    <row r="114" spans="1:8" x14ac:dyDescent="0.2">
      <c r="A114" s="150"/>
      <c r="B114" s="150"/>
      <c r="C114" s="150"/>
      <c r="D114" s="150"/>
      <c r="E114" s="150"/>
      <c r="F114" s="150"/>
      <c r="G114" s="150"/>
      <c r="H114" s="150"/>
    </row>
    <row r="115" spans="1:8" x14ac:dyDescent="0.2">
      <c r="A115" s="150"/>
      <c r="B115" s="150"/>
      <c r="C115" s="150"/>
      <c r="D115" s="150"/>
      <c r="E115" s="150"/>
      <c r="F115" s="150"/>
      <c r="G115" s="150"/>
      <c r="H115" s="150"/>
    </row>
    <row r="116" spans="1:8" x14ac:dyDescent="0.2">
      <c r="A116" s="150"/>
      <c r="B116" s="150"/>
      <c r="C116" s="150"/>
      <c r="D116" s="150"/>
      <c r="E116" s="150"/>
      <c r="F116" s="150"/>
      <c r="G116" s="150"/>
      <c r="H116" s="150"/>
    </row>
    <row r="117" spans="1:8" x14ac:dyDescent="0.2">
      <c r="A117" s="150"/>
      <c r="B117" s="150"/>
      <c r="C117" s="150"/>
      <c r="D117" s="150"/>
      <c r="E117" s="150"/>
      <c r="F117" s="150"/>
      <c r="G117" s="150"/>
      <c r="H117" s="150"/>
    </row>
    <row r="118" spans="1:8" x14ac:dyDescent="0.2">
      <c r="A118" s="150"/>
      <c r="B118" s="150"/>
      <c r="C118" s="150"/>
      <c r="D118" s="150"/>
      <c r="E118" s="150"/>
      <c r="F118" s="150"/>
      <c r="G118" s="150"/>
      <c r="H118" s="150"/>
    </row>
    <row r="119" spans="1:8" x14ac:dyDescent="0.2">
      <c r="A119" s="150"/>
      <c r="B119" s="150"/>
      <c r="C119" s="150"/>
      <c r="D119" s="150"/>
      <c r="E119" s="150"/>
      <c r="F119" s="150"/>
      <c r="G119" s="150"/>
      <c r="H119" s="150"/>
    </row>
    <row r="120" spans="1:8" x14ac:dyDescent="0.2">
      <c r="A120" s="150"/>
      <c r="B120" s="150"/>
      <c r="C120" s="150"/>
      <c r="D120" s="150"/>
      <c r="E120" s="150"/>
      <c r="F120" s="150"/>
      <c r="G120" s="150"/>
      <c r="H120" s="150"/>
    </row>
    <row r="121" spans="1:8" x14ac:dyDescent="0.2">
      <c r="A121" s="150"/>
      <c r="B121" s="150"/>
      <c r="C121" s="150"/>
      <c r="D121" s="150"/>
      <c r="E121" s="150"/>
      <c r="F121" s="150"/>
      <c r="G121" s="150"/>
      <c r="H121" s="150"/>
    </row>
    <row r="122" spans="1:8" x14ac:dyDescent="0.2">
      <c r="A122" s="150"/>
      <c r="B122" s="150"/>
      <c r="C122" s="150"/>
      <c r="D122" s="150"/>
      <c r="E122" s="150"/>
      <c r="F122" s="150"/>
      <c r="G122" s="150"/>
      <c r="H122" s="150"/>
    </row>
    <row r="123" spans="1:8" x14ac:dyDescent="0.2">
      <c r="A123" s="150"/>
      <c r="B123" s="150"/>
      <c r="C123" s="150"/>
      <c r="D123" s="150"/>
      <c r="E123" s="150"/>
      <c r="F123" s="150"/>
      <c r="G123" s="150"/>
      <c r="H123" s="150"/>
    </row>
    <row r="124" spans="1:8" x14ac:dyDescent="0.2">
      <c r="A124" s="150"/>
      <c r="B124" s="150"/>
      <c r="C124" s="150"/>
      <c r="D124" s="150"/>
      <c r="E124" s="150"/>
      <c r="F124" s="150"/>
      <c r="G124" s="150"/>
      <c r="H124" s="150"/>
    </row>
    <row r="125" spans="1:8" x14ac:dyDescent="0.2">
      <c r="A125" s="150"/>
      <c r="B125" s="150"/>
      <c r="C125" s="150"/>
      <c r="D125" s="150"/>
      <c r="E125" s="150"/>
      <c r="F125" s="150"/>
      <c r="G125" s="150"/>
      <c r="H125" s="150"/>
    </row>
    <row r="126" spans="1:8" x14ac:dyDescent="0.2">
      <c r="A126" s="150"/>
      <c r="B126" s="150"/>
      <c r="C126" s="150"/>
      <c r="D126" s="150"/>
      <c r="E126" s="150"/>
      <c r="F126" s="150"/>
      <c r="G126" s="150"/>
      <c r="H126" s="150"/>
    </row>
    <row r="127" spans="1:8" x14ac:dyDescent="0.2">
      <c r="A127" s="150"/>
      <c r="B127" s="150"/>
      <c r="C127" s="150"/>
      <c r="D127" s="150"/>
      <c r="E127" s="150"/>
      <c r="F127" s="150"/>
      <c r="G127" s="150"/>
      <c r="H127" s="150"/>
    </row>
    <row r="128" spans="1:8" x14ac:dyDescent="0.2">
      <c r="A128" s="150"/>
      <c r="B128" s="150"/>
      <c r="C128" s="150"/>
      <c r="D128" s="150"/>
      <c r="E128" s="150"/>
      <c r="F128" s="150"/>
      <c r="G128" s="150"/>
      <c r="H128" s="150"/>
    </row>
    <row r="129" spans="1:8" x14ac:dyDescent="0.2">
      <c r="A129" s="150"/>
      <c r="B129" s="150"/>
      <c r="C129" s="150"/>
      <c r="D129" s="150"/>
      <c r="E129" s="150"/>
      <c r="F129" s="150"/>
      <c r="G129" s="150"/>
      <c r="H129" s="150"/>
    </row>
    <row r="130" spans="1:8" x14ac:dyDescent="0.2">
      <c r="A130" s="150"/>
      <c r="B130" s="150"/>
      <c r="C130" s="150"/>
      <c r="D130" s="150"/>
      <c r="E130" s="150"/>
      <c r="F130" s="150"/>
      <c r="G130" s="150"/>
      <c r="H130" s="150"/>
    </row>
    <row r="131" spans="1:8" x14ac:dyDescent="0.2">
      <c r="A131" s="150"/>
      <c r="B131" s="150"/>
      <c r="C131" s="150"/>
      <c r="D131" s="150"/>
      <c r="E131" s="150"/>
      <c r="F131" s="150"/>
      <c r="G131" s="150"/>
      <c r="H131" s="150"/>
    </row>
    <row r="132" spans="1:8" x14ac:dyDescent="0.2">
      <c r="A132" s="150"/>
      <c r="B132" s="150"/>
      <c r="C132" s="150"/>
      <c r="D132" s="150"/>
      <c r="E132" s="150"/>
      <c r="F132" s="150"/>
      <c r="G132" s="150"/>
      <c r="H132" s="150"/>
    </row>
    <row r="133" spans="1:8" x14ac:dyDescent="0.2">
      <c r="A133" s="150"/>
      <c r="B133" s="150"/>
      <c r="C133" s="150"/>
      <c r="D133" s="150"/>
      <c r="E133" s="150"/>
      <c r="F133" s="150"/>
      <c r="G133" s="150"/>
      <c r="H133" s="150"/>
    </row>
    <row r="134" spans="1:8" x14ac:dyDescent="0.2">
      <c r="A134" s="150"/>
      <c r="B134" s="150"/>
      <c r="C134" s="150"/>
      <c r="D134" s="150"/>
      <c r="E134" s="150"/>
      <c r="F134" s="150"/>
      <c r="G134" s="150"/>
      <c r="H134" s="150"/>
    </row>
    <row r="135" spans="1:8" x14ac:dyDescent="0.2">
      <c r="A135" s="150"/>
      <c r="B135" s="150"/>
      <c r="C135" s="150"/>
      <c r="D135" s="150"/>
      <c r="E135" s="150"/>
      <c r="F135" s="150"/>
      <c r="G135" s="150"/>
      <c r="H135" s="150"/>
    </row>
    <row r="136" spans="1:8" x14ac:dyDescent="0.2">
      <c r="A136" s="150"/>
      <c r="B136" s="150"/>
      <c r="C136" s="150"/>
      <c r="D136" s="150"/>
      <c r="E136" s="150"/>
      <c r="F136" s="150"/>
      <c r="G136" s="150"/>
      <c r="H136" s="150"/>
    </row>
    <row r="137" spans="1:8" x14ac:dyDescent="0.2">
      <c r="A137" s="150"/>
      <c r="B137" s="150"/>
      <c r="C137" s="150"/>
      <c r="D137" s="150"/>
      <c r="E137" s="150"/>
      <c r="F137" s="150"/>
      <c r="G137" s="150"/>
      <c r="H137" s="150"/>
    </row>
    <row r="138" spans="1:8" x14ac:dyDescent="0.2">
      <c r="A138" s="150"/>
      <c r="B138" s="150"/>
      <c r="C138" s="150"/>
      <c r="D138" s="150"/>
      <c r="E138" s="150"/>
      <c r="F138" s="150"/>
      <c r="G138" s="150"/>
      <c r="H138" s="150"/>
    </row>
    <row r="139" spans="1:8" x14ac:dyDescent="0.2">
      <c r="A139" s="150"/>
      <c r="B139" s="150"/>
      <c r="C139" s="150"/>
      <c r="D139" s="150"/>
      <c r="E139" s="150"/>
      <c r="F139" s="150"/>
      <c r="G139" s="150"/>
      <c r="H139" s="150"/>
    </row>
    <row r="140" spans="1:8" x14ac:dyDescent="0.2">
      <c r="A140" s="150"/>
      <c r="B140" s="150"/>
      <c r="C140" s="150"/>
      <c r="D140" s="150"/>
      <c r="E140" s="150"/>
      <c r="F140" s="150"/>
      <c r="G140" s="150"/>
      <c r="H140" s="150"/>
    </row>
    <row r="141" spans="1:8" x14ac:dyDescent="0.2">
      <c r="A141" s="150"/>
      <c r="B141" s="150"/>
      <c r="C141" s="150"/>
      <c r="D141" s="150"/>
      <c r="E141" s="150"/>
      <c r="F141" s="150"/>
      <c r="G141" s="150"/>
      <c r="H141" s="150"/>
    </row>
    <row r="142" spans="1:8" x14ac:dyDescent="0.2">
      <c r="A142" s="150"/>
      <c r="B142" s="150"/>
      <c r="C142" s="150"/>
      <c r="D142" s="150"/>
      <c r="E142" s="150"/>
      <c r="F142" s="150"/>
      <c r="G142" s="150"/>
      <c r="H142" s="150"/>
    </row>
    <row r="143" spans="1:8" x14ac:dyDescent="0.2">
      <c r="A143" s="150"/>
      <c r="B143" s="150"/>
      <c r="C143" s="150"/>
      <c r="D143" s="150"/>
      <c r="E143" s="150"/>
      <c r="F143" s="150"/>
      <c r="G143" s="150"/>
      <c r="H143" s="150"/>
    </row>
    <row r="144" spans="1:8" x14ac:dyDescent="0.2">
      <c r="A144" s="150"/>
      <c r="B144" s="150"/>
      <c r="C144" s="150"/>
      <c r="D144" s="150"/>
      <c r="E144" s="150"/>
      <c r="F144" s="150"/>
      <c r="G144" s="150"/>
      <c r="H144" s="150"/>
    </row>
    <row r="145" spans="1:8" x14ac:dyDescent="0.2">
      <c r="A145" s="150"/>
      <c r="B145" s="150"/>
      <c r="C145" s="150"/>
      <c r="D145" s="150"/>
      <c r="E145" s="150"/>
      <c r="F145" s="150"/>
      <c r="G145" s="150"/>
      <c r="H145" s="150"/>
    </row>
    <row r="146" spans="1:8" x14ac:dyDescent="0.2">
      <c r="A146" s="150"/>
      <c r="B146" s="150"/>
      <c r="C146" s="150"/>
      <c r="D146" s="150"/>
      <c r="E146" s="150"/>
      <c r="F146" s="150"/>
      <c r="G146" s="150"/>
      <c r="H146" s="150"/>
    </row>
    <row r="147" spans="1:8" x14ac:dyDescent="0.2">
      <c r="A147" s="150"/>
      <c r="B147" s="150"/>
      <c r="C147" s="150"/>
      <c r="D147" s="150"/>
      <c r="E147" s="150"/>
      <c r="F147" s="150"/>
      <c r="G147" s="150"/>
      <c r="H147" s="150"/>
    </row>
    <row r="148" spans="1:8" x14ac:dyDescent="0.2">
      <c r="A148" s="150"/>
      <c r="B148" s="150"/>
      <c r="C148" s="150"/>
      <c r="D148" s="150"/>
      <c r="E148" s="150"/>
      <c r="F148" s="150"/>
      <c r="G148" s="150"/>
      <c r="H148" s="150"/>
    </row>
    <row r="149" spans="1:8" x14ac:dyDescent="0.2">
      <c r="A149" s="150"/>
      <c r="B149" s="150"/>
      <c r="C149" s="150"/>
      <c r="D149" s="150"/>
      <c r="E149" s="150"/>
      <c r="F149" s="150"/>
      <c r="G149" s="150"/>
      <c r="H149" s="150"/>
    </row>
    <row r="150" spans="1:8" x14ac:dyDescent="0.2">
      <c r="A150" s="150"/>
      <c r="B150" s="150"/>
      <c r="C150" s="150"/>
      <c r="D150" s="150"/>
      <c r="E150" s="150"/>
      <c r="F150" s="150"/>
      <c r="G150" s="150"/>
      <c r="H150" s="150"/>
    </row>
    <row r="151" spans="1:8" x14ac:dyDescent="0.2">
      <c r="A151" s="150"/>
      <c r="B151" s="150"/>
      <c r="C151" s="150"/>
      <c r="D151" s="150"/>
      <c r="E151" s="150"/>
      <c r="F151" s="150"/>
      <c r="G151" s="150"/>
      <c r="H151" s="150"/>
    </row>
    <row r="152" spans="1:8" x14ac:dyDescent="0.2">
      <c r="A152" s="150"/>
      <c r="B152" s="150"/>
      <c r="C152" s="150"/>
      <c r="D152" s="150"/>
      <c r="E152" s="150"/>
      <c r="F152" s="150"/>
      <c r="G152" s="150"/>
      <c r="H152" s="150"/>
    </row>
    <row r="153" spans="1:8" x14ac:dyDescent="0.2">
      <c r="A153" s="150"/>
      <c r="B153" s="150"/>
      <c r="C153" s="150"/>
      <c r="D153" s="150"/>
      <c r="E153" s="150"/>
      <c r="F153" s="150"/>
      <c r="G153" s="150"/>
      <c r="H153" s="150"/>
    </row>
    <row r="154" spans="1:8" x14ac:dyDescent="0.2">
      <c r="A154" s="150"/>
      <c r="B154" s="150"/>
      <c r="C154" s="150"/>
      <c r="D154" s="150"/>
      <c r="E154" s="150"/>
      <c r="F154" s="150"/>
      <c r="G154" s="150"/>
      <c r="H154" s="150"/>
    </row>
    <row r="155" spans="1:8" x14ac:dyDescent="0.2">
      <c r="A155" s="150"/>
      <c r="B155" s="150"/>
      <c r="C155" s="150"/>
      <c r="D155" s="150"/>
      <c r="E155" s="150"/>
      <c r="F155" s="150"/>
      <c r="G155" s="150"/>
      <c r="H155" s="150"/>
    </row>
    <row r="156" spans="1:8" x14ac:dyDescent="0.2">
      <c r="A156" s="150"/>
      <c r="B156" s="150"/>
      <c r="C156" s="150"/>
      <c r="D156" s="150"/>
      <c r="E156" s="150"/>
      <c r="F156" s="150"/>
      <c r="G156" s="150"/>
      <c r="H156" s="150"/>
    </row>
    <row r="157" spans="1:8" x14ac:dyDescent="0.2">
      <c r="A157" s="150"/>
      <c r="B157" s="150"/>
      <c r="C157" s="150"/>
      <c r="D157" s="150"/>
      <c r="E157" s="150"/>
      <c r="F157" s="150"/>
      <c r="G157" s="150"/>
      <c r="H157" s="150"/>
    </row>
    <row r="158" spans="1:8" x14ac:dyDescent="0.2">
      <c r="A158" s="150"/>
      <c r="B158" s="150"/>
      <c r="C158" s="150"/>
      <c r="D158" s="150"/>
      <c r="E158" s="150"/>
      <c r="F158" s="150"/>
      <c r="G158" s="150"/>
      <c r="H158" s="150"/>
    </row>
    <row r="159" spans="1:8" x14ac:dyDescent="0.2">
      <c r="A159" s="150"/>
      <c r="B159" s="150"/>
      <c r="C159" s="150"/>
      <c r="D159" s="150"/>
      <c r="E159" s="150"/>
      <c r="F159" s="150"/>
      <c r="G159" s="150"/>
      <c r="H159" s="150"/>
    </row>
    <row r="160" spans="1:8" x14ac:dyDescent="0.2">
      <c r="A160" s="150"/>
      <c r="B160" s="150"/>
      <c r="C160" s="150"/>
      <c r="D160" s="150"/>
      <c r="E160" s="150"/>
      <c r="F160" s="150"/>
      <c r="G160" s="150"/>
      <c r="H160" s="150"/>
    </row>
    <row r="161" spans="1:8" x14ac:dyDescent="0.2">
      <c r="A161" s="150"/>
      <c r="B161" s="150"/>
      <c r="C161" s="150"/>
      <c r="D161" s="150"/>
      <c r="E161" s="150"/>
      <c r="F161" s="150"/>
      <c r="G161" s="150"/>
      <c r="H161" s="150"/>
    </row>
    <row r="162" spans="1:8" x14ac:dyDescent="0.2">
      <c r="A162" s="150"/>
      <c r="B162" s="150"/>
      <c r="C162" s="150"/>
      <c r="D162" s="150"/>
      <c r="E162" s="150"/>
      <c r="F162" s="150"/>
      <c r="G162" s="150"/>
      <c r="H162" s="150"/>
    </row>
    <row r="163" spans="1:8" x14ac:dyDescent="0.2">
      <c r="A163" s="150"/>
      <c r="B163" s="150"/>
      <c r="C163" s="150"/>
      <c r="D163" s="150"/>
      <c r="E163" s="150"/>
      <c r="F163" s="150"/>
      <c r="G163" s="150"/>
      <c r="H163" s="150"/>
    </row>
    <row r="164" spans="1:8" x14ac:dyDescent="0.2">
      <c r="A164" s="150"/>
      <c r="B164" s="150"/>
      <c r="C164" s="150"/>
      <c r="D164" s="150"/>
      <c r="E164" s="150"/>
      <c r="F164" s="150"/>
      <c r="G164" s="150"/>
      <c r="H164" s="150"/>
    </row>
    <row r="165" spans="1:8" x14ac:dyDescent="0.2">
      <c r="A165" s="150"/>
      <c r="B165" s="150"/>
      <c r="C165" s="150"/>
      <c r="D165" s="150"/>
      <c r="E165" s="150"/>
      <c r="F165" s="150"/>
      <c r="G165" s="150"/>
      <c r="H165" s="150"/>
    </row>
    <row r="166" spans="1:8" x14ac:dyDescent="0.2">
      <c r="A166" s="150"/>
      <c r="B166" s="150"/>
      <c r="C166" s="150"/>
      <c r="D166" s="150"/>
      <c r="E166" s="150"/>
      <c r="F166" s="150"/>
      <c r="G166" s="150"/>
      <c r="H166" s="150"/>
    </row>
    <row r="167" spans="1:8" x14ac:dyDescent="0.2">
      <c r="A167" s="150"/>
      <c r="B167" s="150"/>
      <c r="C167" s="150"/>
      <c r="D167" s="150"/>
      <c r="E167" s="150"/>
      <c r="F167" s="150"/>
      <c r="G167" s="150"/>
      <c r="H167" s="150"/>
    </row>
    <row r="168" spans="1:8" x14ac:dyDescent="0.2">
      <c r="A168" s="150"/>
      <c r="B168" s="150"/>
      <c r="C168" s="150"/>
      <c r="D168" s="150"/>
      <c r="E168" s="150"/>
      <c r="F168" s="150"/>
      <c r="G168" s="150"/>
      <c r="H168" s="150"/>
    </row>
    <row r="169" spans="1:8" x14ac:dyDescent="0.2">
      <c r="A169" s="150"/>
      <c r="B169" s="150"/>
      <c r="C169" s="150"/>
      <c r="D169" s="150"/>
      <c r="E169" s="150"/>
      <c r="F169" s="150"/>
      <c r="G169" s="150"/>
      <c r="H169" s="150"/>
    </row>
    <row r="170" spans="1:8" x14ac:dyDescent="0.2">
      <c r="A170" s="150"/>
      <c r="B170" s="150"/>
      <c r="C170" s="150"/>
      <c r="D170" s="150"/>
      <c r="E170" s="150"/>
      <c r="F170" s="150"/>
      <c r="G170" s="150"/>
      <c r="H170" s="150"/>
    </row>
    <row r="171" spans="1:8" x14ac:dyDescent="0.2">
      <c r="A171" s="150"/>
      <c r="B171" s="150"/>
      <c r="C171" s="150"/>
      <c r="D171" s="150"/>
      <c r="E171" s="150"/>
      <c r="F171" s="150"/>
      <c r="G171" s="150"/>
      <c r="H171" s="150"/>
    </row>
    <row r="172" spans="1:8" x14ac:dyDescent="0.2">
      <c r="A172" s="150"/>
      <c r="B172" s="150"/>
      <c r="C172" s="150"/>
      <c r="D172" s="150"/>
      <c r="E172" s="150"/>
      <c r="F172" s="150"/>
      <c r="G172" s="150"/>
      <c r="H172" s="150"/>
    </row>
    <row r="173" spans="1:8" x14ac:dyDescent="0.2">
      <c r="A173" s="150"/>
      <c r="B173" s="150"/>
      <c r="C173" s="150"/>
      <c r="D173" s="150"/>
      <c r="E173" s="150"/>
      <c r="F173" s="150"/>
      <c r="G173" s="150"/>
      <c r="H173" s="150"/>
    </row>
    <row r="174" spans="1:8" x14ac:dyDescent="0.2">
      <c r="A174" s="150"/>
      <c r="B174" s="150"/>
      <c r="C174" s="150"/>
      <c r="D174" s="150"/>
      <c r="E174" s="150"/>
      <c r="F174" s="150"/>
      <c r="G174" s="150"/>
      <c r="H174" s="150"/>
    </row>
    <row r="175" spans="1:8" x14ac:dyDescent="0.2">
      <c r="A175" s="150"/>
      <c r="B175" s="150"/>
      <c r="C175" s="150"/>
      <c r="D175" s="150"/>
      <c r="E175" s="150"/>
      <c r="F175" s="150"/>
      <c r="G175" s="150"/>
      <c r="H175" s="150"/>
    </row>
    <row r="176" spans="1:8" x14ac:dyDescent="0.2">
      <c r="A176" s="150"/>
      <c r="B176" s="150"/>
      <c r="C176" s="150"/>
      <c r="D176" s="150"/>
      <c r="E176" s="150"/>
      <c r="F176" s="150"/>
      <c r="G176" s="150"/>
      <c r="H176" s="150"/>
    </row>
    <row r="177" spans="1:10" x14ac:dyDescent="0.2">
      <c r="A177" s="150"/>
      <c r="B177" s="150"/>
      <c r="C177" s="150"/>
      <c r="D177" s="150"/>
      <c r="E177" s="150"/>
      <c r="F177" s="150"/>
      <c r="G177" s="150"/>
      <c r="H177" s="150"/>
    </row>
    <row r="178" spans="1:10" x14ac:dyDescent="0.2">
      <c r="A178" s="150"/>
      <c r="B178" s="150"/>
      <c r="C178" s="150"/>
      <c r="D178" s="150"/>
      <c r="E178" s="150"/>
      <c r="F178" s="150"/>
      <c r="G178" s="150"/>
      <c r="H178" s="150"/>
    </row>
    <row r="179" spans="1:10" x14ac:dyDescent="0.2">
      <c r="A179" s="150"/>
      <c r="B179" s="150"/>
      <c r="C179" s="150"/>
      <c r="D179" s="150"/>
      <c r="E179" s="150"/>
      <c r="F179" s="150"/>
      <c r="G179" s="150"/>
      <c r="H179" s="150"/>
    </row>
    <row r="180" spans="1:10" x14ac:dyDescent="0.2">
      <c r="A180" s="150"/>
      <c r="B180" s="150"/>
      <c r="C180" s="150"/>
      <c r="D180" s="150"/>
      <c r="E180" s="150"/>
      <c r="F180" s="150"/>
      <c r="G180" s="150"/>
      <c r="H180" s="150"/>
    </row>
    <row r="181" spans="1:10" x14ac:dyDescent="0.2">
      <c r="A181" s="150"/>
      <c r="B181" s="150"/>
      <c r="C181" s="150"/>
      <c r="D181" s="150"/>
      <c r="E181" s="150"/>
      <c r="F181" s="150"/>
      <c r="G181" s="150"/>
      <c r="H181" s="150"/>
    </row>
    <row r="182" spans="1:10" x14ac:dyDescent="0.2">
      <c r="A182" s="150"/>
      <c r="B182" s="150"/>
      <c r="C182" s="150"/>
      <c r="D182" s="150"/>
      <c r="E182" s="150"/>
      <c r="F182" s="150"/>
      <c r="G182" s="150"/>
      <c r="H182" s="150"/>
    </row>
    <row r="183" spans="1:10" x14ac:dyDescent="0.2">
      <c r="A183" s="150"/>
      <c r="B183" s="150"/>
      <c r="C183" s="150"/>
      <c r="D183" s="150"/>
      <c r="E183" s="150"/>
      <c r="F183" s="150"/>
      <c r="G183" s="150"/>
      <c r="H183" s="150"/>
    </row>
    <row r="184" spans="1:10" x14ac:dyDescent="0.2">
      <c r="A184" s="150"/>
      <c r="B184" s="150"/>
      <c r="C184" s="150"/>
      <c r="D184" s="150"/>
      <c r="E184" s="150"/>
      <c r="F184" s="150"/>
      <c r="G184" s="150"/>
      <c r="H184" s="150"/>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15.83203125" style="156"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43"/>
      <c r="G1" s="143"/>
      <c r="H1" s="95"/>
    </row>
    <row r="2" spans="1:11" s="90" customFormat="1" ht="32.1" customHeight="1" x14ac:dyDescent="0.2">
      <c r="A2" s="3" t="s">
        <v>227</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32" t="s">
        <v>377</v>
      </c>
      <c r="B3" s="132" t="s">
        <v>225</v>
      </c>
      <c r="C3" s="132" t="s">
        <v>106</v>
      </c>
      <c r="D3" s="132" t="s">
        <v>105</v>
      </c>
      <c r="E3" s="132" t="s">
        <v>226</v>
      </c>
      <c r="F3"/>
      <c r="G3"/>
      <c r="H3"/>
      <c r="I3"/>
      <c r="J3"/>
      <c r="K3"/>
    </row>
    <row r="4" spans="1:11" x14ac:dyDescent="0.2">
      <c r="A4" s="45">
        <v>1</v>
      </c>
      <c r="B4" s="45" t="s">
        <v>24</v>
      </c>
      <c r="C4" s="45">
        <v>22</v>
      </c>
      <c r="D4" s="45">
        <v>38</v>
      </c>
      <c r="E4" s="45">
        <v>1403</v>
      </c>
    </row>
    <row r="5" spans="1:11" x14ac:dyDescent="0.2">
      <c r="A5" s="45">
        <v>2</v>
      </c>
      <c r="B5" s="45" t="s">
        <v>24</v>
      </c>
      <c r="C5" s="45">
        <v>22</v>
      </c>
      <c r="D5" s="45">
        <v>38</v>
      </c>
      <c r="E5" s="45">
        <v>959</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topLeftCell="AA1" zoomScaleNormal="100" workbookViewId="0">
      <pane ySplit="3" topLeftCell="A4" activePane="bottomLeft" state="frozen"/>
      <selection pane="bottomLeft" activeCell="AH11" sqref="AH11"/>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143"/>
      <c r="G1" s="143"/>
      <c r="H1" s="95"/>
    </row>
    <row r="2" spans="1:40" ht="32.1" customHeight="1" x14ac:dyDescent="0.2">
      <c r="A2" s="3" t="s">
        <v>374</v>
      </c>
      <c r="C2" s="147" t="str">
        <f xml:space="preserve"> "RQ: " &amp; QuoteNumberRQ &amp; ", P/O: " &amp; PurchaseOrderNoRW &amp; ", Contract: " &amp; Contract &amp; ", Site: " &amp; Site &amp; ", Customer O/N: " &amp; CustomerOrderNumber</f>
        <v>RQ: 67577472, P/O: AB/2304, Contract: Mr Blogs, Site: Gooch and Housego Ltd, Customer O/N: contract 23</v>
      </c>
      <c r="D2" s="3"/>
      <c r="E2" s="19"/>
      <c r="F2" s="144"/>
      <c r="G2" s="144"/>
    </row>
    <row r="3" spans="1:40" s="96" customFormat="1" ht="30" customHeight="1" x14ac:dyDescent="0.2">
      <c r="A3" s="127" t="s">
        <v>377</v>
      </c>
      <c r="B3" s="127" t="s">
        <v>70</v>
      </c>
      <c r="C3" s="127" t="s">
        <v>74</v>
      </c>
      <c r="D3" s="127" t="s">
        <v>130</v>
      </c>
      <c r="E3" s="127" t="s">
        <v>318</v>
      </c>
      <c r="F3" s="127" t="s">
        <v>319</v>
      </c>
      <c r="G3" s="127" t="s">
        <v>322</v>
      </c>
      <c r="H3" s="127" t="s">
        <v>320</v>
      </c>
      <c r="I3" s="127" t="s">
        <v>341</v>
      </c>
      <c r="J3" s="127" t="s">
        <v>345</v>
      </c>
      <c r="K3" s="127" t="s">
        <v>126</v>
      </c>
      <c r="L3" s="127" t="s">
        <v>131</v>
      </c>
      <c r="M3" s="127" t="s">
        <v>125</v>
      </c>
      <c r="N3" s="127" t="s">
        <v>340</v>
      </c>
      <c r="O3" s="127" t="s">
        <v>321</v>
      </c>
      <c r="P3" s="127" t="s">
        <v>342</v>
      </c>
      <c r="Q3" s="127" t="s">
        <v>346</v>
      </c>
      <c r="R3" s="127" t="s">
        <v>71</v>
      </c>
      <c r="S3" s="127" t="s">
        <v>323</v>
      </c>
      <c r="T3" s="127" t="s">
        <v>324</v>
      </c>
      <c r="U3" s="127" t="s">
        <v>325</v>
      </c>
      <c r="V3" s="127" t="s">
        <v>84</v>
      </c>
      <c r="W3" s="127" t="s">
        <v>81</v>
      </c>
      <c r="X3" s="127" t="s">
        <v>326</v>
      </c>
      <c r="Y3" s="127" t="s">
        <v>327</v>
      </c>
      <c r="Z3" s="127" t="s">
        <v>328</v>
      </c>
      <c r="AA3" s="127" t="s">
        <v>16</v>
      </c>
      <c r="AB3" s="127" t="s">
        <v>329</v>
      </c>
      <c r="AC3" s="127" t="s">
        <v>82</v>
      </c>
      <c r="AD3" s="127" t="s">
        <v>330</v>
      </c>
      <c r="AE3" s="127" t="s">
        <v>83</v>
      </c>
      <c r="AF3" s="127" t="s">
        <v>331</v>
      </c>
      <c r="AG3" s="127" t="s">
        <v>332</v>
      </c>
      <c r="AH3" s="127" t="s">
        <v>77</v>
      </c>
      <c r="AI3" s="127" t="s">
        <v>78</v>
      </c>
      <c r="AJ3" s="127" t="s">
        <v>333</v>
      </c>
      <c r="AK3" s="127" t="s">
        <v>392</v>
      </c>
      <c r="AL3" s="127" t="s">
        <v>259</v>
      </c>
      <c r="AM3" s="127" t="s">
        <v>353</v>
      </c>
      <c r="AN3" s="127" t="s">
        <v>334</v>
      </c>
    </row>
    <row r="4" spans="1:40" x14ac:dyDescent="0.2">
      <c r="A4">
        <v>1</v>
      </c>
      <c r="B4" t="s">
        <v>69</v>
      </c>
      <c r="C4" t="s">
        <v>28</v>
      </c>
      <c r="D4" t="s">
        <v>91</v>
      </c>
      <c r="E4">
        <v>100</v>
      </c>
      <c r="F4">
        <v>50</v>
      </c>
      <c r="G4">
        <v>4429</v>
      </c>
      <c r="H4" s="126">
        <v>2.3252249999999999E-2</v>
      </c>
      <c r="I4" s="128">
        <v>1800</v>
      </c>
      <c r="J4" s="128">
        <v>41.854050000000001</v>
      </c>
      <c r="K4" t="s">
        <v>31</v>
      </c>
      <c r="L4">
        <v>26</v>
      </c>
      <c r="M4">
        <v>55</v>
      </c>
      <c r="N4">
        <v>4287</v>
      </c>
      <c r="O4" s="126">
        <v>6.4369305000000002E-3</v>
      </c>
      <c r="P4" s="128">
        <v>1200</v>
      </c>
      <c r="Q4" s="128">
        <v>7.7243165999999999</v>
      </c>
      <c r="R4" t="s">
        <v>65</v>
      </c>
      <c r="S4" s="128">
        <v>7</v>
      </c>
      <c r="T4" s="139">
        <v>91.37</v>
      </c>
      <c r="U4">
        <v>55</v>
      </c>
      <c r="V4" t="s">
        <v>79</v>
      </c>
      <c r="W4">
        <v>3</v>
      </c>
      <c r="X4" s="128">
        <v>4.8000000000000007</v>
      </c>
      <c r="Y4">
        <v>0</v>
      </c>
      <c r="Z4" s="128">
        <v>0</v>
      </c>
      <c r="AA4" t="s">
        <v>29</v>
      </c>
      <c r="AB4">
        <v>1.6</v>
      </c>
      <c r="AC4">
        <v>1</v>
      </c>
      <c r="AD4">
        <v>5.99</v>
      </c>
      <c r="AE4">
        <v>2</v>
      </c>
      <c r="AF4" s="128">
        <v>2</v>
      </c>
      <c r="AG4" s="145">
        <v>160.76</v>
      </c>
      <c r="AH4" t="s">
        <v>25</v>
      </c>
      <c r="AI4">
        <v>2</v>
      </c>
      <c r="AJ4">
        <v>50</v>
      </c>
      <c r="AK4">
        <v>45</v>
      </c>
      <c r="AL4" s="145">
        <v>255.76</v>
      </c>
      <c r="AM4" s="128">
        <v>255.75749999999999</v>
      </c>
    </row>
    <row r="5" spans="1:40" x14ac:dyDescent="0.2">
      <c r="A5">
        <v>1</v>
      </c>
      <c r="B5" t="s">
        <v>69</v>
      </c>
      <c r="C5" t="s">
        <v>28</v>
      </c>
      <c r="D5" t="s">
        <v>91</v>
      </c>
      <c r="E5">
        <v>100</v>
      </c>
      <c r="F5">
        <v>38</v>
      </c>
      <c r="G5">
        <v>4585</v>
      </c>
      <c r="H5" s="126">
        <v>1.8294149999999999E-2</v>
      </c>
      <c r="I5" s="128">
        <v>1800</v>
      </c>
      <c r="J5" s="128">
        <v>32.929469999999995</v>
      </c>
      <c r="K5" t="s">
        <v>31</v>
      </c>
      <c r="L5">
        <v>26</v>
      </c>
      <c r="M5">
        <v>57</v>
      </c>
      <c r="N5">
        <v>4463</v>
      </c>
      <c r="O5" s="126">
        <v>6.9448743000000007E-3</v>
      </c>
      <c r="P5" s="128">
        <v>1200</v>
      </c>
      <c r="Q5" s="128">
        <v>8.3338491600000015</v>
      </c>
      <c r="R5" t="s">
        <v>67</v>
      </c>
      <c r="S5" s="128">
        <v>0</v>
      </c>
      <c r="T5" s="139">
        <v>71.900000000000006</v>
      </c>
      <c r="U5">
        <v>55</v>
      </c>
      <c r="V5" t="s">
        <v>79</v>
      </c>
      <c r="W5">
        <v>3</v>
      </c>
      <c r="X5" s="128">
        <v>4.8000000000000007</v>
      </c>
      <c r="Y5">
        <v>0</v>
      </c>
      <c r="Z5" s="128">
        <v>0</v>
      </c>
      <c r="AA5" t="s">
        <v>29</v>
      </c>
      <c r="AB5">
        <v>1.6</v>
      </c>
      <c r="AC5">
        <v>1</v>
      </c>
      <c r="AD5">
        <v>5.99</v>
      </c>
      <c r="AE5">
        <v>2</v>
      </c>
      <c r="AF5" s="128">
        <v>2</v>
      </c>
      <c r="AG5" s="145">
        <v>141.29</v>
      </c>
      <c r="AH5" t="s">
        <v>25</v>
      </c>
      <c r="AI5">
        <v>2</v>
      </c>
      <c r="AJ5">
        <v>50</v>
      </c>
      <c r="AK5">
        <v>455</v>
      </c>
      <c r="AL5" s="145">
        <v>646.29</v>
      </c>
      <c r="AM5" s="128">
        <v>646.28499999999997</v>
      </c>
    </row>
    <row r="6" spans="1:40" x14ac:dyDescent="0.2">
      <c r="A6">
        <v>1</v>
      </c>
      <c r="B6" t="s">
        <v>69</v>
      </c>
      <c r="C6" t="s">
        <v>28</v>
      </c>
      <c r="D6" t="s">
        <v>91</v>
      </c>
      <c r="E6">
        <v>100</v>
      </c>
      <c r="F6">
        <v>50</v>
      </c>
      <c r="G6">
        <v>4585</v>
      </c>
      <c r="H6" s="126">
        <v>2.4071249999999999E-2</v>
      </c>
      <c r="I6" s="128">
        <v>1800</v>
      </c>
      <c r="J6" s="128">
        <v>43.328249999999997</v>
      </c>
      <c r="K6" t="s">
        <v>31</v>
      </c>
      <c r="L6">
        <v>26</v>
      </c>
      <c r="M6">
        <v>57</v>
      </c>
      <c r="N6">
        <v>4453</v>
      </c>
      <c r="O6" s="126">
        <v>6.9293133000000008E-3</v>
      </c>
      <c r="P6" s="128">
        <v>1200</v>
      </c>
      <c r="Q6" s="128">
        <v>8.3151759600000013</v>
      </c>
      <c r="R6" t="s">
        <v>67</v>
      </c>
      <c r="S6" s="128">
        <v>0</v>
      </c>
      <c r="T6" s="139">
        <v>87.47</v>
      </c>
      <c r="U6">
        <v>55</v>
      </c>
      <c r="V6" t="s">
        <v>79</v>
      </c>
      <c r="W6">
        <v>3</v>
      </c>
      <c r="X6" s="128">
        <v>4.8000000000000007</v>
      </c>
      <c r="Y6">
        <v>0</v>
      </c>
      <c r="Z6" s="128">
        <v>0</v>
      </c>
      <c r="AA6" t="s">
        <v>29</v>
      </c>
      <c r="AB6">
        <v>1.6</v>
      </c>
      <c r="AC6">
        <v>1</v>
      </c>
      <c r="AD6">
        <v>5.99</v>
      </c>
      <c r="AE6">
        <v>2</v>
      </c>
      <c r="AF6" s="128">
        <v>2</v>
      </c>
      <c r="AG6" s="145">
        <v>156.86000000000001</v>
      </c>
      <c r="AH6" t="s">
        <v>25</v>
      </c>
      <c r="AI6">
        <v>2</v>
      </c>
      <c r="AJ6">
        <v>50</v>
      </c>
      <c r="AL6" s="145">
        <v>206.86</v>
      </c>
      <c r="AM6" s="128">
        <v>206.85509999999999</v>
      </c>
    </row>
    <row r="7" spans="1:40" x14ac:dyDescent="0.2">
      <c r="A7"/>
      <c r="C7"/>
      <c r="D7"/>
      <c r="E7"/>
      <c r="H7" s="126"/>
      <c r="I7" s="128"/>
      <c r="J7" s="128"/>
      <c r="O7" s="126"/>
      <c r="P7" s="128"/>
      <c r="Q7" s="128"/>
      <c r="S7" s="128"/>
      <c r="T7" s="139"/>
      <c r="X7" s="128"/>
      <c r="Z7" s="128"/>
      <c r="AF7" s="128"/>
      <c r="AG7" s="145"/>
      <c r="AL7" s="145"/>
      <c r="AM7" s="128"/>
    </row>
    <row r="8" spans="1:40" x14ac:dyDescent="0.2">
      <c r="A8"/>
      <c r="C8"/>
      <c r="D8"/>
      <c r="E8"/>
      <c r="H8" s="126"/>
      <c r="I8" s="128"/>
      <c r="J8" s="128"/>
      <c r="O8" s="126"/>
      <c r="P8" s="128"/>
      <c r="Q8" s="128"/>
      <c r="S8" s="128"/>
      <c r="T8" s="139"/>
      <c r="X8" s="128"/>
      <c r="Z8" s="128"/>
      <c r="AF8" s="128"/>
      <c r="AG8" s="145"/>
      <c r="AL8" s="145"/>
      <c r="AM8" s="128"/>
    </row>
    <row r="9" spans="1:40" x14ac:dyDescent="0.2">
      <c r="A9"/>
      <c r="C9"/>
      <c r="D9"/>
      <c r="E9"/>
      <c r="H9" s="126"/>
      <c r="I9" s="128"/>
      <c r="J9" s="128"/>
      <c r="O9" s="126"/>
      <c r="P9" s="128"/>
      <c r="Q9" s="128"/>
      <c r="S9" s="128"/>
      <c r="T9" s="139"/>
      <c r="X9" s="128"/>
      <c r="Z9" s="128"/>
      <c r="AF9" s="128"/>
      <c r="AG9" s="145"/>
      <c r="AL9" s="145"/>
      <c r="AM9" s="128"/>
    </row>
    <row r="10" spans="1:40" x14ac:dyDescent="0.2">
      <c r="A10"/>
      <c r="C10"/>
      <c r="D10"/>
      <c r="E10"/>
      <c r="H10" s="126"/>
      <c r="I10" s="128"/>
      <c r="J10" s="128"/>
      <c r="O10" s="126"/>
      <c r="P10" s="128"/>
      <c r="Q10" s="128"/>
      <c r="S10" s="128"/>
      <c r="T10" s="139"/>
      <c r="X10" s="128"/>
      <c r="Z10" s="128"/>
      <c r="AF10" s="128"/>
      <c r="AG10" s="145"/>
      <c r="AL10" s="145"/>
      <c r="AM10" s="128"/>
    </row>
    <row r="11" spans="1:40" x14ac:dyDescent="0.2">
      <c r="A11"/>
      <c r="C11"/>
      <c r="D11"/>
      <c r="E11"/>
      <c r="H11" s="126"/>
      <c r="I11" s="128"/>
      <c r="J11" s="128"/>
      <c r="O11" s="126"/>
      <c r="P11" s="128"/>
      <c r="Q11" s="128"/>
      <c r="S11" s="128"/>
      <c r="T11" s="139"/>
      <c r="X11" s="128"/>
      <c r="Z11" s="128"/>
      <c r="AF11" s="128"/>
      <c r="AG11" s="159"/>
      <c r="AL11" s="159"/>
      <c r="AM11" s="128"/>
    </row>
    <row r="12" spans="1:40" x14ac:dyDescent="0.2">
      <c r="A12"/>
      <c r="C12"/>
      <c r="D12"/>
      <c r="E12"/>
      <c r="H12" s="126"/>
      <c r="I12" s="128"/>
      <c r="J12" s="128"/>
      <c r="O12" s="126"/>
      <c r="P12" s="128"/>
      <c r="Q12" s="128"/>
      <c r="S12" s="128"/>
      <c r="T12" s="159"/>
      <c r="X12" s="128"/>
      <c r="Z12" s="128"/>
      <c r="AF12" s="128"/>
      <c r="AG12" s="159"/>
      <c r="AL12" s="159"/>
      <c r="AM12" s="128"/>
    </row>
    <row r="13" spans="1:40" x14ac:dyDescent="0.2">
      <c r="A13"/>
      <c r="C13"/>
      <c r="D13"/>
      <c r="E13"/>
      <c r="H13" s="126"/>
      <c r="I13" s="128"/>
      <c r="J13" s="128"/>
      <c r="O13" s="126"/>
      <c r="P13" s="128"/>
      <c r="Q13" s="128"/>
      <c r="S13" s="128"/>
      <c r="X13" s="128"/>
      <c r="Z13" s="128"/>
      <c r="AF13" s="128"/>
      <c r="AM13" s="128"/>
    </row>
    <row r="14" spans="1:40" x14ac:dyDescent="0.2">
      <c r="A14"/>
      <c r="C14"/>
      <c r="D14"/>
      <c r="E14"/>
      <c r="H14" s="126"/>
      <c r="I14" s="128"/>
      <c r="J14" s="128"/>
      <c r="O14" s="126"/>
      <c r="P14" s="128"/>
      <c r="Q14" s="128"/>
      <c r="S14" s="128"/>
      <c r="X14" s="128"/>
      <c r="Z14" s="128"/>
      <c r="AF14" s="128"/>
      <c r="AM14" s="128"/>
    </row>
    <row r="15" spans="1:40" x14ac:dyDescent="0.2">
      <c r="A15"/>
      <c r="C15"/>
      <c r="D15"/>
      <c r="E15"/>
      <c r="H15" s="126"/>
      <c r="I15" s="128"/>
      <c r="J15" s="128"/>
      <c r="O15" s="126"/>
      <c r="P15" s="128"/>
      <c r="Q15" s="128"/>
      <c r="S15" s="128"/>
      <c r="X15" s="128"/>
      <c r="Z15" s="128"/>
      <c r="AF15" s="128"/>
      <c r="AM15" s="128"/>
    </row>
    <row r="16" spans="1:40" x14ac:dyDescent="0.2">
      <c r="A16"/>
      <c r="C16"/>
      <c r="D16"/>
      <c r="E16"/>
      <c r="H16" s="126"/>
      <c r="I16" s="128"/>
      <c r="J16" s="128"/>
      <c r="O16" s="126"/>
      <c r="P16" s="128"/>
      <c r="Q16" s="128"/>
      <c r="S16" s="128"/>
      <c r="X16" s="128"/>
      <c r="Z16" s="128"/>
      <c r="AF16" s="128"/>
      <c r="AM16" s="128"/>
    </row>
    <row r="17" spans="1:39" x14ac:dyDescent="0.2">
      <c r="A17"/>
      <c r="C17"/>
      <c r="D17"/>
      <c r="E17"/>
      <c r="H17" s="126"/>
      <c r="I17" s="128"/>
      <c r="J17" s="128"/>
      <c r="O17" s="126"/>
      <c r="P17" s="128"/>
      <c r="Q17" s="128"/>
      <c r="S17" s="128"/>
      <c r="X17" s="128"/>
      <c r="Z17" s="128"/>
      <c r="AF17" s="128"/>
      <c r="AM17" s="128"/>
    </row>
    <row r="18" spans="1:39" x14ac:dyDescent="0.2">
      <c r="A18"/>
      <c r="C18"/>
      <c r="D18"/>
      <c r="E18"/>
      <c r="H18" s="126"/>
      <c r="I18" s="128"/>
      <c r="J18" s="128"/>
      <c r="O18" s="126"/>
      <c r="P18" s="128"/>
      <c r="Q18" s="128"/>
      <c r="S18" s="128"/>
      <c r="X18" s="128"/>
      <c r="Z18" s="128"/>
      <c r="AF18" s="128"/>
      <c r="AM18" s="128"/>
    </row>
    <row r="19" spans="1:39" x14ac:dyDescent="0.2">
      <c r="A19"/>
      <c r="C19"/>
      <c r="D19"/>
      <c r="E19"/>
      <c r="H19" s="126"/>
      <c r="I19" s="128"/>
      <c r="J19" s="128"/>
      <c r="O19" s="126"/>
      <c r="P19" s="128"/>
      <c r="Q19" s="128"/>
      <c r="S19" s="128"/>
      <c r="X19" s="128"/>
      <c r="Z19" s="128"/>
      <c r="AF19" s="128"/>
      <c r="AM19" s="128"/>
    </row>
    <row r="20" spans="1:39" x14ac:dyDescent="0.2">
      <c r="A20"/>
      <c r="C20"/>
      <c r="D20"/>
      <c r="E20"/>
      <c r="H20" s="126"/>
      <c r="I20" s="128"/>
      <c r="J20" s="128"/>
      <c r="O20" s="126"/>
      <c r="P20" s="128"/>
      <c r="Q20" s="128"/>
      <c r="S20" s="128"/>
      <c r="X20" s="128"/>
      <c r="Z20" s="128"/>
      <c r="AF20" s="128"/>
      <c r="AM20" s="128"/>
    </row>
    <row r="21" spans="1:39" x14ac:dyDescent="0.2">
      <c r="A21"/>
      <c r="C21"/>
      <c r="D21"/>
      <c r="E21"/>
      <c r="H21" s="126"/>
      <c r="I21" s="128"/>
      <c r="J21" s="128"/>
      <c r="O21" s="126"/>
      <c r="P21" s="128"/>
      <c r="Q21" s="128"/>
      <c r="S21" s="128"/>
      <c r="X21" s="128"/>
      <c r="Z21" s="128"/>
      <c r="AF21" s="128"/>
      <c r="AM21" s="128"/>
    </row>
    <row r="22" spans="1:39" x14ac:dyDescent="0.2">
      <c r="A22"/>
      <c r="C22"/>
      <c r="D22"/>
      <c r="E22"/>
      <c r="H22" s="126"/>
      <c r="I22" s="128"/>
      <c r="J22" s="128"/>
      <c r="O22" s="126"/>
      <c r="P22" s="128"/>
      <c r="Q22" s="128"/>
      <c r="S22" s="128"/>
      <c r="X22" s="128"/>
      <c r="Z22" s="128"/>
      <c r="AF22" s="128"/>
      <c r="AM22" s="128"/>
    </row>
    <row r="23" spans="1:39" x14ac:dyDescent="0.2">
      <c r="A23"/>
      <c r="C23"/>
      <c r="D23"/>
      <c r="E23"/>
      <c r="H23" s="126"/>
      <c r="I23" s="128"/>
      <c r="J23" s="128"/>
      <c r="O23" s="126"/>
      <c r="P23" s="128"/>
      <c r="Q23" s="128"/>
      <c r="S23" s="128"/>
      <c r="X23" s="128"/>
      <c r="Z23" s="128"/>
      <c r="AF23" s="128"/>
      <c r="AM23" s="128"/>
    </row>
    <row r="24" spans="1:39" x14ac:dyDescent="0.2">
      <c r="A24"/>
      <c r="C24"/>
      <c r="D24"/>
      <c r="E24"/>
      <c r="H24" s="126"/>
      <c r="I24" s="128"/>
      <c r="J24" s="128"/>
      <c r="O24" s="126"/>
      <c r="P24" s="128"/>
      <c r="Q24" s="128"/>
      <c r="S24" s="128"/>
      <c r="X24" s="128"/>
      <c r="Z24" s="128"/>
      <c r="AF24" s="128"/>
      <c r="AM24" s="128"/>
    </row>
    <row r="25" spans="1:39" x14ac:dyDescent="0.2">
      <c r="A25"/>
      <c r="C25"/>
      <c r="D25"/>
      <c r="E25"/>
      <c r="H25" s="126"/>
      <c r="I25" s="128"/>
      <c r="J25" s="128"/>
      <c r="O25" s="126"/>
      <c r="P25" s="128"/>
      <c r="Q25" s="128"/>
      <c r="S25" s="128"/>
      <c r="X25" s="128"/>
      <c r="Z25" s="128"/>
      <c r="AF25" s="128"/>
      <c r="AM25" s="128"/>
    </row>
    <row r="26" spans="1:39" x14ac:dyDescent="0.2">
      <c r="A26"/>
      <c r="C26"/>
      <c r="D26"/>
      <c r="E26"/>
      <c r="H26" s="126"/>
      <c r="I26" s="128"/>
      <c r="J26" s="128"/>
      <c r="O26" s="126"/>
      <c r="P26" s="128"/>
      <c r="Q26" s="128"/>
      <c r="S26" s="128"/>
      <c r="X26" s="128"/>
      <c r="Z26" s="128"/>
      <c r="AF26" s="128"/>
      <c r="AM26" s="128"/>
    </row>
    <row r="27" spans="1:39" x14ac:dyDescent="0.2">
      <c r="A27"/>
      <c r="C27"/>
      <c r="D27"/>
      <c r="E27"/>
      <c r="H27" s="126"/>
      <c r="I27" s="128"/>
      <c r="J27" s="128"/>
      <c r="O27" s="126"/>
      <c r="P27" s="128"/>
      <c r="Q27" s="128"/>
      <c r="S27" s="128"/>
      <c r="X27" s="128"/>
      <c r="Z27" s="128"/>
      <c r="AF27" s="128"/>
      <c r="AM27" s="128"/>
    </row>
    <row r="28" spans="1:39" x14ac:dyDescent="0.2">
      <c r="A28"/>
      <c r="C28"/>
      <c r="D28"/>
      <c r="E28"/>
      <c r="H28" s="126"/>
      <c r="I28" s="128"/>
      <c r="J28" s="128"/>
      <c r="O28" s="126"/>
      <c r="P28" s="128"/>
      <c r="Q28" s="128"/>
      <c r="S28" s="128"/>
      <c r="X28" s="128"/>
      <c r="Z28" s="128"/>
      <c r="AF28" s="128"/>
      <c r="AM28" s="128"/>
    </row>
    <row r="29" spans="1:39" x14ac:dyDescent="0.2">
      <c r="A29"/>
      <c r="C29"/>
      <c r="D29"/>
      <c r="E29"/>
      <c r="H29" s="126"/>
      <c r="I29" s="128"/>
      <c r="J29" s="128"/>
      <c r="O29" s="126"/>
      <c r="P29" s="128"/>
      <c r="Q29" s="128"/>
      <c r="S29" s="128"/>
      <c r="X29" s="128"/>
      <c r="Z29" s="128"/>
      <c r="AF29" s="128"/>
      <c r="AM29" s="128"/>
    </row>
    <row r="30" spans="1:39" x14ac:dyDescent="0.2">
      <c r="A30"/>
      <c r="C30"/>
      <c r="D30"/>
      <c r="E30"/>
      <c r="H30" s="126"/>
      <c r="I30" s="128"/>
      <c r="J30" s="128"/>
      <c r="O30" s="126"/>
      <c r="P30" s="128"/>
      <c r="Q30" s="128"/>
      <c r="S30" s="128"/>
      <c r="X30" s="128"/>
      <c r="Z30" s="128"/>
      <c r="AF30" s="128"/>
      <c r="AM30" s="128"/>
    </row>
    <row r="31" spans="1:39" x14ac:dyDescent="0.2">
      <c r="A31"/>
      <c r="C31"/>
      <c r="D31"/>
      <c r="E31"/>
      <c r="H31" s="126"/>
      <c r="I31" s="128"/>
      <c r="J31" s="128"/>
      <c r="O31" s="126"/>
      <c r="P31" s="128"/>
      <c r="Q31" s="128"/>
      <c r="S31" s="128"/>
      <c r="X31" s="128"/>
      <c r="Z31" s="128"/>
      <c r="AF31" s="128"/>
      <c r="AM31" s="128"/>
    </row>
    <row r="32" spans="1:39" x14ac:dyDescent="0.2">
      <c r="A32"/>
      <c r="C32"/>
      <c r="D32"/>
      <c r="E32"/>
      <c r="H32" s="126"/>
      <c r="I32" s="128"/>
      <c r="J32" s="128"/>
      <c r="O32" s="126"/>
      <c r="P32" s="128"/>
      <c r="Q32" s="128"/>
      <c r="S32" s="128"/>
      <c r="X32" s="128"/>
      <c r="Z32" s="128"/>
      <c r="AF32" s="128"/>
      <c r="AM32" s="128"/>
    </row>
    <row r="33" spans="1:39" x14ac:dyDescent="0.2">
      <c r="A33"/>
      <c r="C33"/>
      <c r="D33"/>
      <c r="E33"/>
      <c r="H33" s="126"/>
      <c r="I33" s="128"/>
      <c r="J33" s="128"/>
      <c r="O33" s="126"/>
      <c r="P33" s="128"/>
      <c r="Q33" s="128"/>
      <c r="S33" s="128"/>
      <c r="X33" s="128"/>
      <c r="Z33" s="128"/>
      <c r="AF33" s="128"/>
      <c r="AM33" s="128"/>
    </row>
    <row r="34" spans="1:39" x14ac:dyDescent="0.2">
      <c r="A34"/>
      <c r="C34"/>
      <c r="D34"/>
      <c r="E34"/>
      <c r="H34" s="126"/>
      <c r="I34" s="128"/>
      <c r="J34" s="128"/>
      <c r="O34" s="126"/>
      <c r="P34" s="128"/>
      <c r="Q34" s="128"/>
      <c r="S34" s="128"/>
      <c r="X34" s="128"/>
      <c r="Z34" s="128"/>
      <c r="AF34" s="128"/>
      <c r="AM34" s="128"/>
    </row>
    <row r="35" spans="1:39" x14ac:dyDescent="0.2">
      <c r="A35"/>
      <c r="C35"/>
      <c r="D35"/>
      <c r="E35"/>
      <c r="H35" s="126"/>
      <c r="I35" s="128"/>
      <c r="J35" s="128"/>
      <c r="O35" s="126"/>
      <c r="P35" s="128"/>
      <c r="Q35" s="128"/>
      <c r="S35" s="128"/>
      <c r="X35" s="128"/>
      <c r="Z35" s="128"/>
      <c r="AF35" s="128"/>
      <c r="AM35" s="128"/>
    </row>
    <row r="36" spans="1:39" x14ac:dyDescent="0.2">
      <c r="A36"/>
      <c r="C36"/>
      <c r="D36"/>
      <c r="E36"/>
      <c r="H36" s="126"/>
      <c r="I36" s="128"/>
      <c r="J36" s="128"/>
      <c r="O36" s="126"/>
      <c r="P36" s="128"/>
      <c r="Q36" s="128"/>
      <c r="S36" s="128"/>
      <c r="X36" s="128"/>
      <c r="Z36" s="128"/>
      <c r="AF36" s="128"/>
      <c r="AM36" s="128"/>
    </row>
    <row r="37" spans="1:39" x14ac:dyDescent="0.2">
      <c r="A37"/>
      <c r="C37"/>
      <c r="D37"/>
      <c r="E37"/>
      <c r="H37" s="126"/>
      <c r="I37" s="128"/>
      <c r="J37" s="128"/>
      <c r="O37" s="126"/>
      <c r="P37" s="128"/>
      <c r="Q37" s="128"/>
      <c r="S37" s="128"/>
      <c r="X37" s="128"/>
      <c r="Z37" s="128"/>
      <c r="AF37" s="128"/>
      <c r="AM37" s="128"/>
    </row>
    <row r="38" spans="1:39" x14ac:dyDescent="0.2">
      <c r="A38"/>
      <c r="C38"/>
      <c r="D38"/>
      <c r="E38"/>
      <c r="H38" s="126"/>
      <c r="I38" s="128"/>
      <c r="J38" s="128"/>
      <c r="O38" s="126"/>
      <c r="P38" s="128"/>
      <c r="Q38" s="128"/>
      <c r="S38" s="128"/>
      <c r="X38" s="128"/>
      <c r="Z38" s="128"/>
      <c r="AF38" s="128"/>
      <c r="AM38" s="128"/>
    </row>
    <row r="39" spans="1:39" x14ac:dyDescent="0.2">
      <c r="A39"/>
      <c r="C39"/>
      <c r="D39"/>
      <c r="E39"/>
      <c r="H39" s="126"/>
      <c r="I39" s="128"/>
      <c r="J39" s="128"/>
      <c r="O39" s="126"/>
      <c r="P39" s="128"/>
      <c r="Q39" s="128"/>
      <c r="S39" s="128"/>
      <c r="X39" s="128"/>
      <c r="Z39" s="128"/>
      <c r="AF39" s="128"/>
      <c r="AM39" s="128"/>
    </row>
    <row r="40" spans="1:39" x14ac:dyDescent="0.2">
      <c r="A40"/>
      <c r="C40"/>
      <c r="D40"/>
      <c r="E40"/>
      <c r="H40" s="126"/>
      <c r="I40" s="128"/>
      <c r="J40" s="128"/>
      <c r="O40" s="126"/>
      <c r="P40" s="128"/>
      <c r="Q40" s="128"/>
      <c r="S40" s="128"/>
      <c r="X40" s="128"/>
      <c r="Z40" s="128"/>
      <c r="AF40" s="128"/>
      <c r="AM40" s="128"/>
    </row>
    <row r="41" spans="1:39" x14ac:dyDescent="0.2">
      <c r="A41"/>
      <c r="C41"/>
      <c r="D41"/>
      <c r="E41"/>
      <c r="H41" s="126"/>
      <c r="I41" s="128"/>
      <c r="J41" s="128"/>
      <c r="O41" s="126"/>
      <c r="P41" s="128"/>
      <c r="Q41" s="128"/>
      <c r="S41" s="128"/>
      <c r="X41" s="128"/>
      <c r="Z41" s="128"/>
      <c r="AF41" s="128"/>
      <c r="AM41" s="128"/>
    </row>
    <row r="42" spans="1:39" x14ac:dyDescent="0.2">
      <c r="A42"/>
      <c r="C42"/>
      <c r="D42"/>
      <c r="E42"/>
      <c r="H42" s="126"/>
      <c r="I42" s="128"/>
      <c r="J42" s="128"/>
      <c r="O42" s="126"/>
      <c r="P42" s="128"/>
      <c r="Q42" s="128"/>
      <c r="S42" s="128"/>
      <c r="X42" s="128"/>
      <c r="Z42" s="128"/>
      <c r="AF42" s="128"/>
      <c r="AM42" s="128"/>
    </row>
    <row r="43" spans="1:39" x14ac:dyDescent="0.2">
      <c r="A43"/>
      <c r="C43"/>
      <c r="D43"/>
      <c r="E43"/>
      <c r="H43" s="126"/>
      <c r="I43" s="128"/>
      <c r="J43" s="128"/>
      <c r="O43" s="126"/>
      <c r="P43" s="128"/>
      <c r="Q43" s="128"/>
      <c r="S43" s="128"/>
      <c r="X43" s="128"/>
      <c r="Z43" s="128"/>
      <c r="AF43" s="128"/>
      <c r="AM43" s="128"/>
    </row>
    <row r="44" spans="1:39" x14ac:dyDescent="0.2">
      <c r="A44"/>
      <c r="C44"/>
      <c r="D44"/>
      <c r="E44"/>
      <c r="H44" s="126"/>
      <c r="I44" s="128"/>
      <c r="J44" s="128"/>
      <c r="O44" s="126"/>
      <c r="P44" s="128"/>
      <c r="Q44" s="128"/>
      <c r="S44" s="128"/>
      <c r="X44" s="128"/>
      <c r="Z44" s="128"/>
      <c r="AF44" s="128"/>
      <c r="AM44" s="128"/>
    </row>
    <row r="45" spans="1:39" x14ac:dyDescent="0.2">
      <c r="A45"/>
      <c r="C45"/>
      <c r="D45"/>
      <c r="E45"/>
      <c r="H45" s="126"/>
      <c r="I45" s="128"/>
      <c r="J45" s="128"/>
      <c r="O45" s="126"/>
      <c r="P45" s="128"/>
      <c r="Q45" s="128"/>
      <c r="S45" s="128"/>
      <c r="X45" s="128"/>
      <c r="Z45" s="128"/>
      <c r="AF45" s="128"/>
      <c r="AM45" s="128"/>
    </row>
    <row r="46" spans="1:39" x14ac:dyDescent="0.2">
      <c r="A46"/>
      <c r="C46"/>
      <c r="D46"/>
      <c r="E46"/>
      <c r="H46" s="126"/>
      <c r="I46" s="128"/>
      <c r="J46" s="128"/>
      <c r="O46" s="126"/>
      <c r="P46" s="128"/>
      <c r="Q46" s="128"/>
      <c r="S46" s="128"/>
      <c r="X46" s="128"/>
      <c r="Z46" s="128"/>
      <c r="AF46" s="128"/>
      <c r="AM46" s="128"/>
    </row>
    <row r="47" spans="1:39" x14ac:dyDescent="0.2">
      <c r="A47"/>
      <c r="C47"/>
      <c r="D47"/>
      <c r="E47"/>
      <c r="H47" s="126"/>
      <c r="I47" s="128"/>
      <c r="J47" s="128"/>
      <c r="O47" s="126"/>
      <c r="P47" s="128"/>
      <c r="Q47" s="128"/>
      <c r="S47" s="128"/>
      <c r="X47" s="128"/>
      <c r="Z47" s="128"/>
      <c r="AF47" s="128"/>
      <c r="AM47" s="128"/>
    </row>
    <row r="48" spans="1:39" x14ac:dyDescent="0.2">
      <c r="A48"/>
      <c r="C48"/>
      <c r="D48"/>
      <c r="E48"/>
      <c r="H48" s="126"/>
      <c r="I48" s="128"/>
      <c r="J48" s="128"/>
      <c r="O48" s="126"/>
      <c r="P48" s="128"/>
      <c r="Q48" s="128"/>
      <c r="S48" s="128"/>
      <c r="X48" s="128"/>
      <c r="Z48" s="128"/>
      <c r="AF48" s="128"/>
      <c r="AM48" s="128"/>
    </row>
    <row r="49" spans="1:39" x14ac:dyDescent="0.2">
      <c r="A49"/>
      <c r="C49"/>
      <c r="D49"/>
      <c r="E49"/>
      <c r="H49" s="126"/>
      <c r="I49" s="128"/>
      <c r="J49" s="128"/>
      <c r="O49" s="126"/>
      <c r="P49" s="128"/>
      <c r="Q49" s="128"/>
      <c r="S49" s="128"/>
      <c r="X49" s="128"/>
      <c r="Z49" s="128"/>
      <c r="AF49" s="128"/>
      <c r="AM49" s="128"/>
    </row>
    <row r="50" spans="1:39" x14ac:dyDescent="0.2">
      <c r="A50"/>
      <c r="C50"/>
      <c r="D50"/>
      <c r="E50"/>
      <c r="H50" s="126"/>
      <c r="I50" s="128"/>
      <c r="J50" s="128"/>
      <c r="O50" s="126"/>
      <c r="P50" s="128"/>
      <c r="Q50" s="128"/>
      <c r="S50" s="128"/>
      <c r="X50" s="128"/>
      <c r="Z50" s="128"/>
      <c r="AF50" s="128"/>
      <c r="AM50" s="128"/>
    </row>
    <row r="51" spans="1:39" x14ac:dyDescent="0.2">
      <c r="A51"/>
      <c r="C51"/>
      <c r="D51"/>
      <c r="E51"/>
      <c r="H51" s="126"/>
      <c r="I51" s="128"/>
      <c r="J51" s="128"/>
      <c r="O51" s="126"/>
      <c r="P51" s="128"/>
      <c r="Q51" s="128"/>
      <c r="S51" s="128"/>
      <c r="X51" s="128"/>
      <c r="Z51" s="128"/>
      <c r="AF51" s="128"/>
      <c r="AM51" s="128"/>
    </row>
    <row r="52" spans="1:39" x14ac:dyDescent="0.2">
      <c r="A52"/>
      <c r="C52"/>
      <c r="D52"/>
      <c r="E52"/>
      <c r="H52" s="126"/>
      <c r="I52" s="128"/>
      <c r="J52" s="128"/>
      <c r="O52" s="126"/>
      <c r="P52" s="128"/>
      <c r="Q52" s="128"/>
      <c r="S52" s="128"/>
      <c r="X52" s="128"/>
      <c r="Z52" s="128"/>
      <c r="AF52" s="128"/>
      <c r="AM52" s="128"/>
    </row>
    <row r="53" spans="1:39" x14ac:dyDescent="0.2">
      <c r="A53"/>
      <c r="C53"/>
      <c r="D53"/>
      <c r="E53"/>
      <c r="H53" s="126"/>
      <c r="I53" s="128"/>
      <c r="J53" s="128"/>
      <c r="O53" s="126"/>
      <c r="P53" s="128"/>
      <c r="Q53" s="128"/>
      <c r="S53" s="128"/>
      <c r="X53" s="128"/>
      <c r="Z53" s="128"/>
      <c r="AF53" s="128"/>
      <c r="AM53" s="128"/>
    </row>
    <row r="54" spans="1:39" x14ac:dyDescent="0.2">
      <c r="A54"/>
      <c r="C54"/>
      <c r="D54"/>
      <c r="E54"/>
      <c r="H54" s="126"/>
      <c r="I54" s="128"/>
      <c r="J54" s="128"/>
      <c r="O54" s="126"/>
      <c r="P54" s="128"/>
      <c r="Q54" s="128"/>
      <c r="S54" s="128"/>
      <c r="X54" s="128"/>
      <c r="Z54" s="128"/>
      <c r="AF54" s="128"/>
      <c r="AM54" s="128"/>
    </row>
    <row r="55" spans="1:39" x14ac:dyDescent="0.2">
      <c r="A55"/>
      <c r="C55"/>
      <c r="D55"/>
      <c r="E55"/>
      <c r="H55" s="126"/>
      <c r="I55" s="128"/>
      <c r="J55" s="128"/>
      <c r="O55" s="126"/>
      <c r="P55" s="128"/>
      <c r="Q55" s="128"/>
      <c r="S55" s="128"/>
      <c r="X55" s="128"/>
      <c r="Z55" s="128"/>
      <c r="AF55" s="128"/>
      <c r="AM55" s="128"/>
    </row>
    <row r="56" spans="1:39" x14ac:dyDescent="0.2">
      <c r="A56"/>
      <c r="C56"/>
      <c r="D56"/>
      <c r="E56"/>
      <c r="H56" s="126"/>
      <c r="I56" s="128"/>
      <c r="J56" s="128"/>
      <c r="O56" s="126"/>
      <c r="P56" s="128"/>
      <c r="Q56" s="128"/>
      <c r="S56" s="128"/>
      <c r="X56" s="128"/>
      <c r="Z56" s="128"/>
      <c r="AF56" s="128"/>
      <c r="AM56" s="128"/>
    </row>
    <row r="57" spans="1:39" x14ac:dyDescent="0.2">
      <c r="A57"/>
      <c r="C57"/>
      <c r="D57"/>
      <c r="E57"/>
      <c r="H57" s="126"/>
      <c r="I57" s="128"/>
      <c r="J57" s="128"/>
      <c r="O57" s="126"/>
      <c r="P57" s="128"/>
      <c r="Q57" s="128"/>
      <c r="S57" s="128"/>
      <c r="X57" s="128"/>
      <c r="Z57" s="128"/>
      <c r="AF57" s="128"/>
      <c r="AM57" s="128"/>
    </row>
    <row r="58" spans="1:39" x14ac:dyDescent="0.2">
      <c r="A58"/>
      <c r="C58"/>
      <c r="D58"/>
      <c r="E58"/>
      <c r="H58" s="126"/>
      <c r="I58" s="128"/>
      <c r="J58" s="128"/>
      <c r="O58" s="126"/>
      <c r="P58" s="128"/>
      <c r="Q58" s="128"/>
      <c r="S58" s="128"/>
      <c r="X58" s="128"/>
      <c r="Z58" s="128"/>
      <c r="AF58" s="128"/>
      <c r="AM58" s="128"/>
    </row>
    <row r="59" spans="1:39" x14ac:dyDescent="0.2">
      <c r="A59"/>
      <c r="C59"/>
      <c r="D59"/>
      <c r="E59"/>
      <c r="H59" s="126"/>
      <c r="I59" s="128"/>
      <c r="J59" s="128"/>
      <c r="O59" s="126"/>
      <c r="P59" s="128"/>
      <c r="Q59" s="128"/>
      <c r="S59" s="128"/>
      <c r="X59" s="128"/>
      <c r="Z59" s="128"/>
      <c r="AF59" s="128"/>
      <c r="AM59" s="128"/>
    </row>
    <row r="60" spans="1:39" x14ac:dyDescent="0.2">
      <c r="A60"/>
      <c r="C60"/>
      <c r="D60"/>
      <c r="E60"/>
      <c r="H60" s="126"/>
      <c r="I60" s="128"/>
      <c r="J60" s="128"/>
      <c r="O60" s="126"/>
      <c r="P60" s="128"/>
      <c r="Q60" s="128"/>
      <c r="S60" s="128"/>
      <c r="X60" s="128"/>
      <c r="Z60" s="128"/>
      <c r="AF60" s="128"/>
      <c r="AM60" s="128"/>
    </row>
    <row r="61" spans="1:39" x14ac:dyDescent="0.2">
      <c r="A61"/>
      <c r="C61"/>
      <c r="D61"/>
      <c r="E61"/>
      <c r="H61" s="126"/>
      <c r="I61" s="128"/>
      <c r="J61" s="128"/>
      <c r="O61" s="126"/>
      <c r="P61" s="128"/>
      <c r="Q61" s="128"/>
      <c r="S61" s="128"/>
      <c r="X61" s="128"/>
      <c r="Z61" s="128"/>
      <c r="AF61" s="128"/>
      <c r="AM61" s="128"/>
    </row>
    <row r="62" spans="1:39" x14ac:dyDescent="0.2">
      <c r="A62"/>
      <c r="C62"/>
      <c r="D62"/>
      <c r="E62"/>
      <c r="H62" s="126"/>
      <c r="I62" s="128"/>
      <c r="J62" s="128"/>
      <c r="O62" s="126"/>
      <c r="P62" s="128"/>
      <c r="Q62" s="128"/>
      <c r="S62" s="128"/>
      <c r="X62" s="128"/>
      <c r="Z62" s="128"/>
      <c r="AF62" s="128"/>
      <c r="AM62" s="128"/>
    </row>
    <row r="63" spans="1:39" x14ac:dyDescent="0.2">
      <c r="A63"/>
      <c r="C63"/>
      <c r="D63"/>
      <c r="E63"/>
      <c r="H63" s="126"/>
      <c r="I63" s="128"/>
      <c r="J63" s="128"/>
      <c r="O63" s="126"/>
      <c r="P63" s="128"/>
      <c r="Q63" s="128"/>
      <c r="S63" s="128"/>
      <c r="X63" s="128"/>
      <c r="Z63" s="128"/>
      <c r="AF63" s="128"/>
      <c r="AM63" s="128"/>
    </row>
    <row r="64" spans="1:39" x14ac:dyDescent="0.2">
      <c r="A64"/>
      <c r="C64"/>
      <c r="D64"/>
      <c r="E64"/>
      <c r="H64" s="126"/>
      <c r="I64" s="128"/>
      <c r="J64" s="128"/>
      <c r="O64" s="126"/>
      <c r="P64" s="128"/>
      <c r="Q64" s="128"/>
      <c r="S64" s="128"/>
      <c r="X64" s="128"/>
      <c r="Z64" s="128"/>
      <c r="AF64" s="128"/>
      <c r="AM64" s="128"/>
    </row>
    <row r="65" spans="1:39" x14ac:dyDescent="0.2">
      <c r="A65"/>
      <c r="C65"/>
      <c r="D65"/>
      <c r="E65"/>
      <c r="H65" s="126"/>
      <c r="I65" s="128"/>
      <c r="J65" s="128"/>
      <c r="O65" s="126"/>
      <c r="P65" s="128"/>
      <c r="Q65" s="128"/>
      <c r="S65" s="128"/>
      <c r="X65" s="128"/>
      <c r="Z65" s="128"/>
      <c r="AF65" s="128"/>
      <c r="AM65" s="128"/>
    </row>
    <row r="66" spans="1:39" x14ac:dyDescent="0.2">
      <c r="A66"/>
      <c r="C66"/>
      <c r="D66"/>
      <c r="E66"/>
      <c r="H66" s="126"/>
      <c r="I66" s="128"/>
      <c r="J66" s="128"/>
      <c r="O66" s="126"/>
      <c r="P66" s="128"/>
      <c r="Q66" s="128"/>
      <c r="S66" s="128"/>
      <c r="X66" s="128"/>
      <c r="Z66" s="128"/>
      <c r="AF66" s="128"/>
      <c r="AM66" s="128"/>
    </row>
    <row r="67" spans="1:39" x14ac:dyDescent="0.2">
      <c r="A67"/>
      <c r="C67"/>
      <c r="D67"/>
      <c r="E67"/>
      <c r="H67" s="126"/>
      <c r="I67" s="128"/>
      <c r="J67" s="128"/>
      <c r="O67" s="126"/>
      <c r="P67" s="128"/>
      <c r="Q67" s="128"/>
      <c r="S67" s="128"/>
      <c r="X67" s="128"/>
      <c r="Z67" s="128"/>
      <c r="AF67" s="128"/>
      <c r="AM67" s="128"/>
    </row>
    <row r="68" spans="1:39" x14ac:dyDescent="0.2">
      <c r="A68"/>
      <c r="C68"/>
      <c r="D68"/>
      <c r="E68"/>
      <c r="H68" s="126"/>
      <c r="I68" s="128"/>
      <c r="J68" s="128"/>
      <c r="O68" s="126"/>
      <c r="P68" s="128"/>
      <c r="Q68" s="128"/>
      <c r="S68" s="128"/>
      <c r="X68" s="128"/>
      <c r="Z68" s="128"/>
      <c r="AF68" s="128"/>
      <c r="AM68" s="128"/>
    </row>
    <row r="69" spans="1:39" x14ac:dyDescent="0.2">
      <c r="A69"/>
      <c r="C69"/>
      <c r="D69"/>
      <c r="E69"/>
      <c r="H69" s="126"/>
      <c r="I69" s="128"/>
      <c r="J69" s="128"/>
      <c r="O69" s="126"/>
      <c r="P69" s="128"/>
      <c r="Q69" s="128"/>
      <c r="S69" s="128"/>
      <c r="X69" s="128"/>
      <c r="Z69" s="128"/>
      <c r="AF69" s="128"/>
      <c r="AM69" s="128"/>
    </row>
    <row r="70" spans="1:39" x14ac:dyDescent="0.2">
      <c r="A70"/>
      <c r="C70"/>
      <c r="D70"/>
      <c r="E70"/>
      <c r="H70" s="126"/>
      <c r="I70" s="128"/>
      <c r="J70" s="128"/>
      <c r="O70" s="126"/>
      <c r="P70" s="128"/>
      <c r="Q70" s="128"/>
      <c r="S70" s="128"/>
      <c r="X70" s="128"/>
      <c r="Z70" s="128"/>
      <c r="AF70" s="128"/>
      <c r="AM70" s="128"/>
    </row>
    <row r="71" spans="1:39" x14ac:dyDescent="0.2">
      <c r="A71"/>
      <c r="C71"/>
      <c r="D71"/>
      <c r="E71"/>
      <c r="H71" s="126"/>
      <c r="I71" s="128"/>
      <c r="J71" s="128"/>
      <c r="O71" s="126"/>
      <c r="P71" s="128"/>
      <c r="Q71" s="128"/>
      <c r="S71" s="128"/>
      <c r="X71" s="128"/>
      <c r="Z71" s="128"/>
      <c r="AF71" s="128"/>
      <c r="AM71" s="128"/>
    </row>
    <row r="72" spans="1:39" x14ac:dyDescent="0.2">
      <c r="A72"/>
      <c r="C72"/>
      <c r="D72"/>
      <c r="E72"/>
      <c r="H72" s="126"/>
      <c r="I72" s="128"/>
      <c r="J72" s="128"/>
      <c r="O72" s="126"/>
      <c r="P72" s="128"/>
      <c r="Q72" s="128"/>
      <c r="S72" s="128"/>
      <c r="X72" s="128"/>
      <c r="Z72" s="128"/>
      <c r="AF72" s="128"/>
      <c r="AM72" s="128"/>
    </row>
    <row r="73" spans="1:39" x14ac:dyDescent="0.2">
      <c r="A73"/>
      <c r="C73"/>
      <c r="D73"/>
      <c r="E73"/>
      <c r="H73" s="126"/>
      <c r="I73" s="128"/>
      <c r="J73" s="128"/>
      <c r="O73" s="126"/>
      <c r="P73" s="128"/>
      <c r="Q73" s="128"/>
      <c r="S73" s="128"/>
      <c r="X73" s="128"/>
      <c r="Z73" s="128"/>
      <c r="AF73" s="128"/>
      <c r="AM73" s="128"/>
    </row>
    <row r="74" spans="1:39" x14ac:dyDescent="0.2">
      <c r="A74"/>
      <c r="C74"/>
      <c r="D74"/>
      <c r="E74"/>
      <c r="H74" s="126"/>
      <c r="I74" s="128"/>
      <c r="J74" s="128"/>
      <c r="O74" s="126"/>
      <c r="P74" s="128"/>
      <c r="Q74" s="128"/>
      <c r="S74" s="128"/>
      <c r="X74" s="128"/>
      <c r="Z74" s="128"/>
      <c r="AF74" s="128"/>
      <c r="AM74" s="128"/>
    </row>
    <row r="75" spans="1:39" x14ac:dyDescent="0.2">
      <c r="A75"/>
      <c r="C75"/>
      <c r="D75"/>
      <c r="E75"/>
      <c r="H75" s="126"/>
      <c r="I75" s="128"/>
      <c r="J75" s="128"/>
      <c r="O75" s="126"/>
      <c r="P75" s="128"/>
      <c r="Q75" s="128"/>
      <c r="S75" s="128"/>
      <c r="X75" s="128"/>
      <c r="Z75" s="128"/>
      <c r="AF75" s="128"/>
      <c r="AM75" s="128"/>
    </row>
    <row r="76" spans="1:39" x14ac:dyDescent="0.2">
      <c r="A76"/>
      <c r="C76"/>
      <c r="D76"/>
      <c r="E76"/>
      <c r="H76" s="126"/>
      <c r="I76" s="128"/>
      <c r="J76" s="128"/>
      <c r="O76" s="126"/>
      <c r="P76" s="128"/>
      <c r="Q76" s="128"/>
      <c r="S76" s="128"/>
      <c r="X76" s="128"/>
      <c r="Z76" s="128"/>
      <c r="AF76" s="128"/>
      <c r="AM76" s="128"/>
    </row>
    <row r="77" spans="1:39" x14ac:dyDescent="0.2">
      <c r="A77"/>
      <c r="C77"/>
      <c r="D77"/>
      <c r="E77"/>
      <c r="H77" s="126"/>
      <c r="I77" s="128"/>
      <c r="J77" s="128"/>
      <c r="O77" s="126"/>
      <c r="P77" s="128"/>
      <c r="Q77" s="128"/>
      <c r="S77" s="128"/>
      <c r="X77" s="128"/>
      <c r="Z77" s="128"/>
      <c r="AF77" s="128"/>
      <c r="AM77" s="128"/>
    </row>
    <row r="78" spans="1:39" x14ac:dyDescent="0.2">
      <c r="A78"/>
      <c r="C78"/>
      <c r="D78"/>
      <c r="E78"/>
      <c r="H78" s="126"/>
      <c r="I78" s="128"/>
      <c r="J78" s="128"/>
      <c r="O78" s="126"/>
      <c r="P78" s="128"/>
      <c r="Q78" s="128"/>
      <c r="S78" s="128"/>
      <c r="X78" s="128"/>
      <c r="Z78" s="128"/>
      <c r="AF78" s="128"/>
      <c r="AM78" s="128"/>
    </row>
    <row r="79" spans="1:39" x14ac:dyDescent="0.2">
      <c r="A79"/>
      <c r="C79"/>
      <c r="D79"/>
      <c r="E79"/>
      <c r="H79" s="126"/>
      <c r="I79" s="128"/>
      <c r="J79" s="128"/>
      <c r="O79" s="126"/>
      <c r="P79" s="128"/>
      <c r="Q79" s="128"/>
      <c r="S79" s="128"/>
      <c r="X79" s="128"/>
      <c r="Z79" s="128"/>
      <c r="AF79" s="128"/>
      <c r="AM79" s="128"/>
    </row>
    <row r="80" spans="1:39" x14ac:dyDescent="0.2">
      <c r="A80"/>
      <c r="C80"/>
      <c r="D80"/>
      <c r="E80"/>
      <c r="H80" s="126"/>
      <c r="I80" s="128"/>
      <c r="J80" s="128"/>
      <c r="O80" s="126"/>
      <c r="P80" s="128"/>
      <c r="Q80" s="128"/>
      <c r="S80" s="128"/>
      <c r="X80" s="128"/>
      <c r="Z80" s="128"/>
      <c r="AF80" s="128"/>
      <c r="AM80" s="128"/>
    </row>
    <row r="81" spans="1:39" x14ac:dyDescent="0.2">
      <c r="A81"/>
      <c r="C81"/>
      <c r="D81"/>
      <c r="E81"/>
      <c r="H81" s="126"/>
      <c r="I81" s="128"/>
      <c r="J81" s="128"/>
      <c r="O81" s="126"/>
      <c r="P81" s="128"/>
      <c r="Q81" s="128"/>
      <c r="S81" s="128"/>
      <c r="X81" s="128"/>
      <c r="Z81" s="128"/>
      <c r="AF81" s="128"/>
      <c r="AM81" s="128"/>
    </row>
    <row r="82" spans="1:39" x14ac:dyDescent="0.2">
      <c r="A82"/>
      <c r="C82"/>
      <c r="D82"/>
      <c r="E82"/>
      <c r="H82" s="126"/>
      <c r="I82" s="128"/>
      <c r="J82" s="128"/>
      <c r="O82" s="126"/>
      <c r="P82" s="128"/>
      <c r="Q82" s="128"/>
      <c r="S82" s="128"/>
      <c r="X82" s="128"/>
      <c r="Z82" s="128"/>
      <c r="AF82" s="128"/>
      <c r="AM82" s="128"/>
    </row>
    <row r="83" spans="1:39" x14ac:dyDescent="0.2">
      <c r="A83"/>
      <c r="C83"/>
      <c r="D83"/>
      <c r="E83"/>
      <c r="H83" s="126"/>
      <c r="I83" s="128"/>
      <c r="J83" s="128"/>
      <c r="O83" s="126"/>
      <c r="P83" s="128"/>
      <c r="Q83" s="128"/>
      <c r="S83" s="128"/>
      <c r="X83" s="128"/>
      <c r="Z83" s="128"/>
      <c r="AF83" s="128"/>
      <c r="AM83" s="128"/>
    </row>
    <row r="84" spans="1:39" x14ac:dyDescent="0.2">
      <c r="A84"/>
      <c r="C84"/>
      <c r="D84"/>
      <c r="E84"/>
      <c r="H84" s="126"/>
      <c r="I84" s="128"/>
      <c r="J84" s="128"/>
      <c r="O84" s="126"/>
      <c r="P84" s="128"/>
      <c r="Q84" s="128"/>
      <c r="S84" s="128"/>
      <c r="X84" s="128"/>
      <c r="Z84" s="128"/>
      <c r="AF84" s="128"/>
      <c r="AM84" s="128"/>
    </row>
    <row r="85" spans="1:39" x14ac:dyDescent="0.2">
      <c r="A85"/>
      <c r="C85"/>
      <c r="D85"/>
      <c r="E85"/>
      <c r="H85" s="126"/>
      <c r="I85" s="128"/>
      <c r="J85" s="128"/>
      <c r="O85" s="126"/>
      <c r="P85" s="128"/>
      <c r="Q85" s="128"/>
      <c r="S85" s="128"/>
      <c r="X85" s="128"/>
      <c r="Z85" s="128"/>
      <c r="AF85" s="128"/>
      <c r="AM85" s="128"/>
    </row>
    <row r="86" spans="1:39" x14ac:dyDescent="0.2">
      <c r="A86"/>
      <c r="C86"/>
      <c r="D86"/>
      <c r="E86"/>
      <c r="H86" s="126"/>
      <c r="I86" s="128"/>
      <c r="J86" s="128"/>
      <c r="O86" s="126"/>
      <c r="P86" s="128"/>
      <c r="Q86" s="128"/>
      <c r="S86" s="128"/>
      <c r="X86" s="128"/>
      <c r="Z86" s="128"/>
      <c r="AF86" s="128"/>
      <c r="AM86" s="128"/>
    </row>
    <row r="87" spans="1:39" x14ac:dyDescent="0.2">
      <c r="A87"/>
      <c r="C87"/>
      <c r="D87"/>
      <c r="E87"/>
      <c r="H87" s="126"/>
      <c r="I87" s="128"/>
      <c r="J87" s="128"/>
      <c r="O87" s="126"/>
      <c r="P87" s="128"/>
      <c r="Q87" s="128"/>
      <c r="S87" s="128"/>
      <c r="X87" s="128"/>
      <c r="Z87" s="128"/>
      <c r="AF87" s="128"/>
      <c r="AM87" s="128"/>
    </row>
    <row r="88" spans="1:39" x14ac:dyDescent="0.2">
      <c r="A88"/>
      <c r="C88"/>
      <c r="D88"/>
      <c r="E88"/>
      <c r="H88" s="126"/>
      <c r="I88" s="128"/>
      <c r="J88" s="128"/>
      <c r="O88" s="126"/>
      <c r="P88" s="128"/>
      <c r="Q88" s="128"/>
      <c r="S88" s="128"/>
      <c r="X88" s="128"/>
      <c r="Z88" s="128"/>
      <c r="AF88" s="128"/>
      <c r="AM88" s="128"/>
    </row>
    <row r="89" spans="1:39" x14ac:dyDescent="0.2">
      <c r="A89"/>
      <c r="C89"/>
      <c r="D89"/>
      <c r="E89"/>
      <c r="H89" s="126"/>
      <c r="I89" s="128"/>
      <c r="J89" s="128"/>
      <c r="O89" s="126"/>
      <c r="P89" s="128"/>
      <c r="Q89" s="128"/>
      <c r="S89" s="128"/>
      <c r="X89" s="128"/>
      <c r="Z89" s="128"/>
      <c r="AF89" s="128"/>
      <c r="AM89" s="128"/>
    </row>
    <row r="90" spans="1:39" x14ac:dyDescent="0.2">
      <c r="A90"/>
      <c r="C90"/>
      <c r="D90"/>
      <c r="E90"/>
      <c r="H90" s="126"/>
      <c r="I90" s="128"/>
      <c r="J90" s="128"/>
      <c r="O90" s="126"/>
      <c r="P90" s="128"/>
      <c r="Q90" s="128"/>
      <c r="S90" s="128"/>
      <c r="X90" s="128"/>
      <c r="Z90" s="128"/>
      <c r="AF90" s="128"/>
      <c r="AM90" s="128"/>
    </row>
    <row r="91" spans="1:39" x14ac:dyDescent="0.2">
      <c r="A91"/>
      <c r="C91"/>
      <c r="D91"/>
      <c r="E91"/>
      <c r="H91" s="126"/>
      <c r="I91" s="128"/>
      <c r="J91" s="128"/>
      <c r="O91" s="126"/>
      <c r="P91" s="128"/>
      <c r="Q91" s="128"/>
      <c r="S91" s="128"/>
      <c r="X91" s="128"/>
      <c r="Z91" s="128"/>
      <c r="AF91" s="128"/>
      <c r="AM91" s="128"/>
    </row>
    <row r="92" spans="1:39" x14ac:dyDescent="0.2">
      <c r="A92"/>
      <c r="C92"/>
      <c r="D92"/>
      <c r="E92"/>
      <c r="H92" s="126"/>
      <c r="I92" s="128"/>
      <c r="J92" s="128"/>
      <c r="O92" s="126"/>
      <c r="P92" s="128"/>
      <c r="Q92" s="128"/>
      <c r="S92" s="128"/>
      <c r="X92" s="128"/>
      <c r="Z92" s="128"/>
      <c r="AF92" s="128"/>
      <c r="AM92" s="128"/>
    </row>
    <row r="93" spans="1:39" x14ac:dyDescent="0.2">
      <c r="A93"/>
      <c r="C93"/>
      <c r="D93"/>
      <c r="E93"/>
      <c r="H93" s="126"/>
      <c r="I93" s="128"/>
      <c r="J93" s="128"/>
      <c r="O93" s="126"/>
      <c r="P93" s="128"/>
      <c r="Q93" s="128"/>
      <c r="S93" s="128"/>
      <c r="X93" s="128"/>
      <c r="Z93" s="128"/>
      <c r="AF93" s="128"/>
      <c r="AM93" s="128"/>
    </row>
    <row r="94" spans="1:39" x14ac:dyDescent="0.2">
      <c r="A94"/>
      <c r="C94"/>
      <c r="D94"/>
      <c r="E94"/>
      <c r="H94" s="126"/>
      <c r="I94" s="128"/>
      <c r="J94" s="128"/>
      <c r="O94" s="126"/>
      <c r="P94" s="128"/>
      <c r="Q94" s="128"/>
      <c r="S94" s="128"/>
      <c r="X94" s="128"/>
      <c r="Z94" s="128"/>
      <c r="AF94" s="128"/>
      <c r="AM94" s="128"/>
    </row>
    <row r="95" spans="1:39" x14ac:dyDescent="0.2">
      <c r="A95"/>
      <c r="C95"/>
      <c r="D95"/>
      <c r="E95"/>
      <c r="H95" s="126"/>
      <c r="I95" s="128"/>
      <c r="J95" s="128"/>
      <c r="O95" s="126"/>
      <c r="P95" s="128"/>
      <c r="Q95" s="128"/>
      <c r="S95" s="128"/>
      <c r="X95" s="128"/>
      <c r="Z95" s="128"/>
      <c r="AF95" s="128"/>
      <c r="AM95" s="128"/>
    </row>
    <row r="96" spans="1:39" x14ac:dyDescent="0.2">
      <c r="A96"/>
      <c r="C96"/>
      <c r="D96"/>
      <c r="E96"/>
      <c r="H96" s="126"/>
      <c r="I96" s="128"/>
      <c r="J96" s="128"/>
      <c r="O96" s="126"/>
      <c r="P96" s="128"/>
      <c r="Q96" s="128"/>
      <c r="S96" s="128"/>
      <c r="X96" s="128"/>
      <c r="Z96" s="128"/>
      <c r="AF96" s="128"/>
      <c r="AM96" s="128"/>
    </row>
    <row r="97" spans="1:39" x14ac:dyDescent="0.2">
      <c r="A97"/>
      <c r="C97"/>
      <c r="D97"/>
      <c r="E97"/>
      <c r="H97" s="126"/>
      <c r="I97" s="128"/>
      <c r="J97" s="128"/>
      <c r="O97" s="126"/>
      <c r="P97" s="128"/>
      <c r="Q97" s="128"/>
      <c r="S97" s="128"/>
      <c r="X97" s="128"/>
      <c r="Z97" s="128"/>
      <c r="AF97" s="128"/>
      <c r="AM97" s="128"/>
    </row>
    <row r="98" spans="1:39" x14ac:dyDescent="0.2">
      <c r="A98"/>
      <c r="C98"/>
      <c r="D98"/>
      <c r="E98"/>
      <c r="H98" s="126"/>
      <c r="I98" s="128"/>
      <c r="J98" s="128"/>
      <c r="O98" s="126"/>
      <c r="P98" s="128"/>
      <c r="Q98" s="128"/>
      <c r="S98" s="128"/>
      <c r="X98" s="128"/>
      <c r="Z98" s="128"/>
      <c r="AF98" s="128"/>
      <c r="AM98" s="128"/>
    </row>
    <row r="99" spans="1:39" x14ac:dyDescent="0.2">
      <c r="A99"/>
      <c r="C99"/>
      <c r="D99"/>
      <c r="E99"/>
      <c r="H99" s="126"/>
      <c r="I99" s="128"/>
      <c r="J99" s="128"/>
      <c r="O99" s="126"/>
      <c r="P99" s="128"/>
      <c r="Q99" s="128"/>
      <c r="S99" s="128"/>
      <c r="X99" s="128"/>
      <c r="Z99" s="128"/>
      <c r="AF99" s="128"/>
      <c r="AM99" s="128"/>
    </row>
    <row r="100" spans="1:39" x14ac:dyDescent="0.2">
      <c r="A100"/>
      <c r="C100"/>
      <c r="D100"/>
      <c r="E100"/>
      <c r="H100" s="126"/>
      <c r="I100" s="128"/>
      <c r="J100" s="128"/>
      <c r="O100" s="126"/>
      <c r="P100" s="128"/>
      <c r="Q100" s="128"/>
      <c r="S100" s="128"/>
      <c r="X100" s="128"/>
      <c r="Z100" s="128"/>
      <c r="AF100" s="128"/>
      <c r="AM100" s="128"/>
    </row>
    <row r="101" spans="1:39" x14ac:dyDescent="0.2">
      <c r="A101"/>
      <c r="C101"/>
      <c r="D101"/>
      <c r="E101"/>
      <c r="H101" s="126"/>
      <c r="I101" s="128"/>
      <c r="J101" s="128"/>
      <c r="O101" s="126"/>
      <c r="P101" s="128"/>
      <c r="Q101" s="128"/>
      <c r="S101" s="128"/>
      <c r="X101" s="128"/>
      <c r="Z101" s="128"/>
      <c r="AF101" s="128"/>
      <c r="AM101" s="128"/>
    </row>
    <row r="102" spans="1:39" x14ac:dyDescent="0.2">
      <c r="A102"/>
      <c r="C102"/>
      <c r="D102"/>
      <c r="E102"/>
      <c r="H102" s="126"/>
      <c r="I102" s="128"/>
      <c r="J102" s="128"/>
      <c r="O102" s="126"/>
      <c r="P102" s="128"/>
      <c r="Q102" s="128"/>
      <c r="S102" s="128"/>
      <c r="X102" s="128"/>
      <c r="Z102" s="128"/>
      <c r="AF102" s="128"/>
      <c r="AM102" s="128"/>
    </row>
    <row r="103" spans="1:39" x14ac:dyDescent="0.2">
      <c r="A103"/>
      <c r="C103"/>
      <c r="D103"/>
      <c r="E103"/>
      <c r="H103" s="126"/>
      <c r="I103" s="128"/>
      <c r="J103" s="128"/>
      <c r="O103" s="126"/>
      <c r="P103" s="128"/>
      <c r="Q103" s="128"/>
      <c r="S103" s="128"/>
      <c r="X103" s="128"/>
      <c r="Z103" s="128"/>
      <c r="AF103" s="128"/>
      <c r="AM103" s="128"/>
    </row>
    <row r="104" spans="1:39" x14ac:dyDescent="0.2">
      <c r="A104"/>
      <c r="C104"/>
      <c r="D104"/>
      <c r="E104"/>
      <c r="H104" s="126"/>
      <c r="I104" s="128"/>
      <c r="J104" s="128"/>
      <c r="O104" s="126"/>
      <c r="P104" s="128"/>
      <c r="Q104" s="128"/>
      <c r="S104" s="128"/>
      <c r="X104" s="128"/>
      <c r="Z104" s="128"/>
      <c r="AF104" s="128"/>
      <c r="AM104" s="128"/>
    </row>
    <row r="105" spans="1:39" x14ac:dyDescent="0.2">
      <c r="A105"/>
      <c r="C105"/>
      <c r="D105"/>
      <c r="E105"/>
      <c r="H105" s="126"/>
      <c r="I105" s="128"/>
      <c r="J105" s="128"/>
      <c r="O105" s="126"/>
      <c r="P105" s="128"/>
      <c r="Q105" s="128"/>
      <c r="S105" s="128"/>
      <c r="X105" s="128"/>
      <c r="Z105" s="128"/>
      <c r="AF105" s="128"/>
      <c r="AM105" s="128"/>
    </row>
    <row r="106" spans="1:39" x14ac:dyDescent="0.2">
      <c r="A106"/>
      <c r="C106"/>
      <c r="D106"/>
      <c r="E106"/>
      <c r="H106" s="126"/>
      <c r="I106" s="128"/>
      <c r="J106" s="128"/>
      <c r="O106" s="126"/>
      <c r="P106" s="128"/>
      <c r="Q106" s="128"/>
      <c r="S106" s="128"/>
      <c r="X106" s="128"/>
      <c r="Z106" s="128"/>
      <c r="AF106" s="128"/>
      <c r="AM106" s="128"/>
    </row>
    <row r="107" spans="1:39" x14ac:dyDescent="0.2">
      <c r="A107"/>
      <c r="C107"/>
      <c r="D107"/>
      <c r="E107"/>
      <c r="H107" s="126"/>
      <c r="I107" s="128"/>
      <c r="J107" s="128"/>
      <c r="O107" s="126"/>
      <c r="P107" s="128"/>
      <c r="Q107" s="128"/>
      <c r="S107" s="128"/>
      <c r="X107" s="128"/>
      <c r="Z107" s="128"/>
      <c r="AF107" s="128"/>
      <c r="AM107" s="128"/>
    </row>
    <row r="108" spans="1:39" x14ac:dyDescent="0.2">
      <c r="A108"/>
      <c r="C108"/>
      <c r="D108"/>
      <c r="E108"/>
      <c r="H108" s="126"/>
      <c r="I108" s="128"/>
      <c r="J108" s="128"/>
      <c r="O108" s="126"/>
      <c r="P108" s="128"/>
      <c r="Q108" s="128"/>
      <c r="S108" s="128"/>
      <c r="X108" s="128"/>
      <c r="Z108" s="128"/>
      <c r="AF108" s="128"/>
      <c r="AM108" s="128"/>
    </row>
    <row r="109" spans="1:39" x14ac:dyDescent="0.2">
      <c r="A109"/>
      <c r="C109"/>
      <c r="D109"/>
      <c r="E109"/>
      <c r="H109" s="126"/>
      <c r="I109" s="128"/>
      <c r="J109" s="128"/>
      <c r="O109" s="126"/>
      <c r="P109" s="128"/>
      <c r="Q109" s="128"/>
      <c r="S109" s="128"/>
      <c r="X109" s="128"/>
      <c r="Z109" s="128"/>
      <c r="AF109" s="128"/>
      <c r="AM109" s="128"/>
    </row>
    <row r="110" spans="1:39" x14ac:dyDescent="0.2">
      <c r="A110"/>
      <c r="C110"/>
      <c r="D110"/>
      <c r="E110"/>
      <c r="H110" s="126"/>
      <c r="I110" s="128"/>
      <c r="J110" s="128"/>
      <c r="O110" s="126"/>
      <c r="P110" s="128"/>
      <c r="Q110" s="128"/>
      <c r="S110" s="128"/>
      <c r="X110" s="128"/>
      <c r="Z110" s="128"/>
      <c r="AF110" s="128"/>
      <c r="AM110" s="128"/>
    </row>
    <row r="111" spans="1:39" x14ac:dyDescent="0.2">
      <c r="A111"/>
      <c r="C111"/>
      <c r="D111"/>
      <c r="E111"/>
      <c r="H111" s="126"/>
      <c r="I111" s="128"/>
      <c r="J111" s="128"/>
      <c r="O111" s="126"/>
      <c r="P111" s="128"/>
      <c r="Q111" s="128"/>
      <c r="S111" s="128"/>
      <c r="X111" s="128"/>
      <c r="Z111" s="128"/>
      <c r="AF111" s="128"/>
      <c r="AM111" s="128"/>
    </row>
    <row r="112" spans="1:39" x14ac:dyDescent="0.2">
      <c r="A112"/>
      <c r="C112"/>
      <c r="D112"/>
      <c r="E112"/>
      <c r="H112" s="126"/>
      <c r="I112" s="128"/>
      <c r="J112" s="128"/>
      <c r="O112" s="126"/>
      <c r="P112" s="128"/>
      <c r="Q112" s="128"/>
      <c r="S112" s="128"/>
      <c r="X112" s="128"/>
      <c r="Z112" s="128"/>
      <c r="AF112" s="128"/>
      <c r="AM112" s="128"/>
    </row>
    <row r="113" spans="1:39" x14ac:dyDescent="0.2">
      <c r="A113"/>
      <c r="C113"/>
      <c r="D113"/>
      <c r="E113"/>
      <c r="H113" s="126"/>
      <c r="I113" s="128"/>
      <c r="J113" s="128"/>
      <c r="O113" s="126"/>
      <c r="P113" s="128"/>
      <c r="Q113" s="128"/>
      <c r="S113" s="128"/>
      <c r="X113" s="128"/>
      <c r="Z113" s="128"/>
      <c r="AF113" s="128"/>
      <c r="AM113" s="128"/>
    </row>
    <row r="114" spans="1:39" x14ac:dyDescent="0.2">
      <c r="A114"/>
      <c r="C114"/>
      <c r="D114"/>
      <c r="E114"/>
      <c r="H114" s="126"/>
      <c r="I114" s="128"/>
      <c r="J114" s="128"/>
      <c r="O114" s="126"/>
      <c r="P114" s="128"/>
      <c r="Q114" s="128"/>
      <c r="S114" s="128"/>
      <c r="X114" s="128"/>
      <c r="Z114" s="128"/>
      <c r="AF114" s="128"/>
      <c r="AM114" s="128"/>
    </row>
    <row r="115" spans="1:39" x14ac:dyDescent="0.2">
      <c r="A115"/>
      <c r="C115"/>
      <c r="D115"/>
      <c r="E115"/>
      <c r="H115" s="126"/>
      <c r="I115" s="128"/>
      <c r="J115" s="128"/>
      <c r="O115" s="126"/>
      <c r="P115" s="128"/>
      <c r="Q115" s="128"/>
      <c r="S115" s="128"/>
      <c r="X115" s="128"/>
      <c r="Z115" s="128"/>
      <c r="AF115" s="128"/>
      <c r="AM115" s="128"/>
    </row>
    <row r="116" spans="1:39" x14ac:dyDescent="0.2">
      <c r="A116"/>
      <c r="C116"/>
      <c r="D116"/>
      <c r="E116"/>
      <c r="I116" s="128"/>
      <c r="J116" s="128"/>
      <c r="O116" s="126"/>
      <c r="P116" s="128"/>
      <c r="Q116" s="128"/>
      <c r="S116" s="128"/>
      <c r="X116" s="128"/>
      <c r="Z116" s="128"/>
      <c r="AF116" s="128"/>
      <c r="AM116" s="128"/>
    </row>
    <row r="117" spans="1:39" x14ac:dyDescent="0.2">
      <c r="A117"/>
      <c r="C117"/>
      <c r="D117"/>
      <c r="E117"/>
      <c r="I117" s="128"/>
      <c r="J117" s="128"/>
      <c r="O117" s="126"/>
      <c r="P117" s="128"/>
      <c r="Q117" s="128"/>
      <c r="S117" s="128"/>
      <c r="X117" s="128"/>
      <c r="Z117" s="128"/>
      <c r="AF117" s="128"/>
      <c r="AM117" s="128"/>
    </row>
    <row r="118" spans="1:39" x14ac:dyDescent="0.2">
      <c r="A118"/>
      <c r="C118"/>
      <c r="D118"/>
      <c r="E118"/>
      <c r="I118" s="128"/>
      <c r="J118" s="128"/>
      <c r="O118" s="126"/>
      <c r="P118" s="128"/>
      <c r="Q118" s="128"/>
      <c r="S118" s="128"/>
      <c r="X118" s="128"/>
      <c r="Z118" s="128"/>
      <c r="AF118" s="128"/>
      <c r="AM118" s="128"/>
    </row>
    <row r="119" spans="1:39" x14ac:dyDescent="0.2">
      <c r="A119"/>
      <c r="C119"/>
      <c r="D119"/>
      <c r="E119"/>
      <c r="I119" s="128"/>
      <c r="J119" s="128"/>
      <c r="O119" s="126"/>
      <c r="P119" s="128"/>
      <c r="Q119" s="128"/>
      <c r="S119" s="128"/>
      <c r="X119" s="128"/>
      <c r="Z119" s="128"/>
      <c r="AF119" s="128"/>
      <c r="AM119" s="128"/>
    </row>
    <row r="120" spans="1:39" x14ac:dyDescent="0.2">
      <c r="A120"/>
      <c r="C120"/>
      <c r="D120"/>
      <c r="E120"/>
      <c r="I120" s="128"/>
      <c r="J120" s="128"/>
      <c r="O120" s="126"/>
      <c r="P120" s="128"/>
      <c r="Q120" s="128"/>
      <c r="S120" s="128"/>
      <c r="X120" s="128"/>
      <c r="Z120" s="128"/>
      <c r="AF120" s="128"/>
      <c r="AM120" s="128"/>
    </row>
    <row r="121" spans="1:39" x14ac:dyDescent="0.2">
      <c r="A121"/>
      <c r="C121"/>
      <c r="D121"/>
      <c r="E121"/>
      <c r="I121" s="128"/>
      <c r="J121" s="128"/>
      <c r="O121" s="126"/>
      <c r="P121" s="128"/>
      <c r="Q121" s="128"/>
      <c r="S121" s="128"/>
      <c r="X121" s="128"/>
      <c r="Z121" s="128"/>
      <c r="AF121" s="128"/>
      <c r="AM121" s="128"/>
    </row>
    <row r="122" spans="1:39" x14ac:dyDescent="0.2">
      <c r="A122"/>
      <c r="C122"/>
      <c r="D122"/>
      <c r="E122"/>
      <c r="I122" s="128"/>
      <c r="J122" s="128"/>
      <c r="O122" s="126"/>
      <c r="P122" s="128"/>
      <c r="Q122" s="128"/>
      <c r="S122" s="128"/>
      <c r="X122" s="128"/>
      <c r="Z122" s="128"/>
      <c r="AF122" s="128"/>
      <c r="AM122" s="128"/>
    </row>
    <row r="123" spans="1:39" x14ac:dyDescent="0.2">
      <c r="A123"/>
      <c r="C123"/>
      <c r="D123"/>
      <c r="E123"/>
      <c r="I123" s="128"/>
      <c r="J123" s="128"/>
      <c r="O123" s="126"/>
      <c r="P123" s="128"/>
      <c r="Q123" s="128"/>
      <c r="S123" s="128"/>
      <c r="X123" s="128"/>
      <c r="Z123" s="128"/>
      <c r="AF123" s="128"/>
      <c r="AM123" s="128"/>
    </row>
    <row r="124" spans="1:39" x14ac:dyDescent="0.2">
      <c r="A124"/>
      <c r="C124"/>
      <c r="D124"/>
      <c r="E124"/>
      <c r="I124" s="128"/>
      <c r="J124" s="128"/>
      <c r="O124" s="126"/>
      <c r="P124" s="128"/>
      <c r="Q124" s="128"/>
      <c r="S124" s="128"/>
      <c r="X124" s="128"/>
      <c r="Z124" s="128"/>
      <c r="AF124" s="128"/>
      <c r="AM124" s="128"/>
    </row>
    <row r="125" spans="1:39" x14ac:dyDescent="0.2">
      <c r="A125"/>
      <c r="C125"/>
      <c r="D125"/>
      <c r="E125"/>
      <c r="I125" s="128"/>
      <c r="J125" s="128"/>
      <c r="O125" s="126"/>
      <c r="P125" s="128"/>
      <c r="Q125" s="128"/>
      <c r="S125" s="128"/>
      <c r="X125" s="128"/>
      <c r="Z125" s="128"/>
      <c r="AF125" s="128"/>
      <c r="AM125" s="128"/>
    </row>
    <row r="126" spans="1:39" x14ac:dyDescent="0.2">
      <c r="A126"/>
      <c r="C126"/>
      <c r="D126"/>
      <c r="E126"/>
      <c r="I126" s="128"/>
      <c r="J126" s="128"/>
      <c r="O126" s="126"/>
      <c r="P126" s="128"/>
      <c r="Q126" s="128"/>
      <c r="S126" s="128"/>
      <c r="X126" s="128"/>
      <c r="Z126" s="128"/>
      <c r="AF126" s="128"/>
      <c r="AM126" s="128"/>
    </row>
    <row r="127" spans="1:39" x14ac:dyDescent="0.2">
      <c r="A127"/>
      <c r="C127"/>
      <c r="D127"/>
      <c r="E127"/>
      <c r="I127" s="128"/>
      <c r="J127" s="128"/>
      <c r="O127" s="126"/>
      <c r="P127" s="128"/>
      <c r="Q127" s="128"/>
      <c r="S127" s="128"/>
      <c r="X127" s="128"/>
      <c r="Z127" s="128"/>
      <c r="AF127" s="128"/>
      <c r="AM127" s="128"/>
    </row>
    <row r="128" spans="1:39" x14ac:dyDescent="0.2">
      <c r="A128"/>
      <c r="C128"/>
      <c r="D128"/>
      <c r="E128"/>
      <c r="I128" s="128"/>
      <c r="J128" s="128"/>
      <c r="O128" s="126"/>
      <c r="P128" s="128"/>
      <c r="Q128" s="128"/>
      <c r="S128" s="128"/>
      <c r="X128" s="128"/>
      <c r="Z128" s="128"/>
      <c r="AF128" s="128"/>
      <c r="AM128" s="128"/>
    </row>
    <row r="129" spans="1:39" x14ac:dyDescent="0.2">
      <c r="A129"/>
      <c r="C129"/>
      <c r="D129"/>
      <c r="E129"/>
      <c r="I129" s="128"/>
      <c r="J129" s="128"/>
      <c r="O129" s="126"/>
      <c r="P129" s="128"/>
      <c r="Q129" s="128"/>
      <c r="S129" s="128"/>
      <c r="X129" s="128"/>
      <c r="Z129" s="128"/>
      <c r="AF129" s="128"/>
      <c r="AM129" s="128"/>
    </row>
    <row r="130" spans="1:39" x14ac:dyDescent="0.2">
      <c r="A130"/>
      <c r="C130"/>
      <c r="D130"/>
      <c r="E130"/>
      <c r="I130" s="128"/>
      <c r="J130" s="128"/>
      <c r="O130" s="126"/>
      <c r="P130" s="128"/>
      <c r="Q130" s="128"/>
      <c r="S130" s="128"/>
      <c r="X130" s="128"/>
      <c r="Z130" s="128"/>
      <c r="AF130" s="128"/>
      <c r="AM130" s="128"/>
    </row>
    <row r="131" spans="1:39" x14ac:dyDescent="0.2">
      <c r="A131"/>
      <c r="C131"/>
      <c r="D131"/>
      <c r="E131"/>
      <c r="I131" s="128"/>
      <c r="J131" s="128"/>
      <c r="O131" s="126"/>
      <c r="P131" s="128"/>
      <c r="Q131" s="128"/>
      <c r="S131" s="128"/>
      <c r="X131" s="128"/>
      <c r="Z131" s="128"/>
      <c r="AF131" s="128"/>
      <c r="AM131" s="128"/>
    </row>
    <row r="132" spans="1:39" x14ac:dyDescent="0.2">
      <c r="A132"/>
      <c r="C132"/>
      <c r="D132"/>
      <c r="E132"/>
      <c r="I132" s="128"/>
      <c r="J132" s="128"/>
      <c r="O132" s="126"/>
      <c r="P132" s="128"/>
      <c r="Q132" s="128"/>
      <c r="S132" s="128"/>
      <c r="X132" s="128"/>
      <c r="Z132" s="128"/>
      <c r="AF132" s="128"/>
      <c r="AM132" s="128"/>
    </row>
    <row r="133" spans="1:39" x14ac:dyDescent="0.2">
      <c r="A133"/>
      <c r="C133"/>
      <c r="D133"/>
      <c r="E133"/>
      <c r="I133" s="128"/>
      <c r="J133" s="128"/>
      <c r="O133" s="126"/>
      <c r="P133" s="128"/>
      <c r="Q133" s="128"/>
      <c r="S133" s="128"/>
      <c r="X133" s="128"/>
      <c r="Z133" s="128"/>
      <c r="AF133" s="128"/>
      <c r="AM133" s="128"/>
    </row>
    <row r="134" spans="1:39" x14ac:dyDescent="0.2">
      <c r="A134"/>
      <c r="C134"/>
      <c r="D134"/>
      <c r="E134"/>
      <c r="I134" s="128"/>
      <c r="J134" s="128"/>
      <c r="O134" s="126"/>
      <c r="P134" s="128"/>
      <c r="Q134" s="128"/>
      <c r="S134" s="128"/>
      <c r="X134" s="128"/>
      <c r="Z134" s="128"/>
      <c r="AF134" s="128"/>
      <c r="AM134" s="128"/>
    </row>
    <row r="135" spans="1:39" x14ac:dyDescent="0.2">
      <c r="A135"/>
      <c r="C135"/>
      <c r="D135"/>
      <c r="E135"/>
      <c r="I135" s="128"/>
      <c r="J135" s="128"/>
      <c r="O135" s="126"/>
      <c r="P135" s="128"/>
      <c r="Q135" s="128"/>
      <c r="S135" s="128"/>
      <c r="X135" s="128"/>
      <c r="Z135" s="128"/>
      <c r="AF135" s="128"/>
      <c r="AM135" s="128"/>
    </row>
    <row r="136" spans="1:39" x14ac:dyDescent="0.2">
      <c r="A136"/>
      <c r="C136"/>
      <c r="D136"/>
      <c r="E136"/>
      <c r="I136" s="128"/>
      <c r="J136" s="128"/>
      <c r="O136" s="126"/>
      <c r="P136" s="128"/>
      <c r="Q136" s="128"/>
      <c r="S136" s="128"/>
      <c r="X136" s="128"/>
      <c r="Z136" s="128"/>
      <c r="AF136" s="128"/>
      <c r="AM136" s="128"/>
    </row>
    <row r="137" spans="1:39" x14ac:dyDescent="0.2">
      <c r="A137"/>
      <c r="C137"/>
      <c r="D137"/>
      <c r="E137"/>
      <c r="I137" s="128"/>
      <c r="J137" s="128"/>
      <c r="O137" s="126"/>
      <c r="P137" s="128"/>
      <c r="Q137" s="128"/>
      <c r="S137" s="128"/>
      <c r="X137" s="128"/>
      <c r="Z137" s="128"/>
      <c r="AF137" s="128"/>
      <c r="AM137" s="128"/>
    </row>
    <row r="138" spans="1:39" x14ac:dyDescent="0.2">
      <c r="A138"/>
      <c r="C138"/>
      <c r="D138"/>
      <c r="E138"/>
      <c r="I138" s="128"/>
      <c r="J138" s="128"/>
      <c r="O138" s="126"/>
      <c r="P138" s="128"/>
      <c r="Q138" s="128"/>
      <c r="S138" s="128"/>
      <c r="X138" s="128"/>
      <c r="Z138" s="128"/>
      <c r="AF138" s="128"/>
      <c r="AM138" s="128"/>
    </row>
    <row r="139" spans="1:39" x14ac:dyDescent="0.2">
      <c r="A139"/>
      <c r="C139"/>
      <c r="D139"/>
      <c r="E139"/>
      <c r="I139" s="128"/>
      <c r="J139" s="128"/>
      <c r="O139" s="126"/>
      <c r="P139" s="128"/>
      <c r="Q139" s="128"/>
      <c r="S139" s="128"/>
      <c r="X139" s="128"/>
      <c r="Z139" s="128"/>
      <c r="AF139" s="128"/>
      <c r="AM139" s="128"/>
    </row>
    <row r="140" spans="1:39" x14ac:dyDescent="0.2">
      <c r="A140"/>
      <c r="C140"/>
      <c r="D140"/>
      <c r="E140"/>
      <c r="I140" s="128"/>
      <c r="J140" s="128"/>
      <c r="O140" s="126"/>
      <c r="P140" s="128"/>
      <c r="Q140" s="128"/>
      <c r="S140" s="128"/>
      <c r="X140" s="128"/>
      <c r="Z140" s="128"/>
      <c r="AF140" s="128"/>
      <c r="AM140" s="128"/>
    </row>
    <row r="141" spans="1:39" x14ac:dyDescent="0.2">
      <c r="A141"/>
      <c r="C141"/>
      <c r="D141"/>
      <c r="E141"/>
      <c r="I141" s="128"/>
      <c r="J141" s="128"/>
      <c r="O141" s="126"/>
      <c r="P141" s="128"/>
      <c r="Q141" s="128"/>
      <c r="S141" s="128"/>
      <c r="X141" s="128"/>
      <c r="Z141" s="128"/>
      <c r="AF141" s="128"/>
      <c r="AM141" s="128"/>
    </row>
    <row r="142" spans="1:39" x14ac:dyDescent="0.2">
      <c r="A142"/>
      <c r="C142"/>
      <c r="D142"/>
      <c r="E142"/>
      <c r="I142" s="128"/>
      <c r="J142" s="128"/>
      <c r="O142" s="126"/>
      <c r="P142" s="128"/>
      <c r="Q142" s="128"/>
      <c r="S142" s="128"/>
      <c r="X142" s="128"/>
      <c r="Z142" s="128"/>
      <c r="AF142" s="128"/>
      <c r="AM142" s="128"/>
    </row>
    <row r="143" spans="1:39" x14ac:dyDescent="0.2">
      <c r="A143"/>
      <c r="C143"/>
      <c r="D143"/>
      <c r="E143"/>
      <c r="I143" s="128"/>
      <c r="J143" s="128"/>
      <c r="O143" s="126"/>
      <c r="P143" s="128"/>
      <c r="Q143" s="128"/>
      <c r="S143" s="128"/>
      <c r="X143" s="128"/>
      <c r="Z143" s="128"/>
      <c r="AF143" s="128"/>
      <c r="AM143" s="128"/>
    </row>
    <row r="144" spans="1:39" x14ac:dyDescent="0.2">
      <c r="A144"/>
      <c r="C144"/>
      <c r="D144"/>
      <c r="E144"/>
      <c r="I144" s="128"/>
      <c r="J144" s="128"/>
      <c r="O144" s="126"/>
      <c r="P144" s="128"/>
      <c r="Q144" s="128"/>
      <c r="S144" s="128"/>
      <c r="X144" s="128"/>
      <c r="Z144" s="128"/>
      <c r="AF144" s="128"/>
      <c r="AM144" s="128"/>
    </row>
    <row r="145" spans="1:39" x14ac:dyDescent="0.2">
      <c r="A145"/>
      <c r="C145"/>
      <c r="D145"/>
      <c r="E145"/>
      <c r="I145" s="128"/>
      <c r="J145" s="128"/>
      <c r="O145" s="126"/>
      <c r="P145" s="128"/>
      <c r="Q145" s="128"/>
      <c r="S145" s="128"/>
      <c r="X145" s="128"/>
      <c r="Z145" s="128"/>
      <c r="AF145" s="128"/>
      <c r="AM145" s="128"/>
    </row>
    <row r="146" spans="1:39" x14ac:dyDescent="0.2">
      <c r="A146"/>
      <c r="C146"/>
      <c r="D146"/>
      <c r="E146"/>
      <c r="I146" s="128"/>
      <c r="J146" s="128"/>
      <c r="O146" s="126"/>
      <c r="P146" s="128"/>
      <c r="Q146" s="128"/>
      <c r="S146" s="128"/>
      <c r="X146" s="128"/>
      <c r="Z146" s="128"/>
      <c r="AF146" s="128"/>
      <c r="AM146" s="128"/>
    </row>
    <row r="147" spans="1:39" x14ac:dyDescent="0.2">
      <c r="A147"/>
      <c r="C147"/>
      <c r="D147"/>
      <c r="E147"/>
      <c r="I147" s="128"/>
      <c r="J147" s="128"/>
      <c r="O147" s="126"/>
      <c r="P147" s="128"/>
      <c r="Q147" s="128"/>
      <c r="S147" s="128"/>
      <c r="X147" s="128"/>
      <c r="Z147" s="128"/>
      <c r="AF147" s="128"/>
      <c r="AM147" s="128"/>
    </row>
    <row r="148" spans="1:39" x14ac:dyDescent="0.2">
      <c r="A148"/>
      <c r="C148"/>
      <c r="D148"/>
      <c r="E148"/>
      <c r="I148" s="128"/>
      <c r="J148" s="128"/>
      <c r="O148" s="126"/>
      <c r="P148" s="128"/>
      <c r="Q148" s="128"/>
      <c r="S148" s="128"/>
      <c r="X148" s="128"/>
      <c r="Z148" s="128"/>
      <c r="AF148" s="128"/>
      <c r="AM148" s="128"/>
    </row>
    <row r="149" spans="1:39" x14ac:dyDescent="0.2">
      <c r="A149"/>
      <c r="C149"/>
      <c r="D149"/>
      <c r="E149"/>
      <c r="I149" s="128"/>
      <c r="J149" s="128"/>
      <c r="O149" s="126"/>
      <c r="P149" s="128"/>
      <c r="Q149" s="128"/>
      <c r="S149" s="128"/>
      <c r="X149" s="128"/>
      <c r="Z149" s="128"/>
      <c r="AF149" s="128"/>
      <c r="AM149" s="128"/>
    </row>
    <row r="150" spans="1:39" x14ac:dyDescent="0.2">
      <c r="A150"/>
      <c r="C150"/>
      <c r="D150"/>
      <c r="E150"/>
      <c r="I150" s="128"/>
      <c r="J150" s="128"/>
      <c r="O150" s="126"/>
      <c r="P150" s="128"/>
      <c r="Q150" s="128"/>
      <c r="S150" s="128"/>
      <c r="X150" s="128"/>
      <c r="Z150" s="128"/>
      <c r="AF150" s="128"/>
      <c r="AM150" s="128"/>
    </row>
    <row r="151" spans="1:39" x14ac:dyDescent="0.2">
      <c r="A151"/>
      <c r="C151"/>
      <c r="D151"/>
      <c r="E151"/>
      <c r="I151" s="128"/>
      <c r="J151" s="128"/>
      <c r="O151" s="126"/>
      <c r="P151" s="128"/>
      <c r="Q151" s="128"/>
      <c r="S151" s="128"/>
      <c r="X151" s="128"/>
      <c r="Z151" s="128"/>
      <c r="AF151" s="128"/>
      <c r="AM151" s="128"/>
    </row>
    <row r="152" spans="1:39" x14ac:dyDescent="0.2">
      <c r="A152"/>
      <c r="C152"/>
      <c r="D152"/>
      <c r="E152"/>
      <c r="I152" s="128"/>
      <c r="J152" s="128"/>
      <c r="O152" s="126"/>
      <c r="P152" s="128"/>
      <c r="Q152" s="128"/>
      <c r="S152" s="128"/>
      <c r="X152" s="128"/>
      <c r="Z152" s="128"/>
      <c r="AF152" s="128"/>
      <c r="AM152" s="128"/>
    </row>
    <row r="153" spans="1:39" x14ac:dyDescent="0.2">
      <c r="A153"/>
      <c r="C153"/>
      <c r="D153"/>
      <c r="E153"/>
      <c r="I153" s="128"/>
      <c r="J153" s="128"/>
      <c r="O153" s="126"/>
      <c r="P153" s="128"/>
      <c r="Q153" s="128"/>
      <c r="S153" s="128"/>
      <c r="X153" s="128"/>
      <c r="Z153" s="128"/>
      <c r="AF153" s="128"/>
      <c r="AM153" s="128"/>
    </row>
    <row r="154" spans="1:39" x14ac:dyDescent="0.2">
      <c r="A154"/>
      <c r="C154"/>
      <c r="D154"/>
      <c r="E154"/>
      <c r="I154" s="128"/>
      <c r="J154" s="128"/>
      <c r="O154" s="126"/>
      <c r="P154" s="128"/>
      <c r="Q154" s="128"/>
      <c r="S154" s="128"/>
      <c r="X154" s="128"/>
      <c r="Z154" s="128"/>
      <c r="AF154" s="128"/>
      <c r="AM154" s="128"/>
    </row>
    <row r="155" spans="1:39" x14ac:dyDescent="0.2">
      <c r="A155"/>
      <c r="C155"/>
      <c r="D155"/>
      <c r="E155"/>
      <c r="I155" s="128"/>
      <c r="J155" s="128"/>
      <c r="O155" s="126"/>
      <c r="P155" s="128"/>
      <c r="Q155" s="128"/>
      <c r="S155" s="128"/>
      <c r="X155" s="128"/>
      <c r="Z155" s="128"/>
      <c r="AF155" s="128"/>
      <c r="AM155" s="128"/>
    </row>
    <row r="156" spans="1:39" x14ac:dyDescent="0.2">
      <c r="A156"/>
      <c r="C156"/>
      <c r="D156"/>
      <c r="E156"/>
      <c r="I156" s="128"/>
      <c r="J156" s="128"/>
      <c r="O156" s="126"/>
      <c r="P156" s="128"/>
      <c r="Q156" s="128"/>
      <c r="S156" s="128"/>
      <c r="X156" s="128"/>
      <c r="Z156" s="128"/>
      <c r="AF156" s="128"/>
      <c r="AM156" s="128"/>
    </row>
    <row r="157" spans="1:39" x14ac:dyDescent="0.2">
      <c r="A157"/>
      <c r="C157"/>
      <c r="D157"/>
      <c r="E157"/>
      <c r="I157" s="128"/>
      <c r="J157" s="128"/>
      <c r="O157" s="126"/>
      <c r="P157" s="128"/>
      <c r="Q157" s="128"/>
      <c r="S157" s="128"/>
      <c r="X157" s="128"/>
      <c r="Z157" s="128"/>
      <c r="AF157" s="128"/>
      <c r="AM157" s="128"/>
    </row>
    <row r="158" spans="1:39" x14ac:dyDescent="0.2">
      <c r="A158"/>
      <c r="C158"/>
      <c r="D158"/>
      <c r="E158"/>
      <c r="I158" s="128"/>
      <c r="J158" s="128"/>
      <c r="O158" s="126"/>
      <c r="P158" s="128"/>
      <c r="Q158" s="128"/>
      <c r="S158" s="128"/>
      <c r="X158" s="128"/>
      <c r="Z158" s="128"/>
      <c r="AF158" s="128"/>
      <c r="AM158" s="128"/>
    </row>
    <row r="159" spans="1:39" x14ac:dyDescent="0.2">
      <c r="A159"/>
      <c r="C159"/>
      <c r="D159"/>
      <c r="E159"/>
      <c r="I159" s="128"/>
      <c r="J159" s="128"/>
      <c r="O159" s="126"/>
      <c r="P159" s="128"/>
      <c r="Q159" s="128"/>
      <c r="S159" s="128"/>
      <c r="X159" s="128"/>
      <c r="Z159" s="128"/>
      <c r="AF159" s="128"/>
      <c r="AM159" s="128"/>
    </row>
    <row r="160" spans="1:39" x14ac:dyDescent="0.2">
      <c r="A160"/>
      <c r="C160"/>
      <c r="D160"/>
      <c r="E160"/>
      <c r="I160" s="128"/>
      <c r="J160" s="128"/>
      <c r="O160" s="126"/>
      <c r="P160" s="128"/>
      <c r="Q160" s="128"/>
      <c r="S160" s="128"/>
      <c r="X160" s="128"/>
      <c r="Z160" s="128"/>
      <c r="AF160" s="128"/>
      <c r="AM160" s="128"/>
    </row>
    <row r="161" spans="1:39" x14ac:dyDescent="0.2">
      <c r="A161"/>
      <c r="C161"/>
      <c r="D161"/>
      <c r="E161"/>
      <c r="I161" s="128"/>
      <c r="J161" s="128"/>
      <c r="O161" s="126"/>
      <c r="P161" s="128"/>
      <c r="Q161" s="128"/>
      <c r="S161" s="128"/>
      <c r="X161" s="128"/>
      <c r="Z161" s="128"/>
      <c r="AF161" s="128"/>
      <c r="AM161" s="128"/>
    </row>
    <row r="162" spans="1:39" x14ac:dyDescent="0.2">
      <c r="A162"/>
      <c r="C162"/>
      <c r="D162"/>
      <c r="E162"/>
      <c r="I162" s="128"/>
      <c r="J162" s="128"/>
      <c r="O162" s="126"/>
      <c r="P162" s="128"/>
      <c r="Q162" s="128"/>
      <c r="S162" s="128"/>
      <c r="X162" s="128"/>
      <c r="Z162" s="128"/>
      <c r="AF162" s="128"/>
      <c r="AM162" s="128"/>
    </row>
    <row r="163" spans="1:39" x14ac:dyDescent="0.2">
      <c r="A163"/>
      <c r="C163"/>
      <c r="D163"/>
      <c r="E163"/>
      <c r="I163" s="128"/>
      <c r="J163" s="128"/>
      <c r="O163" s="126"/>
      <c r="P163" s="128"/>
      <c r="Q163" s="128"/>
      <c r="S163" s="128"/>
      <c r="X163" s="128"/>
      <c r="Z163" s="128"/>
      <c r="AF163" s="128"/>
      <c r="AM163" s="128"/>
    </row>
    <row r="164" spans="1:39" x14ac:dyDescent="0.2">
      <c r="A164"/>
      <c r="C164"/>
      <c r="D164"/>
      <c r="E164"/>
      <c r="I164" s="128"/>
      <c r="J164" s="128"/>
      <c r="O164" s="126"/>
      <c r="P164" s="128"/>
      <c r="Q164" s="128"/>
      <c r="S164" s="128"/>
      <c r="X164" s="128"/>
      <c r="Z164" s="128"/>
      <c r="AF164" s="128"/>
      <c r="AM164" s="128"/>
    </row>
    <row r="165" spans="1:39" x14ac:dyDescent="0.2">
      <c r="A165"/>
      <c r="C165"/>
      <c r="D165"/>
      <c r="E165"/>
      <c r="I165" s="128"/>
      <c r="J165" s="128"/>
      <c r="O165" s="126"/>
      <c r="P165" s="128"/>
      <c r="Q165" s="128"/>
      <c r="S165" s="128"/>
      <c r="X165" s="128"/>
      <c r="Z165" s="128"/>
      <c r="AF165" s="128"/>
      <c r="AM165" s="128"/>
    </row>
    <row r="166" spans="1:39" x14ac:dyDescent="0.2">
      <c r="A166"/>
      <c r="C166"/>
      <c r="D166"/>
      <c r="E166"/>
      <c r="I166" s="128"/>
      <c r="J166" s="128"/>
      <c r="O166" s="126"/>
      <c r="P166" s="128"/>
      <c r="Q166" s="128"/>
      <c r="S166" s="128"/>
      <c r="X166" s="128"/>
      <c r="Z166" s="128"/>
      <c r="AF166" s="128"/>
      <c r="AM166" s="128"/>
    </row>
    <row r="167" spans="1:39" x14ac:dyDescent="0.2">
      <c r="A167"/>
      <c r="C167"/>
      <c r="D167"/>
      <c r="E167"/>
      <c r="I167" s="128"/>
      <c r="J167" s="128"/>
      <c r="O167" s="126"/>
      <c r="P167" s="128"/>
      <c r="Q167" s="128"/>
      <c r="S167" s="128"/>
      <c r="X167" s="128"/>
      <c r="Z167" s="128"/>
      <c r="AF167" s="128"/>
      <c r="AM167" s="128"/>
    </row>
    <row r="168" spans="1:39" x14ac:dyDescent="0.2">
      <c r="A168"/>
      <c r="C168"/>
      <c r="D168"/>
      <c r="E168"/>
      <c r="I168" s="128"/>
      <c r="J168" s="128"/>
      <c r="O168" s="126"/>
      <c r="P168" s="128"/>
      <c r="Q168" s="128"/>
      <c r="S168" s="128"/>
      <c r="X168" s="128"/>
      <c r="Z168" s="128"/>
      <c r="AF168" s="128"/>
      <c r="AM168" s="128"/>
    </row>
    <row r="169" spans="1:39" x14ac:dyDescent="0.2">
      <c r="A169"/>
      <c r="C169"/>
      <c r="D169"/>
      <c r="E169"/>
      <c r="I169" s="128"/>
      <c r="J169" s="128"/>
      <c r="O169" s="126"/>
      <c r="P169" s="128"/>
      <c r="Q169" s="128"/>
      <c r="S169" s="128"/>
      <c r="X169" s="128"/>
      <c r="Z169" s="128"/>
      <c r="AF169" s="128"/>
      <c r="AM169" s="128"/>
    </row>
    <row r="170" spans="1:39" x14ac:dyDescent="0.2">
      <c r="A170"/>
      <c r="C170"/>
      <c r="D170"/>
      <c r="E170"/>
      <c r="I170" s="128"/>
      <c r="J170" s="128"/>
      <c r="O170" s="126"/>
      <c r="P170" s="128"/>
      <c r="Q170" s="128"/>
      <c r="S170" s="128"/>
      <c r="X170" s="128"/>
      <c r="Z170" s="128"/>
      <c r="AF170" s="128"/>
      <c r="AM170" s="128"/>
    </row>
    <row r="171" spans="1:39" x14ac:dyDescent="0.2">
      <c r="A171"/>
      <c r="C171"/>
      <c r="D171"/>
      <c r="E171"/>
      <c r="I171" s="128"/>
      <c r="J171" s="128"/>
      <c r="O171" s="126"/>
      <c r="P171" s="128"/>
      <c r="Q171" s="128"/>
      <c r="S171" s="128"/>
      <c r="X171" s="128"/>
      <c r="Z171" s="128"/>
      <c r="AF171" s="128"/>
      <c r="AM171" s="128"/>
    </row>
    <row r="172" spans="1:39" x14ac:dyDescent="0.2">
      <c r="A172"/>
      <c r="C172"/>
      <c r="D172"/>
      <c r="E172"/>
      <c r="I172" s="128"/>
      <c r="J172" s="128"/>
      <c r="O172" s="126"/>
      <c r="P172" s="128"/>
      <c r="Q172" s="128"/>
      <c r="S172" s="128"/>
      <c r="X172" s="128"/>
      <c r="Z172" s="128"/>
      <c r="AF172" s="128"/>
      <c r="AM172" s="128"/>
    </row>
    <row r="173" spans="1:39" x14ac:dyDescent="0.2">
      <c r="A173"/>
      <c r="C173"/>
      <c r="D173"/>
      <c r="E173"/>
      <c r="I173" s="128"/>
      <c r="J173" s="128"/>
      <c r="O173" s="126"/>
      <c r="P173" s="128"/>
      <c r="Q173" s="128"/>
      <c r="S173" s="128"/>
      <c r="X173" s="128"/>
      <c r="Z173" s="128"/>
      <c r="AF173" s="128"/>
      <c r="AM173" s="128"/>
    </row>
    <row r="174" spans="1:39" x14ac:dyDescent="0.2">
      <c r="A174"/>
      <c r="C174"/>
      <c r="D174"/>
      <c r="E174"/>
      <c r="I174" s="128"/>
      <c r="J174" s="128"/>
      <c r="O174" s="126"/>
      <c r="P174" s="128"/>
      <c r="Q174" s="128"/>
      <c r="S174" s="128"/>
      <c r="X174" s="128"/>
      <c r="Z174" s="128"/>
      <c r="AF174" s="128"/>
      <c r="AM174" s="128"/>
    </row>
    <row r="175" spans="1:39" x14ac:dyDescent="0.2">
      <c r="A175"/>
      <c r="C175"/>
      <c r="D175"/>
      <c r="E175"/>
      <c r="I175" s="128"/>
      <c r="J175" s="128"/>
      <c r="O175" s="126"/>
      <c r="P175" s="128"/>
      <c r="Q175" s="128"/>
      <c r="S175" s="128"/>
      <c r="X175" s="128"/>
      <c r="Z175" s="128"/>
      <c r="AF175" s="128"/>
      <c r="AM175" s="128"/>
    </row>
    <row r="176" spans="1:39" x14ac:dyDescent="0.2">
      <c r="A176"/>
      <c r="C176"/>
      <c r="D176"/>
      <c r="E176"/>
      <c r="I176" s="128"/>
      <c r="J176" s="128"/>
      <c r="O176" s="126"/>
      <c r="P176" s="128"/>
      <c r="Q176" s="128"/>
      <c r="S176" s="128"/>
      <c r="X176" s="128"/>
      <c r="Z176" s="128"/>
      <c r="AF176" s="128"/>
      <c r="AM176" s="128"/>
    </row>
    <row r="177" spans="1:39" x14ac:dyDescent="0.2">
      <c r="A177"/>
      <c r="C177"/>
      <c r="D177"/>
      <c r="E177"/>
      <c r="I177" s="128"/>
      <c r="J177" s="128"/>
      <c r="O177" s="126"/>
      <c r="P177" s="128"/>
      <c r="Q177" s="128"/>
      <c r="S177" s="128"/>
      <c r="X177" s="128"/>
      <c r="Z177" s="128"/>
      <c r="AF177" s="128"/>
      <c r="AM177" s="128"/>
    </row>
    <row r="178" spans="1:39" x14ac:dyDescent="0.2">
      <c r="A178"/>
      <c r="C178"/>
      <c r="D178"/>
      <c r="E178"/>
      <c r="I178" s="128"/>
      <c r="J178" s="128"/>
      <c r="O178" s="126"/>
      <c r="P178" s="128"/>
      <c r="Q178" s="128"/>
      <c r="S178" s="128"/>
      <c r="X178" s="128"/>
      <c r="Z178" s="128"/>
      <c r="AF178" s="128"/>
      <c r="AM178" s="128"/>
    </row>
    <row r="179" spans="1:39" x14ac:dyDescent="0.2">
      <c r="A179"/>
      <c r="C179"/>
      <c r="D179"/>
      <c r="E179"/>
      <c r="I179" s="128"/>
      <c r="J179" s="128"/>
      <c r="O179" s="126"/>
      <c r="P179" s="128"/>
      <c r="Q179" s="128"/>
      <c r="S179" s="128"/>
      <c r="X179" s="128"/>
      <c r="Z179" s="128"/>
      <c r="AF179" s="128"/>
      <c r="AM179" s="128"/>
    </row>
    <row r="180" spans="1:39" x14ac:dyDescent="0.2">
      <c r="A180"/>
      <c r="C180"/>
      <c r="D180"/>
      <c r="E180"/>
      <c r="I180" s="128"/>
      <c r="J180" s="128"/>
      <c r="O180" s="126"/>
      <c r="P180" s="128"/>
      <c r="Q180" s="128"/>
      <c r="S180" s="128"/>
      <c r="X180" s="128"/>
      <c r="Z180" s="128"/>
      <c r="AF180" s="128"/>
      <c r="AM180" s="128"/>
    </row>
    <row r="181" spans="1:39" x14ac:dyDescent="0.2">
      <c r="A181"/>
      <c r="C181"/>
      <c r="D181"/>
      <c r="E181"/>
      <c r="I181" s="128"/>
      <c r="J181" s="128"/>
      <c r="O181" s="126"/>
      <c r="P181" s="128"/>
      <c r="Q181" s="128"/>
      <c r="S181" s="128"/>
      <c r="X181" s="128"/>
      <c r="Z181" s="128"/>
      <c r="AF181" s="128"/>
      <c r="AM181" s="128"/>
    </row>
    <row r="182" spans="1:39" x14ac:dyDescent="0.2">
      <c r="A182"/>
      <c r="C182"/>
      <c r="D182"/>
      <c r="E182"/>
      <c r="I182" s="128"/>
      <c r="J182" s="128"/>
      <c r="O182" s="126"/>
      <c r="P182" s="128"/>
      <c r="Q182" s="128"/>
      <c r="S182" s="128"/>
      <c r="X182" s="128"/>
      <c r="Z182" s="128"/>
      <c r="AF182" s="128"/>
      <c r="AM182" s="128"/>
    </row>
    <row r="183" spans="1:39" x14ac:dyDescent="0.2">
      <c r="A183"/>
      <c r="C183"/>
      <c r="D183"/>
      <c r="E183"/>
      <c r="I183" s="128"/>
      <c r="J183" s="128"/>
      <c r="O183" s="126"/>
      <c r="P183" s="128"/>
      <c r="Q183" s="128"/>
      <c r="S183" s="128"/>
      <c r="X183" s="128"/>
      <c r="Z183" s="128"/>
      <c r="AF183" s="128"/>
      <c r="AM183" s="128"/>
    </row>
    <row r="184" spans="1:39" x14ac:dyDescent="0.2">
      <c r="A184"/>
      <c r="C184"/>
      <c r="D184"/>
      <c r="E184"/>
      <c r="I184" s="128"/>
      <c r="J184" s="128"/>
      <c r="O184" s="126"/>
      <c r="P184" s="128"/>
      <c r="Q184" s="128"/>
      <c r="S184" s="128"/>
      <c r="X184" s="128"/>
      <c r="Z184" s="128"/>
      <c r="AF184" s="128"/>
      <c r="AM184" s="128"/>
    </row>
    <row r="185" spans="1:39" x14ac:dyDescent="0.2">
      <c r="A185"/>
      <c r="C185"/>
      <c r="D185"/>
      <c r="E185"/>
      <c r="I185" s="128"/>
      <c r="J185" s="128"/>
      <c r="O185" s="126"/>
      <c r="P185" s="128"/>
      <c r="Q185" s="128"/>
      <c r="S185" s="128"/>
      <c r="X185" s="128"/>
      <c r="Z185" s="128"/>
      <c r="AF185" s="128"/>
      <c r="AM185" s="128"/>
    </row>
    <row r="186" spans="1:39" x14ac:dyDescent="0.2">
      <c r="A186"/>
      <c r="C186"/>
      <c r="D186"/>
      <c r="E186"/>
      <c r="I186" s="128"/>
      <c r="J186" s="128"/>
      <c r="O186" s="126"/>
      <c r="P186" s="128"/>
      <c r="Q186" s="128"/>
      <c r="S186" s="128"/>
      <c r="X186" s="128"/>
      <c r="Z186" s="128"/>
      <c r="AF186" s="128"/>
      <c r="AM186" s="128"/>
    </row>
    <row r="187" spans="1:39" x14ac:dyDescent="0.2">
      <c r="A187"/>
      <c r="C187"/>
      <c r="D187"/>
      <c r="E187"/>
      <c r="I187" s="128"/>
      <c r="O187" s="126"/>
      <c r="P187" s="128"/>
      <c r="S187" s="128"/>
      <c r="X187" s="128"/>
      <c r="Z187" s="128"/>
      <c r="AF187" s="128"/>
      <c r="AM187" s="128"/>
    </row>
    <row r="188" spans="1:39" x14ac:dyDescent="0.2">
      <c r="A188"/>
      <c r="C188"/>
      <c r="D188"/>
      <c r="E188"/>
      <c r="I188" s="128"/>
      <c r="O188" s="126"/>
      <c r="P188" s="128"/>
      <c r="S188" s="128"/>
      <c r="X188" s="128"/>
      <c r="Z188" s="128"/>
      <c r="AF188" s="128"/>
      <c r="AM188" s="128"/>
    </row>
    <row r="189" spans="1:39" x14ac:dyDescent="0.2">
      <c r="I189" s="128"/>
      <c r="O189" s="126"/>
      <c r="P189" s="128"/>
      <c r="S189" s="128"/>
      <c r="X189" s="128"/>
      <c r="Z189" s="128"/>
    </row>
    <row r="190" spans="1:39" s="9" customFormat="1" x14ac:dyDescent="0.2">
      <c r="A190" s="14"/>
      <c r="B190"/>
      <c r="C190" s="42"/>
      <c r="D190" s="42"/>
      <c r="E190" s="15"/>
      <c r="I190" s="129"/>
      <c r="P190" s="129"/>
      <c r="S190" s="129"/>
      <c r="X190" s="129"/>
      <c r="Z190" s="129"/>
    </row>
    <row r="191" spans="1:39" x14ac:dyDescent="0.2">
      <c r="I191" s="128"/>
      <c r="P191" s="128"/>
      <c r="S191" s="128"/>
      <c r="X191" s="128"/>
      <c r="Z191" s="128"/>
    </row>
    <row r="192" spans="1:39" x14ac:dyDescent="0.2">
      <c r="I192" s="128"/>
      <c r="P192" s="128"/>
      <c r="S192" s="128"/>
      <c r="X192" s="128"/>
      <c r="Z192" s="128"/>
    </row>
    <row r="193" spans="9:26" x14ac:dyDescent="0.2">
      <c r="I193" s="128"/>
      <c r="P193" s="128"/>
      <c r="Z193" s="128"/>
    </row>
    <row r="194" spans="9:26" x14ac:dyDescent="0.2">
      <c r="I194" s="128"/>
      <c r="P194" s="128"/>
      <c r="Z194" s="128"/>
    </row>
    <row r="195" spans="9:26" x14ac:dyDescent="0.2">
      <c r="P195" s="128"/>
      <c r="Z195" s="128"/>
    </row>
    <row r="196" spans="9:26" x14ac:dyDescent="0.2">
      <c r="P196" s="128"/>
      <c r="Z196" s="128"/>
    </row>
    <row r="197" spans="9:26" x14ac:dyDescent="0.2">
      <c r="P197" s="128"/>
      <c r="Z197" s="128"/>
    </row>
    <row r="198" spans="9:26" x14ac:dyDescent="0.2">
      <c r="P198" s="128"/>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L386"/>
  <sheetViews>
    <sheetView showGridLines="0" zoomScale="80" zoomScaleNormal="80" workbookViewId="0">
      <selection activeCell="O13" sqref="O13"/>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65.83203125" style="63" bestFit="1" customWidth="1"/>
    <col min="19" max="19" width="16.1640625" style="63" bestFit="1" customWidth="1"/>
    <col min="20" max="20" width="20.33203125" style="63" bestFit="1" customWidth="1"/>
    <col min="21" max="21" width="18.33203125" style="63" bestFit="1" customWidth="1"/>
    <col min="22" max="22" width="25.83203125" style="63" bestFit="1" customWidth="1"/>
    <col min="23" max="23" width="27.5" style="63" bestFit="1" customWidth="1"/>
    <col min="24" max="24" width="19.1640625" style="63" bestFit="1" customWidth="1"/>
    <col min="25" max="25" width="29.1640625" style="63" bestFit="1" customWidth="1"/>
    <col min="26" max="26" width="24.1640625" style="63" bestFit="1" customWidth="1"/>
    <col min="27" max="27" width="28.5" style="63" bestFit="1" customWidth="1"/>
    <col min="28" max="28" width="17.5" style="63" bestFit="1" customWidth="1"/>
    <col min="29" max="29" width="27.5" style="63" bestFit="1" customWidth="1"/>
    <col min="30" max="30" width="22.5" style="63" bestFit="1" customWidth="1"/>
    <col min="31" max="31" width="20.83203125" style="63" bestFit="1" customWidth="1"/>
    <col min="32" max="32" width="21.1640625" style="63" bestFit="1" customWidth="1"/>
    <col min="33" max="33" width="19.5" style="63" bestFit="1" customWidth="1"/>
    <col min="34" max="34" width="26" style="63" bestFit="1" customWidth="1"/>
    <col min="35" max="35" width="26.5" style="63" bestFit="1" customWidth="1"/>
    <col min="36" max="36" width="26" style="63" bestFit="1" customWidth="1"/>
    <col min="37" max="37" width="29.5" style="63" bestFit="1" customWidth="1"/>
    <col min="38" max="38" width="26.1640625" style="63" bestFit="1" customWidth="1"/>
    <col min="39" max="39" width="20.33203125" style="63" bestFit="1" customWidth="1"/>
    <col min="40" max="40" width="13.5" style="63" bestFit="1" customWidth="1"/>
    <col min="41" max="41" width="25" style="63" bestFit="1" customWidth="1"/>
    <col min="42" max="42" width="25.6640625" style="63" bestFit="1" customWidth="1"/>
    <col min="43" max="45" width="25.6640625" style="63" customWidth="1"/>
    <col min="46" max="47" width="25.6640625" customWidth="1"/>
    <col min="48" max="48" width="19.33203125" style="63" customWidth="1"/>
    <col min="49" max="49" width="21.6640625" style="63" customWidth="1"/>
    <col min="50" max="50" width="17" style="63" customWidth="1"/>
    <col min="51" max="51" width="16.1640625" style="63" customWidth="1"/>
    <col min="52" max="52" width="17.83203125" style="63" customWidth="1"/>
    <col min="53" max="53" width="18.33203125" style="63" customWidth="1"/>
    <col min="54" max="54" width="27.5" style="63" customWidth="1"/>
    <col min="55" max="55" width="31.33203125" style="63" customWidth="1"/>
    <col min="56" max="56" width="34.83203125" style="63" customWidth="1"/>
    <col min="57" max="64" width="31.33203125" style="63" customWidth="1"/>
    <col min="65" max="65" width="30" style="63" customWidth="1"/>
    <col min="66" max="66" width="12" style="63" customWidth="1"/>
    <col min="67" max="67" width="22" bestFit="1" customWidth="1"/>
    <col min="68" max="68" width="15" bestFit="1" customWidth="1"/>
    <col min="69" max="69" width="10.6640625" bestFit="1" customWidth="1"/>
    <col min="70" max="70" width="19.6640625" bestFit="1" customWidth="1"/>
    <col min="71" max="71" width="17.83203125" bestFit="1" customWidth="1"/>
    <col min="72" max="72" width="25.33203125" bestFit="1" customWidth="1"/>
    <col min="73" max="73" width="10.1640625" bestFit="1" customWidth="1"/>
    <col min="74" max="74" width="10.6640625" bestFit="1" customWidth="1"/>
    <col min="75" max="76" width="12.33203125" bestFit="1" customWidth="1"/>
    <col min="77" max="77" width="27" bestFit="1" customWidth="1"/>
    <col min="78" max="78" width="22.83203125" bestFit="1" customWidth="1"/>
    <col min="79" max="79" width="23.33203125" bestFit="1" customWidth="1"/>
    <col min="80" max="80" width="31.1640625" bestFit="1" customWidth="1"/>
    <col min="81" max="81" width="27" bestFit="1" customWidth="1"/>
    <col min="82" max="82" width="28.6640625" bestFit="1" customWidth="1"/>
    <col min="83" max="83" width="31.1640625" bestFit="1" customWidth="1"/>
    <col min="84" max="84" width="19.5" bestFit="1" customWidth="1"/>
    <col min="85" max="85" width="19" bestFit="1" customWidth="1"/>
    <col min="86" max="86" width="20.5" bestFit="1" customWidth="1"/>
    <col min="87" max="87" width="19" bestFit="1" customWidth="1"/>
    <col min="88" max="88" width="17.5" bestFit="1" customWidth="1"/>
    <col min="89" max="89" width="11" bestFit="1" customWidth="1"/>
    <col min="91" max="16384" width="9.33203125" style="63"/>
  </cols>
  <sheetData>
    <row r="1" spans="1:90" s="60" customFormat="1" ht="63.95" customHeight="1" x14ac:dyDescent="0.2">
      <c r="A1" s="69"/>
      <c r="B1" s="73"/>
      <c r="J1" s="61"/>
      <c r="O1" s="61"/>
      <c r="AT1"/>
      <c r="AU1"/>
      <c r="BO1"/>
      <c r="BP1"/>
      <c r="BQ1"/>
      <c r="BR1"/>
      <c r="BS1"/>
      <c r="BT1"/>
      <c r="BU1"/>
      <c r="BV1"/>
      <c r="BW1"/>
      <c r="BX1"/>
      <c r="BY1"/>
      <c r="BZ1"/>
      <c r="CA1"/>
      <c r="CB1"/>
      <c r="CC1"/>
      <c r="CD1"/>
      <c r="CE1"/>
      <c r="CF1"/>
      <c r="CG1"/>
      <c r="CH1"/>
      <c r="CI1"/>
      <c r="CJ1"/>
      <c r="CK1"/>
      <c r="CL1"/>
    </row>
    <row r="2" spans="1:90" s="60" customFormat="1" ht="32.1" customHeight="1" x14ac:dyDescent="0.2">
      <c r="A2" s="70" t="s">
        <v>13</v>
      </c>
      <c r="B2" s="73"/>
      <c r="S2" s="61"/>
      <c r="AT2"/>
      <c r="AU2"/>
      <c r="BO2"/>
      <c r="BP2"/>
      <c r="BQ2"/>
      <c r="BR2"/>
      <c r="BS2"/>
      <c r="BT2"/>
      <c r="BU2"/>
      <c r="BV2"/>
      <c r="BW2"/>
      <c r="BX2"/>
      <c r="BY2"/>
      <c r="BZ2"/>
      <c r="CA2"/>
      <c r="CB2"/>
      <c r="CC2"/>
      <c r="CD2"/>
      <c r="CE2"/>
      <c r="CF2"/>
      <c r="CG2"/>
      <c r="CH2"/>
      <c r="CI2"/>
      <c r="CJ2"/>
      <c r="CK2"/>
      <c r="CL2"/>
    </row>
    <row r="3" spans="1:90" s="62" customFormat="1" ht="16.5" customHeight="1" x14ac:dyDescent="0.2">
      <c r="A3" s="71" t="s">
        <v>39</v>
      </c>
      <c r="B3" s="74" t="s">
        <v>72</v>
      </c>
      <c r="C3" s="68" t="s">
        <v>60</v>
      </c>
      <c r="D3" s="68" t="s">
        <v>4</v>
      </c>
      <c r="E3" s="68" t="s">
        <v>73</v>
      </c>
      <c r="F3" s="68" t="s">
        <v>14</v>
      </c>
      <c r="G3" s="68" t="s">
        <v>71</v>
      </c>
      <c r="H3" s="68" t="s">
        <v>68</v>
      </c>
      <c r="I3" s="68" t="s">
        <v>74</v>
      </c>
      <c r="J3" s="68" t="s">
        <v>19</v>
      </c>
      <c r="K3" s="68" t="s">
        <v>112</v>
      </c>
      <c r="L3" s="68" t="s">
        <v>113</v>
      </c>
      <c r="M3" s="68" t="s">
        <v>114</v>
      </c>
      <c r="N3" s="68" t="s">
        <v>115</v>
      </c>
      <c r="O3" s="68" t="s">
        <v>77</v>
      </c>
      <c r="P3" s="68" t="s">
        <v>78</v>
      </c>
      <c r="Q3" s="68" t="s">
        <v>392</v>
      </c>
      <c r="R3" s="68" t="s">
        <v>393</v>
      </c>
      <c r="S3" s="68" t="s">
        <v>84</v>
      </c>
      <c r="T3" s="68" t="s">
        <v>81</v>
      </c>
      <c r="U3" s="68" t="s">
        <v>16</v>
      </c>
      <c r="V3" s="68" t="s">
        <v>85</v>
      </c>
      <c r="W3" s="68" t="s">
        <v>83</v>
      </c>
      <c r="X3" s="68" t="s">
        <v>130</v>
      </c>
      <c r="Y3" s="68" t="s">
        <v>129</v>
      </c>
      <c r="Z3" s="68" t="s">
        <v>128</v>
      </c>
      <c r="AA3" s="68" t="s">
        <v>127</v>
      </c>
      <c r="AB3" s="68" t="s">
        <v>126</v>
      </c>
      <c r="AC3" s="68" t="s">
        <v>131</v>
      </c>
      <c r="AD3" s="68" t="s">
        <v>125</v>
      </c>
      <c r="AE3" s="68" t="s">
        <v>136</v>
      </c>
      <c r="AF3" s="68" t="s">
        <v>197</v>
      </c>
      <c r="AG3" s="68" t="s">
        <v>132</v>
      </c>
      <c r="AH3" s="68" t="s">
        <v>124</v>
      </c>
      <c r="AI3" s="68" t="s">
        <v>123</v>
      </c>
      <c r="AJ3" s="68" t="s">
        <v>133</v>
      </c>
      <c r="AK3" s="68" t="s">
        <v>122</v>
      </c>
      <c r="AL3" s="68" t="s">
        <v>116</v>
      </c>
      <c r="AM3" s="68" t="s">
        <v>121</v>
      </c>
      <c r="AN3" s="68" t="s">
        <v>117</v>
      </c>
      <c r="AO3" s="68" t="s">
        <v>134</v>
      </c>
      <c r="AP3" s="68" t="s">
        <v>118</v>
      </c>
      <c r="AQ3" s="68" t="s">
        <v>119</v>
      </c>
      <c r="AR3" s="68" t="s">
        <v>135</v>
      </c>
      <c r="AS3" s="68" t="s">
        <v>196</v>
      </c>
      <c r="AT3" s="68" t="s">
        <v>23</v>
      </c>
      <c r="AU3" s="68" t="s">
        <v>338</v>
      </c>
      <c r="AV3" s="68" t="s">
        <v>242</v>
      </c>
      <c r="AW3" s="68" t="s">
        <v>243</v>
      </c>
      <c r="AX3" s="68" t="s">
        <v>219</v>
      </c>
      <c r="AY3" s="68" t="s">
        <v>218</v>
      </c>
      <c r="AZ3" s="68" t="s">
        <v>222</v>
      </c>
      <c r="BA3" s="68" t="s">
        <v>221</v>
      </c>
      <c r="BB3" s="68" t="s">
        <v>226</v>
      </c>
      <c r="BC3" s="68" t="s">
        <v>250</v>
      </c>
      <c r="BD3" s="113" t="s">
        <v>303</v>
      </c>
      <c r="BE3" s="113" t="s">
        <v>304</v>
      </c>
      <c r="BF3" s="113" t="s">
        <v>305</v>
      </c>
      <c r="BG3" s="113" t="s">
        <v>318</v>
      </c>
      <c r="BH3" s="113" t="s">
        <v>319</v>
      </c>
      <c r="BI3" s="113" t="s">
        <v>322</v>
      </c>
      <c r="BJ3" s="113" t="s">
        <v>320</v>
      </c>
      <c r="BK3" s="113" t="s">
        <v>340</v>
      </c>
      <c r="BL3" s="113" t="s">
        <v>321</v>
      </c>
      <c r="BM3" s="68" t="s">
        <v>259</v>
      </c>
      <c r="BN3"/>
      <c r="BO3"/>
      <c r="BP3"/>
      <c r="BQ3"/>
      <c r="BR3"/>
      <c r="BS3"/>
      <c r="BT3"/>
      <c r="BU3"/>
      <c r="BV3"/>
      <c r="BW3"/>
      <c r="BX3"/>
      <c r="BY3"/>
      <c r="BZ3"/>
      <c r="CA3"/>
      <c r="CB3"/>
      <c r="CC3"/>
      <c r="CD3"/>
      <c r="CE3"/>
      <c r="CF3"/>
      <c r="CG3"/>
      <c r="CH3"/>
      <c r="CI3"/>
      <c r="CJ3"/>
      <c r="CK3"/>
      <c r="CL3"/>
    </row>
    <row r="4" spans="1:90" x14ac:dyDescent="0.2">
      <c r="A4" s="103">
        <v>2</v>
      </c>
      <c r="B4" s="104"/>
      <c r="C4" s="77"/>
      <c r="D4" s="77"/>
      <c r="E4" s="77"/>
      <c r="F4" s="105"/>
      <c r="G4" s="77"/>
      <c r="H4" s="77"/>
      <c r="I4" s="77"/>
      <c r="J4" s="77"/>
      <c r="K4" s="77"/>
      <c r="L4" s="77"/>
      <c r="M4" s="77"/>
      <c r="N4" s="77"/>
      <c r="O4" s="77" t="s">
        <v>69</v>
      </c>
      <c r="P4" s="106">
        <v>1</v>
      </c>
      <c r="Q4" s="106">
        <v>8800</v>
      </c>
      <c r="R4" s="106" t="s">
        <v>394</v>
      </c>
      <c r="S4" s="107"/>
      <c r="T4" s="106"/>
      <c r="U4" s="77"/>
      <c r="V4" s="77"/>
      <c r="W4" s="77"/>
      <c r="X4" s="77"/>
      <c r="Y4" s="77"/>
      <c r="Z4" s="77"/>
      <c r="AA4" s="77"/>
      <c r="AB4" s="108"/>
      <c r="AC4" s="106"/>
      <c r="AD4" s="106"/>
      <c r="AE4" s="77"/>
      <c r="AF4" s="77"/>
      <c r="AG4" s="77"/>
      <c r="AH4" s="77"/>
      <c r="AI4" s="77"/>
      <c r="AJ4" s="77"/>
      <c r="AK4" s="77"/>
      <c r="AL4" s="77"/>
      <c r="AM4" s="77"/>
      <c r="AN4" s="77"/>
      <c r="AO4" s="77"/>
      <c r="AP4" s="77"/>
      <c r="AQ4" s="77"/>
      <c r="AR4" s="77" t="s">
        <v>244</v>
      </c>
      <c r="AS4" s="77">
        <v>0</v>
      </c>
      <c r="AT4" s="77">
        <v>1</v>
      </c>
      <c r="AV4" s="77">
        <v>12</v>
      </c>
      <c r="AW4" s="77"/>
      <c r="AX4" s="77"/>
      <c r="AY4" s="77"/>
      <c r="AZ4" s="77"/>
      <c r="BA4" s="77"/>
      <c r="BB4" s="77"/>
      <c r="BC4" s="77"/>
      <c r="BD4" s="77"/>
      <c r="BE4" s="77"/>
      <c r="BF4" s="77"/>
      <c r="BG4" s="77"/>
      <c r="BO4" s="63"/>
      <c r="BP4" s="63"/>
      <c r="BQ4" s="63"/>
      <c r="BR4" s="63"/>
      <c r="BS4" s="63"/>
      <c r="BT4" s="63"/>
      <c r="BU4" s="63"/>
      <c r="BV4" s="63"/>
      <c r="BW4" s="63"/>
      <c r="BX4" s="63"/>
      <c r="BY4" s="63"/>
      <c r="BZ4" s="63"/>
      <c r="CA4" s="63"/>
      <c r="CB4" s="63"/>
      <c r="CC4" s="63"/>
      <c r="CD4" s="63"/>
      <c r="CE4" s="63"/>
      <c r="CF4" s="63"/>
      <c r="CG4" s="63"/>
      <c r="CH4" s="63"/>
      <c r="CI4" s="63"/>
      <c r="CJ4" s="63"/>
      <c r="CK4" s="63"/>
      <c r="CL4" s="63"/>
    </row>
    <row r="5" spans="1:90" x14ac:dyDescent="0.2">
      <c r="A5" s="103">
        <v>3</v>
      </c>
      <c r="B5" s="106" t="s">
        <v>270</v>
      </c>
      <c r="C5" s="77" t="s">
        <v>61</v>
      </c>
      <c r="D5" s="77" t="s">
        <v>141</v>
      </c>
      <c r="E5" s="77" t="s">
        <v>271</v>
      </c>
      <c r="F5" s="105" t="s">
        <v>69</v>
      </c>
      <c r="G5" s="77" t="s">
        <v>65</v>
      </c>
      <c r="H5" s="77" t="s">
        <v>75</v>
      </c>
      <c r="I5" s="77" t="s">
        <v>28</v>
      </c>
      <c r="J5" s="107" t="s">
        <v>36</v>
      </c>
      <c r="K5" s="77">
        <v>888</v>
      </c>
      <c r="L5" s="77">
        <v>500</v>
      </c>
      <c r="M5" s="77">
        <v>1500</v>
      </c>
      <c r="N5" s="77">
        <v>27</v>
      </c>
      <c r="O5" s="107" t="s">
        <v>25</v>
      </c>
      <c r="P5" s="106">
        <v>2</v>
      </c>
      <c r="Q5" s="106">
        <v>45</v>
      </c>
      <c r="R5" s="106" t="s">
        <v>394</v>
      </c>
      <c r="S5" s="107" t="s">
        <v>79</v>
      </c>
      <c r="T5" s="106">
        <v>3</v>
      </c>
      <c r="U5" s="77" t="s">
        <v>29</v>
      </c>
      <c r="V5" s="77">
        <v>1</v>
      </c>
      <c r="W5" s="77">
        <v>2</v>
      </c>
      <c r="X5" s="77" t="s">
        <v>91</v>
      </c>
      <c r="Y5" s="77">
        <v>40</v>
      </c>
      <c r="Z5" s="77">
        <v>53</v>
      </c>
      <c r="AA5" s="77">
        <v>25</v>
      </c>
      <c r="AB5" s="108" t="s">
        <v>31</v>
      </c>
      <c r="AC5" s="106">
        <v>26</v>
      </c>
      <c r="AD5" s="106">
        <v>55</v>
      </c>
      <c r="AE5" s="77">
        <v>5</v>
      </c>
      <c r="AF5" s="77" t="b">
        <v>0</v>
      </c>
      <c r="AG5" s="77"/>
      <c r="AH5" s="77"/>
      <c r="AI5" s="77"/>
      <c r="AJ5" s="77"/>
      <c r="AK5" s="77"/>
      <c r="AL5" s="77"/>
      <c r="AM5" s="77"/>
      <c r="AN5" s="77"/>
      <c r="AO5" s="77"/>
      <c r="AP5" s="77"/>
      <c r="AQ5" s="77"/>
      <c r="AR5" s="77" t="s">
        <v>200</v>
      </c>
      <c r="AS5" s="77">
        <v>0</v>
      </c>
      <c r="AT5" s="77">
        <v>1</v>
      </c>
      <c r="AV5" s="77">
        <v>5</v>
      </c>
      <c r="AW5" s="77"/>
      <c r="AX5" s="77">
        <v>1513</v>
      </c>
      <c r="AY5" s="77">
        <v>1403</v>
      </c>
      <c r="AZ5" s="77">
        <v>1482</v>
      </c>
      <c r="BA5" s="77">
        <v>1323</v>
      </c>
      <c r="BB5" s="77">
        <v>1403</v>
      </c>
      <c r="BC5" s="77">
        <v>1508</v>
      </c>
      <c r="BD5" s="77">
        <v>1411</v>
      </c>
      <c r="BE5" s="77">
        <v>1482</v>
      </c>
      <c r="BF5" s="77">
        <v>1359</v>
      </c>
      <c r="BG5" s="77">
        <v>100</v>
      </c>
      <c r="BH5" s="63">
        <v>50</v>
      </c>
      <c r="BI5" s="63">
        <v>4429</v>
      </c>
      <c r="BJ5" s="63">
        <v>2.3252249999999999E-2</v>
      </c>
      <c r="BK5" s="63">
        <v>4287</v>
      </c>
      <c r="BL5" s="63">
        <v>6.4369305000000002E-3</v>
      </c>
      <c r="BO5" s="63"/>
      <c r="BP5" s="63"/>
      <c r="BQ5" s="63"/>
      <c r="BR5" s="63"/>
      <c r="BS5" s="63"/>
      <c r="BT5" s="63"/>
      <c r="BU5" s="63"/>
      <c r="BV5" s="63"/>
      <c r="BW5" s="63"/>
      <c r="BX5" s="63"/>
      <c r="BY5" s="63"/>
      <c r="BZ5" s="63"/>
      <c r="CA5" s="63"/>
      <c r="CB5" s="63"/>
      <c r="CC5" s="63"/>
      <c r="CD5" s="63"/>
      <c r="CE5" s="63"/>
      <c r="CF5" s="63"/>
      <c r="CG5" s="63"/>
      <c r="CH5" s="63"/>
      <c r="CI5" s="63"/>
      <c r="CJ5" s="63"/>
      <c r="CK5" s="63"/>
      <c r="CL5" s="63"/>
    </row>
    <row r="6" spans="1:90" x14ac:dyDescent="0.2">
      <c r="A6" s="103">
        <v>9</v>
      </c>
      <c r="B6" s="106" t="s">
        <v>270</v>
      </c>
      <c r="C6" s="77" t="s">
        <v>61</v>
      </c>
      <c r="D6" s="77" t="s">
        <v>245</v>
      </c>
      <c r="E6" s="77" t="s">
        <v>272</v>
      </c>
      <c r="F6" s="105" t="s">
        <v>69</v>
      </c>
      <c r="G6" s="77" t="s">
        <v>67</v>
      </c>
      <c r="H6" s="77" t="s">
        <v>75</v>
      </c>
      <c r="I6" s="77" t="s">
        <v>28</v>
      </c>
      <c r="J6" s="107" t="s">
        <v>36</v>
      </c>
      <c r="K6" s="77">
        <v>400</v>
      </c>
      <c r="L6" s="77">
        <v>500</v>
      </c>
      <c r="M6" s="77">
        <v>1800</v>
      </c>
      <c r="N6" s="77">
        <v>27</v>
      </c>
      <c r="O6" s="107" t="s">
        <v>25</v>
      </c>
      <c r="P6" s="106">
        <v>2</v>
      </c>
      <c r="Q6" s="106"/>
      <c r="R6" s="106"/>
      <c r="S6" s="107" t="s">
        <v>79</v>
      </c>
      <c r="T6" s="106">
        <v>3</v>
      </c>
      <c r="U6" s="77" t="s">
        <v>29</v>
      </c>
      <c r="V6" s="77">
        <v>1</v>
      </c>
      <c r="W6" s="77">
        <v>2</v>
      </c>
      <c r="X6" s="77" t="s">
        <v>91</v>
      </c>
      <c r="Y6" s="77">
        <v>45</v>
      </c>
      <c r="Z6" s="77">
        <v>57</v>
      </c>
      <c r="AA6" s="77">
        <v>25</v>
      </c>
      <c r="AB6" s="108" t="s">
        <v>31</v>
      </c>
      <c r="AC6" s="106">
        <v>26</v>
      </c>
      <c r="AD6" s="106">
        <v>57</v>
      </c>
      <c r="AE6" s="77">
        <v>5</v>
      </c>
      <c r="AF6" s="77" t="b">
        <v>0</v>
      </c>
      <c r="AG6" s="77"/>
      <c r="AH6" s="77"/>
      <c r="AI6" s="77"/>
      <c r="AJ6" s="77"/>
      <c r="AK6" s="77"/>
      <c r="AL6" s="77"/>
      <c r="AM6" s="77"/>
      <c r="AN6" s="77"/>
      <c r="AO6" s="77"/>
      <c r="AP6" s="77"/>
      <c r="AQ6" s="77"/>
      <c r="AR6" s="77" t="s">
        <v>200</v>
      </c>
      <c r="AS6" s="77">
        <v>0</v>
      </c>
      <c r="AT6" s="77">
        <v>0</v>
      </c>
      <c r="AV6" s="77">
        <v>5</v>
      </c>
      <c r="AW6" s="77"/>
      <c r="AX6" s="77">
        <v>1813</v>
      </c>
      <c r="AY6" s="77">
        <v>959</v>
      </c>
      <c r="AZ6" s="77">
        <v>1782</v>
      </c>
      <c r="BA6" s="77">
        <v>943</v>
      </c>
      <c r="BB6" s="77">
        <v>959</v>
      </c>
      <c r="BC6" s="77">
        <v>1808</v>
      </c>
      <c r="BD6" s="77">
        <v>967</v>
      </c>
      <c r="BE6" s="77"/>
      <c r="BF6" s="77"/>
      <c r="BG6" s="77">
        <v>100</v>
      </c>
      <c r="BH6" s="63">
        <v>38</v>
      </c>
      <c r="BI6" s="63">
        <v>4585</v>
      </c>
      <c r="BJ6" s="63">
        <v>1.8294149999999999E-2</v>
      </c>
      <c r="BK6" s="63">
        <v>4507</v>
      </c>
      <c r="BL6" s="63">
        <v>7.0133427000000003E-3</v>
      </c>
      <c r="BO6" s="63"/>
      <c r="BP6" s="63"/>
      <c r="BQ6" s="63"/>
      <c r="BR6" s="63"/>
      <c r="BS6" s="63"/>
      <c r="BT6" s="63"/>
      <c r="BU6" s="63"/>
      <c r="BV6" s="63"/>
      <c r="BW6" s="63"/>
      <c r="BX6" s="63"/>
      <c r="BY6" s="63"/>
      <c r="BZ6" s="63"/>
      <c r="CA6" s="63"/>
      <c r="CB6" s="63"/>
      <c r="CC6" s="63"/>
      <c r="CD6" s="63"/>
      <c r="CE6" s="63"/>
      <c r="CF6" s="63"/>
      <c r="CG6" s="63"/>
      <c r="CH6" s="63"/>
      <c r="CI6" s="63"/>
      <c r="CJ6" s="63"/>
      <c r="CK6" s="63"/>
      <c r="CL6" s="63"/>
    </row>
    <row r="7" spans="1:90" x14ac:dyDescent="0.2">
      <c r="A7" s="103">
        <v>13</v>
      </c>
      <c r="B7" s="106" t="s">
        <v>270</v>
      </c>
      <c r="C7" s="77" t="s">
        <v>61</v>
      </c>
      <c r="D7" s="77" t="s">
        <v>245</v>
      </c>
      <c r="E7" s="77" t="s">
        <v>272</v>
      </c>
      <c r="F7" s="105" t="s">
        <v>69</v>
      </c>
      <c r="G7" s="77" t="s">
        <v>67</v>
      </c>
      <c r="H7" s="77" t="s">
        <v>75</v>
      </c>
      <c r="I7" s="77" t="s">
        <v>28</v>
      </c>
      <c r="J7" s="107" t="s">
        <v>36</v>
      </c>
      <c r="K7" s="77">
        <v>444</v>
      </c>
      <c r="L7" s="77">
        <v>500</v>
      </c>
      <c r="M7" s="77">
        <v>1800</v>
      </c>
      <c r="N7" s="77">
        <v>27</v>
      </c>
      <c r="O7" s="107" t="s">
        <v>25</v>
      </c>
      <c r="P7" s="106">
        <v>2</v>
      </c>
      <c r="Q7" s="106">
        <v>455</v>
      </c>
      <c r="R7" s="106"/>
      <c r="S7" s="107" t="s">
        <v>79</v>
      </c>
      <c r="T7" s="106">
        <v>3</v>
      </c>
      <c r="U7" s="77" t="s">
        <v>29</v>
      </c>
      <c r="V7" s="77">
        <v>1</v>
      </c>
      <c r="W7" s="77">
        <v>2</v>
      </c>
      <c r="X7" s="77" t="s">
        <v>91</v>
      </c>
      <c r="Y7" s="77">
        <v>30</v>
      </c>
      <c r="Z7" s="77">
        <v>64</v>
      </c>
      <c r="AA7" s="77">
        <v>25</v>
      </c>
      <c r="AB7" s="108" t="s">
        <v>31</v>
      </c>
      <c r="AC7" s="106">
        <v>26</v>
      </c>
      <c r="AD7" s="106">
        <v>57</v>
      </c>
      <c r="AE7" s="77">
        <v>5</v>
      </c>
      <c r="AF7" s="77" t="b">
        <v>1</v>
      </c>
      <c r="AG7" s="77" t="s">
        <v>89</v>
      </c>
      <c r="AH7" s="77">
        <v>10</v>
      </c>
      <c r="AI7" s="77">
        <v>5</v>
      </c>
      <c r="AJ7" s="77" t="s">
        <v>90</v>
      </c>
      <c r="AK7" s="77">
        <v>200</v>
      </c>
      <c r="AL7" s="77">
        <v>300</v>
      </c>
      <c r="AM7" s="77">
        <v>600</v>
      </c>
      <c r="AN7" s="77" t="s">
        <v>91</v>
      </c>
      <c r="AO7" s="77">
        <v>400</v>
      </c>
      <c r="AP7" s="77">
        <v>550</v>
      </c>
      <c r="AQ7" s="77">
        <v>600</v>
      </c>
      <c r="AR7" s="77" t="s">
        <v>200</v>
      </c>
      <c r="AS7" s="77">
        <v>0</v>
      </c>
      <c r="AT7" s="77">
        <v>1</v>
      </c>
      <c r="AV7" s="77">
        <v>5</v>
      </c>
      <c r="AW7" s="77"/>
      <c r="AX7" s="77">
        <v>1813</v>
      </c>
      <c r="AY7" s="77">
        <v>959</v>
      </c>
      <c r="AZ7" s="77">
        <v>1782</v>
      </c>
      <c r="BA7" s="77">
        <v>899</v>
      </c>
      <c r="BB7" s="77">
        <v>959</v>
      </c>
      <c r="BC7" s="77">
        <v>1208</v>
      </c>
      <c r="BD7" s="77">
        <v>967</v>
      </c>
      <c r="BE7" s="77">
        <v>1182</v>
      </c>
      <c r="BF7" s="77">
        <v>915</v>
      </c>
      <c r="BG7" s="77">
        <v>100</v>
      </c>
      <c r="BH7" s="63">
        <v>38</v>
      </c>
      <c r="BI7" s="63">
        <v>4585</v>
      </c>
      <c r="BJ7" s="63">
        <v>1.8294149999999999E-2</v>
      </c>
      <c r="BK7" s="63">
        <v>4463</v>
      </c>
      <c r="BL7" s="63">
        <v>6.9448743000000007E-3</v>
      </c>
      <c r="BO7" s="63"/>
      <c r="BP7" s="63"/>
      <c r="BQ7" s="63"/>
      <c r="BR7" s="63"/>
      <c r="BS7" s="63"/>
      <c r="BT7" s="63"/>
      <c r="BU7" s="63"/>
      <c r="BV7" s="63"/>
      <c r="BW7" s="63"/>
      <c r="BX7" s="63"/>
      <c r="BY7" s="63"/>
      <c r="BZ7" s="63"/>
      <c r="CA7" s="63"/>
      <c r="CB7" s="63"/>
      <c r="CC7" s="63"/>
      <c r="CD7" s="63"/>
      <c r="CE7" s="63"/>
      <c r="CF7" s="63"/>
      <c r="CG7" s="63"/>
      <c r="CH7" s="63"/>
      <c r="CI7" s="63"/>
      <c r="CJ7" s="63"/>
      <c r="CK7" s="63"/>
      <c r="CL7" s="63"/>
    </row>
    <row r="8" spans="1:90" x14ac:dyDescent="0.2">
      <c r="A8" s="103">
        <v>14</v>
      </c>
      <c r="B8" s="106" t="s">
        <v>270</v>
      </c>
      <c r="C8" s="77" t="s">
        <v>61</v>
      </c>
      <c r="D8" s="77" t="s">
        <v>245</v>
      </c>
      <c r="E8" s="77" t="s">
        <v>272</v>
      </c>
      <c r="F8" s="105" t="s">
        <v>69</v>
      </c>
      <c r="G8" s="77" t="s">
        <v>67</v>
      </c>
      <c r="H8" s="77" t="s">
        <v>75</v>
      </c>
      <c r="I8" s="77" t="s">
        <v>28</v>
      </c>
      <c r="J8" s="107" t="s">
        <v>36</v>
      </c>
      <c r="K8" s="77">
        <v>444</v>
      </c>
      <c r="L8" s="77">
        <v>500</v>
      </c>
      <c r="M8" s="77">
        <v>1800</v>
      </c>
      <c r="N8" s="77">
        <v>27</v>
      </c>
      <c r="O8" s="107" t="s">
        <v>25</v>
      </c>
      <c r="P8" s="106">
        <v>2</v>
      </c>
      <c r="Q8" s="106"/>
      <c r="R8" s="106"/>
      <c r="S8" s="107" t="s">
        <v>79</v>
      </c>
      <c r="T8" s="106">
        <v>3</v>
      </c>
      <c r="U8" s="77" t="s">
        <v>29</v>
      </c>
      <c r="V8" s="77">
        <v>1</v>
      </c>
      <c r="W8" s="77">
        <v>2</v>
      </c>
      <c r="X8" s="77" t="s">
        <v>91</v>
      </c>
      <c r="Y8" s="77">
        <v>35</v>
      </c>
      <c r="Z8" s="77">
        <v>62</v>
      </c>
      <c r="AA8" s="77">
        <v>25</v>
      </c>
      <c r="AB8" s="108" t="s">
        <v>31</v>
      </c>
      <c r="AC8" s="106">
        <v>26</v>
      </c>
      <c r="AD8" s="106">
        <v>57</v>
      </c>
      <c r="AE8" s="77">
        <v>5</v>
      </c>
      <c r="AF8" s="77" t="b">
        <v>0</v>
      </c>
      <c r="AG8" s="77"/>
      <c r="AH8" s="77"/>
      <c r="AI8" s="77"/>
      <c r="AJ8" s="77"/>
      <c r="AK8" s="77"/>
      <c r="AL8" s="77"/>
      <c r="AM8" s="77"/>
      <c r="AN8" s="77"/>
      <c r="AO8" s="77"/>
      <c r="AP8" s="77"/>
      <c r="AQ8" s="77"/>
      <c r="AR8" s="77" t="s">
        <v>200</v>
      </c>
      <c r="AS8" s="77">
        <v>0</v>
      </c>
      <c r="AT8" s="77">
        <v>1</v>
      </c>
      <c r="AV8" s="77">
        <v>5</v>
      </c>
      <c r="AW8" s="77"/>
      <c r="AX8" s="77">
        <v>1813</v>
      </c>
      <c r="AY8" s="77">
        <v>959</v>
      </c>
      <c r="AZ8" s="77">
        <v>1782</v>
      </c>
      <c r="BA8" s="77">
        <v>889</v>
      </c>
      <c r="BB8" s="77">
        <v>959</v>
      </c>
      <c r="BC8" s="77">
        <v>1808</v>
      </c>
      <c r="BD8" s="77">
        <v>967</v>
      </c>
      <c r="BE8" s="77">
        <v>1782</v>
      </c>
      <c r="BF8" s="77">
        <v>915</v>
      </c>
      <c r="BG8" s="77">
        <v>100</v>
      </c>
      <c r="BH8" s="63">
        <v>50</v>
      </c>
      <c r="BI8" s="63">
        <v>4585</v>
      </c>
      <c r="BJ8" s="63">
        <v>2.4071249999999999E-2</v>
      </c>
      <c r="BK8" s="63">
        <v>4453</v>
      </c>
      <c r="BL8" s="63">
        <v>6.9293133000000008E-3</v>
      </c>
      <c r="BO8" s="63"/>
      <c r="BP8" s="63"/>
      <c r="BQ8" s="63"/>
      <c r="BR8" s="63"/>
      <c r="BS8" s="63"/>
      <c r="BT8" s="63"/>
      <c r="BU8" s="63"/>
      <c r="BV8" s="63"/>
      <c r="BW8" s="63"/>
      <c r="BX8" s="63"/>
      <c r="BY8" s="63"/>
      <c r="BZ8" s="63"/>
      <c r="CA8" s="63"/>
      <c r="CB8" s="63"/>
      <c r="CC8" s="63"/>
      <c r="CD8" s="63"/>
      <c r="CE8" s="63"/>
      <c r="CF8" s="63"/>
      <c r="CG8" s="63"/>
      <c r="CH8" s="63"/>
      <c r="CI8" s="63"/>
      <c r="CJ8" s="63"/>
      <c r="CK8" s="63"/>
      <c r="CL8" s="63"/>
    </row>
    <row r="9" spans="1:90"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O9" s="63"/>
      <c r="BP9" s="63"/>
      <c r="BQ9" s="63"/>
      <c r="BR9" s="63"/>
      <c r="BS9" s="63"/>
      <c r="BT9" s="63"/>
      <c r="BU9" s="63"/>
      <c r="BV9" s="63"/>
      <c r="BW9" s="63"/>
      <c r="BX9" s="63"/>
      <c r="BY9" s="63"/>
      <c r="BZ9" s="63"/>
      <c r="CA9" s="63"/>
      <c r="CB9" s="63"/>
      <c r="CC9" s="63"/>
      <c r="CD9" s="63"/>
      <c r="CE9" s="63"/>
      <c r="CF9" s="63"/>
      <c r="CG9" s="63"/>
      <c r="CH9" s="63"/>
      <c r="CI9" s="63"/>
      <c r="CJ9" s="63"/>
      <c r="CK9" s="63"/>
      <c r="CL9" s="63"/>
    </row>
    <row r="10" spans="1:90"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row>
    <row r="11" spans="1:90"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row>
    <row r="12" spans="1:90"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row>
    <row r="13" spans="1:90"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row>
    <row r="14" spans="1:90"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row>
    <row r="15" spans="1:90"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row>
    <row r="16" spans="1:90"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row>
    <row r="17" spans="1:90"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row>
    <row r="18" spans="1:90"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row>
    <row r="19" spans="1:90"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90"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90"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90"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90"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90" x14ac:dyDescent="0.2">
      <c r="A24" s="103"/>
      <c r="B24" s="104"/>
      <c r="C24" s="77"/>
      <c r="D24" s="77"/>
      <c r="E24" s="77"/>
      <c r="F24" s="105"/>
      <c r="G24" s="77"/>
      <c r="H24" s="77"/>
      <c r="I24" s="77"/>
      <c r="J24" s="77"/>
      <c r="K24" s="77"/>
      <c r="L24" s="77"/>
      <c r="M24" s="77"/>
      <c r="N24" s="77"/>
      <c r="O24" s="77"/>
      <c r="P24" s="106"/>
      <c r="Q24" s="106"/>
      <c r="R24" s="106"/>
      <c r="S24" s="107"/>
      <c r="T24" s="106"/>
      <c r="U24" s="77"/>
      <c r="V24" s="77"/>
      <c r="W24" s="77"/>
      <c r="X24" s="77"/>
      <c r="Y24" s="77"/>
      <c r="Z24" s="77"/>
      <c r="AA24" s="77"/>
      <c r="AB24" s="108"/>
      <c r="AC24" s="106"/>
      <c r="AD24" s="106"/>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90" x14ac:dyDescent="0.2">
      <c r="A25" s="103"/>
      <c r="B25" s="104"/>
      <c r="C25" s="77"/>
      <c r="D25" s="77"/>
      <c r="E25" s="77"/>
      <c r="F25" s="105"/>
      <c r="G25" s="77"/>
      <c r="H25" s="77"/>
      <c r="I25" s="77"/>
      <c r="J25" s="77"/>
      <c r="K25" s="77"/>
      <c r="L25" s="77"/>
      <c r="M25" s="77"/>
      <c r="N25" s="77"/>
      <c r="O25" s="77"/>
      <c r="P25" s="106"/>
      <c r="Q25" s="106"/>
      <c r="R25" s="106"/>
      <c r="S25" s="107"/>
      <c r="T25" s="106"/>
      <c r="U25" s="77"/>
      <c r="V25" s="77"/>
      <c r="W25" s="77"/>
      <c r="X25" s="77"/>
      <c r="Y25" s="77"/>
      <c r="Z25" s="77"/>
      <c r="AA25" s="77"/>
      <c r="AB25" s="108"/>
      <c r="AC25" s="106"/>
      <c r="AD25" s="106"/>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90" x14ac:dyDescent="0.2">
      <c r="A26" s="103"/>
      <c r="B26" s="104"/>
      <c r="C26" s="77"/>
      <c r="D26" s="77"/>
      <c r="E26" s="77"/>
      <c r="F26" s="105"/>
      <c r="G26" s="77"/>
      <c r="H26" s="77"/>
      <c r="I26" s="77"/>
      <c r="J26" s="77"/>
      <c r="K26" s="77"/>
      <c r="L26" s="77"/>
      <c r="M26" s="77"/>
      <c r="N26" s="77"/>
      <c r="O26" s="77"/>
      <c r="P26" s="106"/>
      <c r="Q26" s="106"/>
      <c r="R26" s="106"/>
      <c r="S26" s="107"/>
      <c r="T26" s="106"/>
      <c r="U26" s="77"/>
      <c r="V26" s="77"/>
      <c r="W26" s="77"/>
      <c r="X26" s="77"/>
      <c r="Y26" s="77"/>
      <c r="Z26" s="77"/>
      <c r="AA26" s="77"/>
      <c r="AB26" s="108"/>
      <c r="AC26" s="106"/>
      <c r="AD26" s="106"/>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90" x14ac:dyDescent="0.2">
      <c r="A27" s="103"/>
      <c r="B27" s="104"/>
      <c r="C27" s="77"/>
      <c r="D27" s="77"/>
      <c r="E27" s="77"/>
      <c r="F27" s="105"/>
      <c r="G27" s="77"/>
      <c r="H27" s="77"/>
      <c r="I27" s="77"/>
      <c r="J27" s="77"/>
      <c r="K27" s="77"/>
      <c r="L27" s="77"/>
      <c r="M27" s="77"/>
      <c r="N27" s="77"/>
      <c r="O27" s="77"/>
      <c r="P27" s="106"/>
      <c r="Q27" s="106"/>
      <c r="R27" s="106"/>
      <c r="S27" s="107"/>
      <c r="T27" s="106"/>
      <c r="U27" s="77"/>
      <c r="V27" s="77"/>
      <c r="W27" s="77"/>
      <c r="X27" s="77"/>
      <c r="Y27" s="77"/>
      <c r="Z27" s="77"/>
      <c r="AA27" s="77"/>
      <c r="AB27" s="108"/>
      <c r="AC27" s="106"/>
      <c r="AD27" s="106"/>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90" x14ac:dyDescent="0.2">
      <c r="AA28" s="65"/>
      <c r="AB28" s="65"/>
      <c r="AC28" s="65"/>
      <c r="AE28" s="65"/>
    </row>
    <row r="29" spans="1:90" x14ac:dyDescent="0.2">
      <c r="AA29" s="65"/>
      <c r="AB29" s="65"/>
      <c r="AC29" s="65"/>
      <c r="AE29" s="65"/>
    </row>
    <row r="30" spans="1:90" x14ac:dyDescent="0.2">
      <c r="AA30" s="65"/>
      <c r="AB30" s="65"/>
      <c r="AC30" s="65"/>
      <c r="AE30" s="65"/>
    </row>
    <row r="31" spans="1:90" x14ac:dyDescent="0.2">
      <c r="AA31" s="65"/>
      <c r="AB31" s="65"/>
      <c r="AC31" s="65"/>
      <c r="AE31" s="65"/>
    </row>
    <row r="32" spans="1:90"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c r="AE138" s="65"/>
    </row>
    <row r="139" spans="27:31" x14ac:dyDescent="0.2">
      <c r="AA139" s="65"/>
      <c r="AB139" s="65"/>
      <c r="AC139" s="65"/>
      <c r="AE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row>
    <row r="147" spans="27:31" x14ac:dyDescent="0.2">
      <c r="AA147" s="65"/>
      <c r="AB147" s="65"/>
      <c r="AC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c r="AE217" s="65"/>
    </row>
    <row r="218" spans="27:31" x14ac:dyDescent="0.2">
      <c r="AA218" s="65"/>
      <c r="AB218" s="65"/>
      <c r="AC218" s="65"/>
      <c r="AE218" s="65"/>
    </row>
    <row r="219" spans="27:31" x14ac:dyDescent="0.2">
      <c r="AA219" s="65"/>
      <c r="AB219" s="65"/>
      <c r="AC219" s="65"/>
      <c r="AE219" s="65"/>
    </row>
    <row r="220" spans="27:31" x14ac:dyDescent="0.2">
      <c r="AA220" s="65"/>
      <c r="AB220" s="65"/>
      <c r="AC220" s="65"/>
    </row>
    <row r="221" spans="27:31" x14ac:dyDescent="0.2">
      <c r="AA221" s="65"/>
      <c r="AB221" s="65"/>
      <c r="AC221" s="65"/>
    </row>
    <row r="222" spans="27:31" x14ac:dyDescent="0.2">
      <c r="AA222" s="65"/>
      <c r="AB222" s="65"/>
      <c r="AC222" s="65"/>
    </row>
    <row r="223" spans="27:31" x14ac:dyDescent="0.2">
      <c r="AA223" s="65"/>
      <c r="AB223" s="65"/>
      <c r="AC223" s="65"/>
      <c r="AE223" s="65"/>
    </row>
    <row r="224" spans="27:31" x14ac:dyDescent="0.2">
      <c r="AA224" s="65"/>
      <c r="AB224" s="65"/>
      <c r="AC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c r="AE274" s="65"/>
    </row>
    <row r="275" spans="27:31" x14ac:dyDescent="0.2">
      <c r="AA275" s="65"/>
      <c r="AB275" s="65"/>
      <c r="AC275" s="65"/>
      <c r="AE275" s="65"/>
    </row>
    <row r="276" spans="27:31" x14ac:dyDescent="0.2">
      <c r="AA276" s="65"/>
      <c r="AB276" s="65"/>
      <c r="AC276" s="65"/>
    </row>
    <row r="277" spans="27:31" x14ac:dyDescent="0.2">
      <c r="AA277" s="65"/>
      <c r="AB277" s="65"/>
      <c r="AC277" s="65"/>
      <c r="AE277" s="65"/>
    </row>
    <row r="278" spans="27:31" x14ac:dyDescent="0.2">
      <c r="AA278" s="65"/>
      <c r="AB278" s="65"/>
      <c r="AC278" s="65"/>
      <c r="AE278" s="65"/>
    </row>
    <row r="279" spans="27:31" x14ac:dyDescent="0.2">
      <c r="AA279" s="65"/>
      <c r="AB279" s="65"/>
      <c r="AC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c r="AE381" s="65"/>
    </row>
    <row r="382" spans="27:31" x14ac:dyDescent="0.2">
      <c r="AA382" s="65"/>
      <c r="AB382" s="65"/>
      <c r="AC382" s="65"/>
      <c r="AE382" s="65"/>
    </row>
    <row r="383" spans="27:31" x14ac:dyDescent="0.2">
      <c r="AA383" s="65"/>
      <c r="AB383" s="65"/>
      <c r="AC383" s="65"/>
    </row>
    <row r="384" spans="27:31" x14ac:dyDescent="0.2">
      <c r="AA384" s="65"/>
      <c r="AB384" s="65"/>
      <c r="AC384" s="65"/>
    </row>
    <row r="385" spans="27:31" x14ac:dyDescent="0.2">
      <c r="AA385" s="65"/>
      <c r="AB385" s="65"/>
      <c r="AC385" s="65"/>
    </row>
    <row r="386" spans="27:31" x14ac:dyDescent="0.2">
      <c r="AA386" s="65"/>
      <c r="AB386" s="65"/>
      <c r="AC386" s="65"/>
      <c r="AE386" s="65"/>
    </row>
  </sheetData>
  <phoneticPr fontId="34" type="noConversion"/>
  <conditionalFormatting sqref="A11:AU11 A13:AU27 A9:AU9 A4:AT8 BB4:BB27">
    <cfRule type="expression" dxfId="2" priority="237">
      <formula>$AR4 = "in progress"</formula>
    </cfRule>
  </conditionalFormatting>
  <conditionalFormatting sqref="A10:AU10">
    <cfRule type="expression" dxfId="1" priority="238">
      <formula>$AR10 = "in progress"</formula>
    </cfRule>
  </conditionalFormatting>
  <conditionalFormatting sqref="A12:AU12">
    <cfRule type="expression" dxfId="0" priority="236">
      <formula>$AR12 = "in progress"</formula>
    </cfRule>
  </conditionalFormatting>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F22" sqref="F2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9" t="s">
        <v>162</v>
      </c>
      <c r="D1" s="199"/>
      <c r="E1" s="199"/>
      <c r="F1" s="199"/>
      <c r="G1" s="199"/>
      <c r="H1" s="199"/>
      <c r="I1" s="199"/>
      <c r="J1" s="199"/>
    </row>
    <row r="2" spans="1:23" ht="32.1" customHeight="1" x14ac:dyDescent="0.2">
      <c r="A2" s="3" t="s">
        <v>97</v>
      </c>
      <c r="C2" s="3"/>
      <c r="D2" s="3"/>
      <c r="E2" s="19"/>
    </row>
    <row r="3" spans="1:23" ht="12" customHeight="1" x14ac:dyDescent="0.2">
      <c r="A3" s="14" t="s">
        <v>98</v>
      </c>
      <c r="B3" s="76" t="s">
        <v>99</v>
      </c>
      <c r="C3" s="14"/>
      <c r="D3"/>
      <c r="E3" t="s">
        <v>109</v>
      </c>
      <c r="F3" t="s">
        <v>110</v>
      </c>
      <c r="G3" t="s">
        <v>111</v>
      </c>
      <c r="H3" s="66"/>
      <c r="J3" t="s">
        <v>336</v>
      </c>
      <c r="M3" t="s">
        <v>337</v>
      </c>
    </row>
    <row r="4" spans="1:23" ht="12" customHeight="1" x14ac:dyDescent="0.25">
      <c r="A4" s="14" t="s">
        <v>100</v>
      </c>
      <c r="B4" s="181">
        <v>2</v>
      </c>
      <c r="C4" s="80"/>
      <c r="D4"/>
      <c r="E4" s="76" t="s">
        <v>112</v>
      </c>
      <c r="F4" s="184">
        <v>300</v>
      </c>
      <c r="G4" s="184">
        <v>2000</v>
      </c>
      <c r="H4" s="76"/>
      <c r="I4" s="42"/>
      <c r="J4" s="81" t="s">
        <v>335</v>
      </c>
      <c r="K4" s="81" t="s">
        <v>173</v>
      </c>
      <c r="M4" s="81" t="s">
        <v>335</v>
      </c>
      <c r="N4" s="81" t="s">
        <v>173</v>
      </c>
      <c r="P4" s="78"/>
      <c r="R4" s="78"/>
      <c r="T4" s="5"/>
    </row>
    <row r="5" spans="1:23" ht="12" customHeight="1" x14ac:dyDescent="0.25">
      <c r="A5" s="76" t="s">
        <v>224</v>
      </c>
      <c r="B5" s="181">
        <v>1</v>
      </c>
      <c r="C5" s="80"/>
      <c r="D5"/>
      <c r="E5" s="14" t="s">
        <v>113</v>
      </c>
      <c r="F5" s="184">
        <v>400</v>
      </c>
      <c r="G5" s="184">
        <v>2500</v>
      </c>
      <c r="H5" s="14"/>
      <c r="I5" s="42"/>
      <c r="J5" s="185">
        <v>100</v>
      </c>
      <c r="K5" s="185">
        <v>97</v>
      </c>
      <c r="M5" s="82">
        <v>38</v>
      </c>
      <c r="N5" s="82">
        <v>34</v>
      </c>
      <c r="P5" s="78"/>
      <c r="R5" s="78"/>
      <c r="T5" s="5"/>
    </row>
    <row r="6" spans="1:23" ht="12" customHeight="1" x14ac:dyDescent="0.25">
      <c r="A6" s="14" t="s">
        <v>101</v>
      </c>
      <c r="B6" s="181">
        <v>6</v>
      </c>
      <c r="C6" s="80"/>
      <c r="D6"/>
      <c r="E6" s="76" t="s">
        <v>114</v>
      </c>
      <c r="F6" s="184">
        <v>1500</v>
      </c>
      <c r="G6" s="184">
        <v>3000</v>
      </c>
      <c r="H6" s="42"/>
      <c r="I6" s="42"/>
      <c r="J6" s="185">
        <v>125</v>
      </c>
      <c r="K6" s="185">
        <v>122</v>
      </c>
      <c r="M6" s="82">
        <v>50</v>
      </c>
      <c r="N6" s="82">
        <v>49</v>
      </c>
      <c r="P6" s="78"/>
      <c r="R6" s="78"/>
      <c r="T6" s="5"/>
    </row>
    <row r="7" spans="1:23" ht="12" customHeight="1" x14ac:dyDescent="0.25">
      <c r="A7" s="14" t="s">
        <v>102</v>
      </c>
      <c r="B7" s="181">
        <v>3</v>
      </c>
      <c r="C7" s="76"/>
      <c r="D7"/>
      <c r="E7" s="14" t="s">
        <v>115</v>
      </c>
      <c r="F7" s="184">
        <v>20</v>
      </c>
      <c r="G7" s="184">
        <v>60</v>
      </c>
      <c r="H7" s="42"/>
      <c r="I7" s="42"/>
      <c r="J7" s="185">
        <v>150</v>
      </c>
      <c r="K7" s="185">
        <v>148</v>
      </c>
      <c r="M7" s="82">
        <v>200</v>
      </c>
      <c r="N7" s="82">
        <v>197</v>
      </c>
      <c r="P7" s="78"/>
      <c r="R7" s="78"/>
      <c r="T7" s="5"/>
    </row>
    <row r="8" spans="1:23" ht="12" customHeight="1" x14ac:dyDescent="0.25">
      <c r="A8" s="76" t="s">
        <v>103</v>
      </c>
      <c r="B8" s="181">
        <v>3</v>
      </c>
      <c r="C8"/>
      <c r="D8"/>
      <c r="E8" s="76" t="s">
        <v>129</v>
      </c>
      <c r="F8" s="184">
        <v>25</v>
      </c>
      <c r="G8" s="184">
        <v>197</v>
      </c>
      <c r="H8" s="42"/>
      <c r="J8" s="186">
        <v>175</v>
      </c>
      <c r="K8" s="185">
        <v>173</v>
      </c>
      <c r="M8" s="15"/>
      <c r="N8" s="79"/>
      <c r="O8" s="42"/>
      <c r="Q8" s="78"/>
      <c r="S8" s="78"/>
      <c r="U8" s="5"/>
    </row>
    <row r="9" spans="1:23" ht="12" customHeight="1" x14ac:dyDescent="0.25">
      <c r="A9" s="76" t="s">
        <v>104</v>
      </c>
      <c r="B9" s="181">
        <v>8</v>
      </c>
      <c r="C9"/>
      <c r="D9"/>
      <c r="E9" s="76" t="s">
        <v>128</v>
      </c>
      <c r="F9" s="184">
        <v>50</v>
      </c>
      <c r="G9" s="184">
        <v>245</v>
      </c>
      <c r="H9" s="42"/>
      <c r="I9" s="42"/>
      <c r="J9" s="186">
        <v>200</v>
      </c>
      <c r="K9" s="185">
        <v>197</v>
      </c>
      <c r="M9" s="15"/>
      <c r="N9" s="79"/>
      <c r="O9" s="42"/>
      <c r="Q9" s="78"/>
      <c r="S9" s="78"/>
      <c r="U9" s="5"/>
    </row>
    <row r="10" spans="1:23" ht="12" customHeight="1" x14ac:dyDescent="0.25">
      <c r="A10" s="76" t="s">
        <v>247</v>
      </c>
      <c r="B10" s="181">
        <v>2</v>
      </c>
      <c r="C10"/>
      <c r="D10"/>
      <c r="E10" s="76" t="s">
        <v>127</v>
      </c>
      <c r="F10" s="184">
        <v>20</v>
      </c>
      <c r="G10" s="184">
        <v>60</v>
      </c>
      <c r="H10" s="42"/>
      <c r="I10" s="42"/>
      <c r="J10" s="186">
        <v>250</v>
      </c>
      <c r="K10" s="185">
        <v>245</v>
      </c>
      <c r="L10" s="42"/>
      <c r="M10" s="42"/>
      <c r="N10" s="15"/>
      <c r="O10" s="79"/>
      <c r="P10" s="42"/>
      <c r="Q10" s="42"/>
      <c r="S10" s="79"/>
      <c r="U10" s="79"/>
      <c r="W10" s="5"/>
    </row>
    <row r="11" spans="1:23" ht="15" x14ac:dyDescent="0.25">
      <c r="A11" s="76" t="s">
        <v>248</v>
      </c>
      <c r="B11" s="181">
        <v>2</v>
      </c>
      <c r="C11"/>
      <c r="D11"/>
      <c r="E11" s="76" t="s">
        <v>131</v>
      </c>
      <c r="F11" s="184">
        <v>25</v>
      </c>
      <c r="G11" s="184">
        <v>70</v>
      </c>
      <c r="H11" s="42"/>
      <c r="I11" s="42"/>
      <c r="J11" s="42"/>
      <c r="K11" s="79"/>
      <c r="L11" s="42"/>
      <c r="M11" s="42"/>
      <c r="N11" s="15"/>
      <c r="O11" s="79"/>
      <c r="P11" s="42"/>
      <c r="Q11" s="42"/>
      <c r="S11" s="79"/>
      <c r="U11" s="79"/>
    </row>
    <row r="12" spans="1:23" ht="15" x14ac:dyDescent="0.25">
      <c r="A12" s="76" t="s">
        <v>105</v>
      </c>
      <c r="B12" s="181">
        <v>38</v>
      </c>
      <c r="C12"/>
      <c r="D12"/>
      <c r="E12" s="76" t="s">
        <v>125</v>
      </c>
      <c r="F12" s="184">
        <v>50</v>
      </c>
      <c r="G12" s="184">
        <v>150</v>
      </c>
      <c r="H12" s="42"/>
      <c r="I12" s="42"/>
      <c r="J12" s="42"/>
      <c r="K12" s="79"/>
      <c r="L12" s="42"/>
      <c r="M12" s="42"/>
      <c r="N12" s="15"/>
      <c r="Q12" s="42"/>
      <c r="S12" s="79"/>
      <c r="U12" s="79"/>
      <c r="W12" s="42"/>
    </row>
    <row r="13" spans="1:23" ht="15" x14ac:dyDescent="0.25">
      <c r="A13" s="76" t="s">
        <v>106</v>
      </c>
      <c r="B13" s="181">
        <v>22</v>
      </c>
      <c r="C13"/>
      <c r="D13"/>
      <c r="E13" s="76" t="s">
        <v>136</v>
      </c>
      <c r="F13" s="184">
        <v>0</v>
      </c>
      <c r="G13" s="184">
        <v>10</v>
      </c>
      <c r="H13" s="42"/>
      <c r="I13" s="42"/>
      <c r="J13" s="42"/>
      <c r="K13" s="79"/>
      <c r="L13" s="42"/>
      <c r="M13" s="42"/>
      <c r="N13" s="15"/>
      <c r="Q13" s="42"/>
      <c r="S13" s="79"/>
      <c r="U13" s="79"/>
      <c r="W13" s="42"/>
    </row>
    <row r="14" spans="1:23" ht="15" x14ac:dyDescent="0.25">
      <c r="A14" s="76" t="s">
        <v>107</v>
      </c>
      <c r="B14" s="181">
        <v>2</v>
      </c>
      <c r="C14"/>
      <c r="D14"/>
      <c r="E14" s="76" t="s">
        <v>124</v>
      </c>
      <c r="F14" s="184">
        <v>1</v>
      </c>
      <c r="G14" s="184">
        <v>11</v>
      </c>
      <c r="H14" s="42"/>
      <c r="I14" s="42"/>
      <c r="J14" s="42"/>
      <c r="K14" s="79"/>
      <c r="L14" s="42"/>
      <c r="M14" s="42"/>
      <c r="N14" s="15"/>
      <c r="O14" s="42"/>
      <c r="P14" s="42"/>
      <c r="Q14" s="42"/>
      <c r="S14" s="79"/>
      <c r="U14" s="79"/>
      <c r="W14" s="42"/>
    </row>
    <row r="15" spans="1:23" ht="15" x14ac:dyDescent="0.25">
      <c r="A15" s="76" t="s">
        <v>225</v>
      </c>
      <c r="B15" s="181" t="s">
        <v>24</v>
      </c>
      <c r="D15"/>
      <c r="E15" s="76" t="s">
        <v>123</v>
      </c>
      <c r="F15" s="184">
        <v>2</v>
      </c>
      <c r="G15" s="184">
        <v>12</v>
      </c>
      <c r="I15" s="42"/>
      <c r="J15" s="42"/>
      <c r="K15" s="42"/>
      <c r="L15" s="42"/>
      <c r="Q15" s="42"/>
      <c r="W15" s="42"/>
    </row>
    <row r="16" spans="1:23" s="42" customFormat="1" ht="15" x14ac:dyDescent="0.25">
      <c r="A16" s="76" t="s">
        <v>108</v>
      </c>
      <c r="B16" s="181">
        <v>4</v>
      </c>
      <c r="E16" s="76" t="s">
        <v>137</v>
      </c>
      <c r="F16" s="184">
        <v>100</v>
      </c>
      <c r="G16" s="184">
        <v>500</v>
      </c>
      <c r="H16"/>
    </row>
    <row r="17" spans="1:9" s="42" customFormat="1" ht="15" x14ac:dyDescent="0.25">
      <c r="A17" s="76" t="s">
        <v>120</v>
      </c>
      <c r="B17" s="181">
        <v>1</v>
      </c>
      <c r="E17" s="76" t="s">
        <v>138</v>
      </c>
      <c r="F17" s="184">
        <v>200</v>
      </c>
      <c r="G17" s="184">
        <v>600</v>
      </c>
    </row>
    <row r="18" spans="1:9" s="42" customFormat="1" ht="15" x14ac:dyDescent="0.25">
      <c r="A18" s="76" t="s">
        <v>182</v>
      </c>
      <c r="B18" s="182">
        <v>0.05</v>
      </c>
      <c r="E18" s="76" t="s">
        <v>139</v>
      </c>
      <c r="F18" s="184">
        <v>300</v>
      </c>
      <c r="G18" s="184">
        <v>700</v>
      </c>
    </row>
    <row r="19" spans="1:9" s="42" customFormat="1" ht="15" x14ac:dyDescent="0.25">
      <c r="A19" s="76" t="s">
        <v>256</v>
      </c>
      <c r="B19" s="181">
        <v>20</v>
      </c>
      <c r="E19" s="76" t="s">
        <v>134</v>
      </c>
      <c r="F19" s="184">
        <v>400</v>
      </c>
      <c r="G19" s="184">
        <v>800</v>
      </c>
    </row>
    <row r="20" spans="1:9" s="42" customFormat="1" ht="15" x14ac:dyDescent="0.25">
      <c r="A20" s="66" t="s">
        <v>388</v>
      </c>
      <c r="B20" s="183" t="s">
        <v>389</v>
      </c>
      <c r="E20" s="76" t="s">
        <v>118</v>
      </c>
      <c r="F20" s="184">
        <v>500</v>
      </c>
      <c r="G20" s="184">
        <v>900</v>
      </c>
    </row>
    <row r="21" spans="1:9" s="42" customFormat="1" ht="15" x14ac:dyDescent="0.25">
      <c r="E21" s="76" t="s">
        <v>119</v>
      </c>
      <c r="F21" s="184">
        <v>600</v>
      </c>
      <c r="G21" s="184">
        <v>1000</v>
      </c>
      <c r="I21" s="42" t="s">
        <v>140</v>
      </c>
    </row>
    <row r="22" spans="1:9" s="42" customFormat="1" ht="15" x14ac:dyDescent="0.25">
      <c r="E22" s="76" t="s">
        <v>392</v>
      </c>
      <c r="F22" s="184">
        <v>0</v>
      </c>
      <c r="G22" s="184">
        <v>10000</v>
      </c>
    </row>
    <row r="23" spans="1:9" s="42" customFormat="1" x14ac:dyDescent="0.2">
      <c r="A23" s="14"/>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B46" s="43"/>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3"/>
  <sheetViews>
    <sheetView showGridLines="0" tabSelected="1" workbookViewId="0">
      <pane ySplit="3" topLeftCell="A4" activePane="bottomLeft" state="frozen"/>
      <selection pane="bottomLeft" activeCell="G12" sqref="G12"/>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v0.23</v>
      </c>
      <c r="B2" s="4"/>
      <c r="M2" s="26"/>
    </row>
    <row r="3" spans="1:13" ht="15" x14ac:dyDescent="0.25">
      <c r="A3" s="1" t="s">
        <v>9</v>
      </c>
      <c r="B3" s="2" t="s">
        <v>10</v>
      </c>
      <c r="M3" s="27"/>
    </row>
    <row r="4" spans="1:13" ht="15" x14ac:dyDescent="0.25">
      <c r="A4" s="6" t="s">
        <v>390</v>
      </c>
      <c r="B4" s="7" t="s">
        <v>387</v>
      </c>
      <c r="M4" s="27"/>
    </row>
    <row r="5" spans="1:13" ht="15" x14ac:dyDescent="0.25">
      <c r="A5" s="6" t="s">
        <v>395</v>
      </c>
      <c r="B5" s="7" t="s">
        <v>387</v>
      </c>
      <c r="M5" s="27"/>
    </row>
    <row r="6" spans="1:13" ht="15" x14ac:dyDescent="0.25">
      <c r="A6" s="6" t="s">
        <v>391</v>
      </c>
      <c r="B6" s="7" t="s">
        <v>387</v>
      </c>
      <c r="M6" s="27"/>
    </row>
    <row r="7" spans="1:13" ht="15" x14ac:dyDescent="0.25">
      <c r="A7" s="6" t="s">
        <v>390</v>
      </c>
      <c r="B7" s="7" t="s">
        <v>387</v>
      </c>
      <c r="M7" s="27"/>
    </row>
    <row r="8" spans="1:13" ht="15" x14ac:dyDescent="0.25">
      <c r="A8" s="6" t="s">
        <v>375</v>
      </c>
      <c r="B8" s="7" t="s">
        <v>376</v>
      </c>
      <c r="M8" s="27"/>
    </row>
    <row r="9" spans="1:13" ht="15" x14ac:dyDescent="0.25">
      <c r="A9" s="6" t="s">
        <v>371</v>
      </c>
      <c r="B9" s="7" t="s">
        <v>372</v>
      </c>
      <c r="M9" s="27"/>
    </row>
    <row r="10" spans="1:13" ht="15" x14ac:dyDescent="0.25">
      <c r="A10" s="6" t="s">
        <v>314</v>
      </c>
      <c r="B10" s="7" t="s">
        <v>274</v>
      </c>
      <c r="M10" s="27"/>
    </row>
    <row r="11" spans="1:13" ht="15" x14ac:dyDescent="0.25">
      <c r="A11" s="6" t="s">
        <v>313</v>
      </c>
      <c r="B11" s="7" t="s">
        <v>274</v>
      </c>
      <c r="M11" s="27"/>
    </row>
    <row r="12" spans="1:13" ht="15" x14ac:dyDescent="0.25">
      <c r="A12" s="6" t="s">
        <v>312</v>
      </c>
      <c r="B12" s="7" t="s">
        <v>274</v>
      </c>
      <c r="M12" s="27"/>
    </row>
    <row r="13" spans="1:13" ht="15" x14ac:dyDescent="0.25">
      <c r="A13" s="6" t="s">
        <v>310</v>
      </c>
      <c r="B13" s="7" t="s">
        <v>274</v>
      </c>
      <c r="M13" s="27"/>
    </row>
    <row r="14" spans="1:13" ht="15" x14ac:dyDescent="0.25">
      <c r="A14" s="6" t="s">
        <v>309</v>
      </c>
      <c r="B14" s="7" t="s">
        <v>274</v>
      </c>
      <c r="M14" s="27"/>
    </row>
    <row r="15" spans="1:13" ht="15" x14ac:dyDescent="0.25">
      <c r="A15" s="6" t="s">
        <v>308</v>
      </c>
      <c r="B15" s="7" t="s">
        <v>274</v>
      </c>
      <c r="M15" s="27"/>
    </row>
    <row r="16" spans="1:13" ht="15" x14ac:dyDescent="0.25">
      <c r="A16" s="6" t="s">
        <v>302</v>
      </c>
      <c r="B16" s="7" t="s">
        <v>274</v>
      </c>
      <c r="M16" s="27"/>
    </row>
    <row r="17" spans="1:13" ht="15" x14ac:dyDescent="0.25">
      <c r="A17" s="6" t="s">
        <v>275</v>
      </c>
      <c r="B17" s="7" t="s">
        <v>274</v>
      </c>
      <c r="M17" s="27"/>
    </row>
    <row r="18" spans="1:13" ht="15" x14ac:dyDescent="0.25">
      <c r="A18" s="6" t="s">
        <v>273</v>
      </c>
      <c r="B18" s="7" t="s">
        <v>274</v>
      </c>
      <c r="M18" s="27"/>
    </row>
    <row r="19" spans="1:13" ht="15" x14ac:dyDescent="0.25">
      <c r="A19" s="6" t="s">
        <v>269</v>
      </c>
      <c r="B19" s="7" t="s">
        <v>265</v>
      </c>
      <c r="M19" s="27"/>
    </row>
    <row r="20" spans="1:13" ht="15" x14ac:dyDescent="0.25">
      <c r="A20" s="6" t="s">
        <v>268</v>
      </c>
      <c r="B20" s="7" t="s">
        <v>265</v>
      </c>
      <c r="M20" s="27"/>
    </row>
    <row r="21" spans="1:13" ht="15" x14ac:dyDescent="0.25">
      <c r="A21" s="6" t="s">
        <v>264</v>
      </c>
      <c r="B21" s="7" t="s">
        <v>265</v>
      </c>
      <c r="M21" s="27"/>
    </row>
    <row r="22" spans="1:13" ht="15" x14ac:dyDescent="0.25">
      <c r="A22" s="6" t="s">
        <v>257</v>
      </c>
      <c r="B22" s="7" t="s">
        <v>258</v>
      </c>
      <c r="M22" s="27"/>
    </row>
    <row r="23" spans="1:13" ht="15" x14ac:dyDescent="0.25">
      <c r="A23" s="6" t="s">
        <v>249</v>
      </c>
      <c r="B23" s="7" t="s">
        <v>241</v>
      </c>
      <c r="M23" s="27"/>
    </row>
    <row r="24" spans="1:13" ht="15" x14ac:dyDescent="0.25">
      <c r="A24" s="6" t="s">
        <v>240</v>
      </c>
      <c r="B24" s="7" t="s">
        <v>241</v>
      </c>
      <c r="M24" s="27"/>
    </row>
    <row r="25" spans="1:13" ht="15" x14ac:dyDescent="0.25">
      <c r="A25" s="6" t="s">
        <v>208</v>
      </c>
      <c r="B25" s="7" t="s">
        <v>209</v>
      </c>
      <c r="M25" s="27"/>
    </row>
    <row r="26" spans="1:13" ht="15" x14ac:dyDescent="0.25">
      <c r="A26" s="6" t="s">
        <v>161</v>
      </c>
      <c r="B26" s="7" t="s">
        <v>148</v>
      </c>
      <c r="M26" s="27"/>
    </row>
    <row r="27" spans="1:13" ht="15" x14ac:dyDescent="0.25">
      <c r="A27" s="6" t="s">
        <v>147</v>
      </c>
      <c r="B27" s="7" t="s">
        <v>148</v>
      </c>
      <c r="M27" s="27"/>
    </row>
    <row r="28" spans="1:13" ht="15" x14ac:dyDescent="0.25">
      <c r="A28" s="6" t="s">
        <v>94</v>
      </c>
      <c r="B28" s="7" t="s">
        <v>95</v>
      </c>
      <c r="M28" s="27"/>
    </row>
    <row r="29" spans="1:13" ht="15" x14ac:dyDescent="0.25">
      <c r="A29" s="6" t="s">
        <v>33</v>
      </c>
      <c r="B29" s="7" t="s">
        <v>34</v>
      </c>
      <c r="M29" s="27"/>
    </row>
    <row r="30" spans="1:13" ht="15" x14ac:dyDescent="0.25">
      <c r="A30" s="6" t="s">
        <v>0</v>
      </c>
      <c r="B30" s="7" t="s">
        <v>32</v>
      </c>
      <c r="M30" s="27"/>
    </row>
    <row r="31" spans="1:13" ht="15" x14ac:dyDescent="0.25">
      <c r="A31" s="6"/>
      <c r="B31" s="7"/>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6"/>
      <c r="B35" s="10"/>
      <c r="M35" s="27"/>
    </row>
    <row r="36" spans="1:13" ht="15" x14ac:dyDescent="0.25">
      <c r="A36" s="6"/>
      <c r="B36" s="7"/>
      <c r="M36" s="27"/>
    </row>
    <row r="37" spans="1:13" ht="15" x14ac:dyDescent="0.25">
      <c r="A37" s="6"/>
      <c r="B37" s="7"/>
      <c r="M37" s="27"/>
    </row>
    <row r="38" spans="1:13" ht="15" x14ac:dyDescent="0.25">
      <c r="A38" s="6"/>
      <c r="B38" s="7"/>
      <c r="M38" s="27"/>
    </row>
    <row r="39" spans="1:13" ht="15" x14ac:dyDescent="0.25">
      <c r="A39" s="6"/>
      <c r="B39" s="10"/>
      <c r="M39" s="27"/>
    </row>
    <row r="40" spans="1:13" ht="15" x14ac:dyDescent="0.25">
      <c r="A40" s="6"/>
      <c r="B40" s="7"/>
      <c r="M40" s="27"/>
    </row>
    <row r="41" spans="1:13" ht="15" x14ac:dyDescent="0.25">
      <c r="A41" s="6"/>
      <c r="B41" s="10"/>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11"/>
      <c r="B53" s="12"/>
      <c r="M53" s="27"/>
    </row>
    <row r="54" spans="1:13" ht="15" x14ac:dyDescent="0.25">
      <c r="A54" s="6"/>
      <c r="B54" s="7"/>
      <c r="M54" s="27"/>
    </row>
    <row r="55" spans="1:13" ht="15" x14ac:dyDescent="0.25">
      <c r="A55" s="6"/>
      <c r="B55" s="10" t="s">
        <v>8</v>
      </c>
      <c r="M55" s="27"/>
    </row>
    <row r="56" spans="1:13" ht="15" x14ac:dyDescent="0.25">
      <c r="A56" s="11"/>
      <c r="B56" s="12"/>
      <c r="M56" s="27"/>
    </row>
    <row r="57" spans="1:13" ht="15" x14ac:dyDescent="0.25">
      <c r="A57" s="6"/>
      <c r="B57" s="7"/>
      <c r="M57" s="27"/>
    </row>
    <row r="58" spans="1:13" ht="15" x14ac:dyDescent="0.25">
      <c r="A58" s="6"/>
      <c r="B58" s="7"/>
      <c r="M58" s="27"/>
    </row>
    <row r="59" spans="1:13" ht="15" x14ac:dyDescent="0.25">
      <c r="A59" s="6"/>
      <c r="B59" s="10"/>
      <c r="M59" s="27"/>
    </row>
    <row r="60" spans="1:13" ht="15" x14ac:dyDescent="0.25">
      <c r="A60" s="6"/>
      <c r="B60" s="7"/>
      <c r="M60" s="27"/>
    </row>
    <row r="61" spans="1:13" ht="15" x14ac:dyDescent="0.25">
      <c r="A61" s="6"/>
      <c r="B61" s="7"/>
      <c r="M61" s="27"/>
    </row>
    <row r="62" spans="1:13" ht="15" x14ac:dyDescent="0.25">
      <c r="A62" s="6"/>
      <c r="B62" s="10"/>
      <c r="M62" s="27"/>
    </row>
    <row r="63" spans="1:13" ht="15" x14ac:dyDescent="0.25">
      <c r="A63" s="6"/>
      <c r="B63" s="10"/>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10"/>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10"/>
      <c r="M82" s="27"/>
    </row>
    <row r="83" spans="1:13" ht="15" x14ac:dyDescent="0.25">
      <c r="A83" s="11"/>
      <c r="B83" s="12"/>
      <c r="M83" s="27"/>
    </row>
    <row r="84" spans="1:13" ht="15" x14ac:dyDescent="0.25">
      <c r="A84" s="11"/>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6"/>
      <c r="B89" s="7"/>
      <c r="M89" s="27"/>
    </row>
    <row r="90" spans="1:13" ht="15" x14ac:dyDescent="0.25">
      <c r="A90" s="6"/>
      <c r="B90" s="10"/>
      <c r="M90" s="27"/>
    </row>
    <row r="91" spans="1:13" ht="15" x14ac:dyDescent="0.25">
      <c r="A91" s="11"/>
      <c r="B91" s="12"/>
      <c r="M91" s="27"/>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11"/>
      <c r="B96" s="10"/>
    </row>
    <row r="97" spans="1:2" ht="15" x14ac:dyDescent="0.25">
      <c r="A97" s="11"/>
      <c r="B97" s="10"/>
    </row>
    <row r="98" spans="1:2" ht="15" x14ac:dyDescent="0.25">
      <c r="A98" s="6"/>
      <c r="B98" s="7"/>
    </row>
    <row r="99" spans="1:2" ht="15" x14ac:dyDescent="0.25">
      <c r="A99" s="6"/>
      <c r="B99" s="7"/>
    </row>
    <row r="100" spans="1:2" ht="15" x14ac:dyDescent="0.25">
      <c r="A100" s="6"/>
      <c r="B100" s="10"/>
    </row>
    <row r="101" spans="1:2" ht="15" x14ac:dyDescent="0.25">
      <c r="A101" s="6"/>
      <c r="B101" s="7"/>
    </row>
    <row r="102" spans="1:2" ht="15" x14ac:dyDescent="0.25">
      <c r="A102" s="6"/>
      <c r="B102" s="7"/>
    </row>
    <row r="103" spans="1:2" ht="15" x14ac:dyDescent="0.25">
      <c r="A103" s="6"/>
      <c r="B103" s="7"/>
    </row>
    <row r="104" spans="1:2" ht="15" x14ac:dyDescent="0.25">
      <c r="A104" s="6"/>
      <c r="B104" s="10"/>
    </row>
    <row r="105" spans="1:2" ht="15" x14ac:dyDescent="0.25">
      <c r="A105" s="6"/>
      <c r="B105" s="7"/>
    </row>
    <row r="106" spans="1:2" ht="15" x14ac:dyDescent="0.25">
      <c r="A106" s="11"/>
      <c r="B106" s="12"/>
    </row>
    <row r="107" spans="1:2" ht="15" x14ac:dyDescent="0.25">
      <c r="A107" s="11"/>
      <c r="B107" s="10"/>
    </row>
    <row r="108" spans="1:2" ht="15" x14ac:dyDescent="0.25">
      <c r="A108" s="6"/>
      <c r="B108" s="7"/>
    </row>
    <row r="109" spans="1:2" ht="15" x14ac:dyDescent="0.25">
      <c r="A109" s="11"/>
      <c r="B109" s="12"/>
    </row>
    <row r="110" spans="1:2" ht="15" x14ac:dyDescent="0.25">
      <c r="A110" s="11"/>
      <c r="B110" s="10"/>
    </row>
    <row r="111" spans="1:2" ht="15" x14ac:dyDescent="0.25">
      <c r="A111" s="6"/>
      <c r="B111" s="7"/>
    </row>
    <row r="112" spans="1:2" ht="15" x14ac:dyDescent="0.25">
      <c r="A112" s="6"/>
      <c r="B112" s="7"/>
    </row>
    <row r="113" spans="1:2" ht="15" x14ac:dyDescent="0.25">
      <c r="A113" s="6"/>
      <c r="B113" s="10"/>
    </row>
    <row r="114" spans="1:2" ht="15" x14ac:dyDescent="0.25">
      <c r="A114" s="11"/>
      <c r="B114" s="12"/>
    </row>
    <row r="115" spans="1:2" ht="15" x14ac:dyDescent="0.25">
      <c r="A115" s="11"/>
      <c r="B115" s="7"/>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11"/>
      <c r="B138" s="12"/>
    </row>
    <row r="139" spans="1:2" ht="15" x14ac:dyDescent="0.25">
      <c r="A139" s="11"/>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11"/>
      <c r="B149" s="12"/>
    </row>
    <row r="150" spans="1:2" ht="15" x14ac:dyDescent="0.25">
      <c r="A150" s="11"/>
      <c r="B150" s="10"/>
    </row>
    <row r="151" spans="1:2" ht="15" x14ac:dyDescent="0.25">
      <c r="A151" s="11"/>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11"/>
      <c r="B166" s="12"/>
    </row>
    <row r="167" spans="1:2" ht="15" x14ac:dyDescent="0.25">
      <c r="A167" s="11"/>
      <c r="B167" s="10"/>
    </row>
    <row r="168" spans="1:2" ht="15" x14ac:dyDescent="0.25">
      <c r="A168" s="11"/>
      <c r="B168" s="12"/>
    </row>
    <row r="169" spans="1:2" ht="15" x14ac:dyDescent="0.25">
      <c r="A169" s="11"/>
      <c r="B169" s="10"/>
    </row>
    <row r="170" spans="1:2" ht="15" x14ac:dyDescent="0.25">
      <c r="A170" s="6"/>
      <c r="B170" s="7"/>
    </row>
    <row r="171" spans="1:2" ht="15" x14ac:dyDescent="0.25">
      <c r="A171" s="6"/>
      <c r="B171" s="7"/>
    </row>
    <row r="172" spans="1:2" ht="15" x14ac:dyDescent="0.25">
      <c r="A172" s="6"/>
      <c r="B172" s="7"/>
    </row>
    <row r="173" spans="1:2" ht="15" x14ac:dyDescent="0.25">
      <c r="A173" s="6"/>
      <c r="B173" s="10"/>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11"/>
      <c r="B183" s="12"/>
    </row>
    <row r="184" spans="1:2" ht="15" x14ac:dyDescent="0.25">
      <c r="A184" s="11"/>
      <c r="B184" s="10"/>
    </row>
    <row r="185" spans="1:2" ht="15" x14ac:dyDescent="0.25">
      <c r="A185" s="6"/>
      <c r="B185" s="7"/>
    </row>
    <row r="186" spans="1:2" ht="15" x14ac:dyDescent="0.25">
      <c r="A186" s="6"/>
      <c r="B186" s="10"/>
    </row>
    <row r="187" spans="1:2" ht="15" x14ac:dyDescent="0.25">
      <c r="A187" s="6"/>
      <c r="B187" s="10"/>
    </row>
    <row r="188" spans="1:2" ht="15" x14ac:dyDescent="0.25">
      <c r="A188" s="6"/>
      <c r="B188" s="10"/>
    </row>
    <row r="189" spans="1:2" ht="15" x14ac:dyDescent="0.25">
      <c r="A189" s="6"/>
      <c r="B189" s="7"/>
    </row>
    <row r="190" spans="1:2" ht="15" x14ac:dyDescent="0.25">
      <c r="A190" s="6"/>
      <c r="B190" s="10"/>
    </row>
    <row r="191" spans="1:2" ht="15" x14ac:dyDescent="0.25">
      <c r="A191" s="6"/>
      <c r="B191" s="7"/>
    </row>
    <row r="192" spans="1:2" ht="15" x14ac:dyDescent="0.25">
      <c r="A192" s="6"/>
      <c r="B192" s="7"/>
    </row>
    <row r="193" spans="1:2" ht="15" x14ac:dyDescent="0.25">
      <c r="A193" s="6"/>
      <c r="B193" s="10"/>
    </row>
    <row r="194" spans="1:2" ht="15" x14ac:dyDescent="0.25">
      <c r="A194" s="6"/>
      <c r="B194" s="10"/>
    </row>
    <row r="195" spans="1:2" ht="15" x14ac:dyDescent="0.25">
      <c r="A195" s="11"/>
      <c r="B195" s="12"/>
    </row>
    <row r="196" spans="1:2" ht="15" x14ac:dyDescent="0.25">
      <c r="A196" s="11"/>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7"/>
    </row>
    <row r="202" spans="1:2" ht="15" x14ac:dyDescent="0.25">
      <c r="A202" s="6"/>
      <c r="B202" s="10"/>
    </row>
    <row r="203" spans="1:2" ht="15" x14ac:dyDescent="0.25">
      <c r="A203" s="6"/>
      <c r="B203" s="10"/>
    </row>
    <row r="204" spans="1:2" ht="15" x14ac:dyDescent="0.25">
      <c r="A204" s="6"/>
      <c r="B204" s="10"/>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7"/>
    </row>
    <row r="211" spans="1:2" ht="15" x14ac:dyDescent="0.25">
      <c r="A211" s="6"/>
      <c r="B211" s="10"/>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10"/>
    </row>
    <row r="221" spans="1:2" ht="15" x14ac:dyDescent="0.25">
      <c r="A221" s="6"/>
      <c r="B221" s="7"/>
    </row>
    <row r="222" spans="1:2" ht="15" x14ac:dyDescent="0.25">
      <c r="A222" s="6"/>
      <c r="B222" s="10"/>
    </row>
    <row r="223" spans="1:2" ht="15" x14ac:dyDescent="0.25">
      <c r="A223" s="6"/>
      <c r="B223" s="10"/>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10"/>
    </row>
    <row r="229" spans="1:2" ht="15" x14ac:dyDescent="0.25">
      <c r="A229" s="6"/>
      <c r="B229" s="7"/>
    </row>
    <row r="230" spans="1:2" ht="15" x14ac:dyDescent="0.25">
      <c r="A230" s="6"/>
      <c r="B230" s="7"/>
    </row>
    <row r="231" spans="1:2" ht="15" x14ac:dyDescent="0.25">
      <c r="A231" s="6"/>
      <c r="B231" s="7"/>
    </row>
    <row r="232" spans="1:2" ht="15" x14ac:dyDescent="0.25">
      <c r="A232" s="6"/>
      <c r="B232" s="7"/>
    </row>
    <row r="233" spans="1:2" ht="15" x14ac:dyDescent="0.25">
      <c r="A233" s="6"/>
      <c r="B233"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zoomScaleNormal="100" workbookViewId="0">
      <pane ySplit="2" topLeftCell="A3" activePane="bottomLeft" state="frozen"/>
      <selection pane="bottomLeft" activeCell="T16" sqref="T1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317</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35" t="s">
        <v>343</v>
      </c>
      <c r="B6" s="136">
        <v>0.5</v>
      </c>
      <c r="F6" s="3"/>
      <c r="G6" s="3"/>
      <c r="H6" s="19"/>
      <c r="J6" s="3"/>
    </row>
    <row r="7" spans="1:20" ht="32.1" customHeight="1" x14ac:dyDescent="0.2">
      <c r="A7" s="137" t="s">
        <v>344</v>
      </c>
      <c r="B7" s="138">
        <v>10</v>
      </c>
      <c r="D7" s="66"/>
      <c r="E7" s="142"/>
      <c r="F7" s="3"/>
      <c r="G7" s="3"/>
      <c r="H7" s="19"/>
      <c r="J7" s="3"/>
    </row>
    <row r="8" spans="1:20" ht="32.1" customHeight="1" x14ac:dyDescent="0.2">
      <c r="D8" s="66"/>
      <c r="E8" s="142"/>
      <c r="F8" s="3"/>
      <c r="G8" s="3"/>
      <c r="H8" s="19"/>
      <c r="J8" s="3"/>
    </row>
    <row r="9" spans="1:20" s="42" customFormat="1" ht="15" x14ac:dyDescent="0.2">
      <c r="A9" s="66" t="s">
        <v>350</v>
      </c>
      <c r="D9" s="66" t="s">
        <v>16</v>
      </c>
      <c r="G9" s="66" t="s">
        <v>71</v>
      </c>
      <c r="H9" s="83"/>
      <c r="I9" s="43"/>
      <c r="J9" s="66" t="s">
        <v>20</v>
      </c>
      <c r="M9" s="66" t="s">
        <v>17</v>
      </c>
      <c r="P9" s="66" t="s">
        <v>177</v>
      </c>
      <c r="S9" s="66" t="s">
        <v>15</v>
      </c>
    </row>
    <row r="10" spans="1:20" s="42" customFormat="1" x14ac:dyDescent="0.2">
      <c r="A10" s="111" t="s">
        <v>316</v>
      </c>
      <c r="B10" t="s">
        <v>315</v>
      </c>
      <c r="D10" s="19" t="s">
        <v>316</v>
      </c>
      <c r="E10" t="s">
        <v>315</v>
      </c>
      <c r="G10" s="66" t="s">
        <v>316</v>
      </c>
      <c r="H10" s="66" t="s">
        <v>315</v>
      </c>
      <c r="I10" s="43"/>
      <c r="J10" t="s">
        <v>316</v>
      </c>
      <c r="K10" s="66" t="s">
        <v>315</v>
      </c>
      <c r="M10" t="s">
        <v>316</v>
      </c>
      <c r="N10" s="66" t="s">
        <v>315</v>
      </c>
      <c r="P10" t="s">
        <v>316</v>
      </c>
      <c r="Q10" s="66" t="s">
        <v>315</v>
      </c>
      <c r="R10"/>
      <c r="S10" t="s">
        <v>316</v>
      </c>
      <c r="T10" s="66" t="s">
        <v>315</v>
      </c>
    </row>
    <row r="11" spans="1:20" s="42" customFormat="1" ht="15" x14ac:dyDescent="0.2">
      <c r="A11" s="66" t="s">
        <v>349</v>
      </c>
      <c r="B11" s="142">
        <v>0.88</v>
      </c>
      <c r="D11" t="s">
        <v>69</v>
      </c>
      <c r="E11" s="117">
        <v>0</v>
      </c>
      <c r="G11" s="76" t="s">
        <v>67</v>
      </c>
      <c r="H11" s="122">
        <v>0</v>
      </c>
      <c r="I11" s="43"/>
      <c r="J11" t="s">
        <v>79</v>
      </c>
      <c r="K11" s="123">
        <v>1.6</v>
      </c>
      <c r="L11" s="120"/>
      <c r="M11" s="5" t="s">
        <v>30</v>
      </c>
      <c r="N11" s="125">
        <v>340</v>
      </c>
      <c r="P11" s="13" t="s">
        <v>26</v>
      </c>
      <c r="Q11" s="140">
        <v>40</v>
      </c>
      <c r="R11"/>
      <c r="S11" s="13" t="s">
        <v>69</v>
      </c>
      <c r="T11" s="117">
        <v>20</v>
      </c>
    </row>
    <row r="12" spans="1:20" s="42" customFormat="1" ht="15" x14ac:dyDescent="0.2">
      <c r="A12" s="66" t="s">
        <v>351</v>
      </c>
      <c r="B12" s="124">
        <v>5.99</v>
      </c>
      <c r="D12" t="s">
        <v>29</v>
      </c>
      <c r="E12" s="118">
        <v>1.6</v>
      </c>
      <c r="G12" s="14" t="s">
        <v>64</v>
      </c>
      <c r="H12" s="122">
        <v>7</v>
      </c>
      <c r="I12" s="43"/>
      <c r="J12" t="s">
        <v>80</v>
      </c>
      <c r="K12" s="124">
        <v>1.6</v>
      </c>
      <c r="L12" s="120"/>
      <c r="M12" s="5" t="s">
        <v>89</v>
      </c>
      <c r="N12" s="125">
        <v>950</v>
      </c>
      <c r="P12" s="13" t="s">
        <v>28</v>
      </c>
      <c r="Q12" s="140">
        <v>55</v>
      </c>
      <c r="R12"/>
      <c r="S12" s="13" t="s">
        <v>25</v>
      </c>
      <c r="T12" s="117">
        <v>25</v>
      </c>
    </row>
    <row r="13" spans="1:20" s="42" customFormat="1" ht="15" x14ac:dyDescent="0.2">
      <c r="A13" s="66" t="s">
        <v>352</v>
      </c>
      <c r="B13" s="124">
        <v>1</v>
      </c>
      <c r="D13" t="s">
        <v>86</v>
      </c>
      <c r="E13" s="119">
        <v>1.5</v>
      </c>
      <c r="G13" s="76" t="s">
        <v>66</v>
      </c>
      <c r="H13" s="122">
        <v>7</v>
      </c>
      <c r="L13" s="120"/>
      <c r="M13" s="5" t="s">
        <v>90</v>
      </c>
      <c r="N13" s="125">
        <v>1200</v>
      </c>
      <c r="P13" s="28" t="s">
        <v>347</v>
      </c>
      <c r="Q13" s="141">
        <v>30</v>
      </c>
      <c r="R13"/>
      <c r="S13" s="28" t="s">
        <v>27</v>
      </c>
      <c r="T13" s="117">
        <v>30</v>
      </c>
    </row>
    <row r="14" spans="1:20" s="42" customFormat="1" ht="15" x14ac:dyDescent="0.2">
      <c r="D14" t="s">
        <v>87</v>
      </c>
      <c r="E14" s="118">
        <v>3.99</v>
      </c>
      <c r="G14" s="14" t="s">
        <v>65</v>
      </c>
      <c r="H14" s="122">
        <v>7</v>
      </c>
      <c r="L14" s="120"/>
      <c r="M14" s="5" t="s">
        <v>91</v>
      </c>
      <c r="N14" s="125">
        <v>1800</v>
      </c>
      <c r="P14"/>
      <c r="Q14"/>
      <c r="R14"/>
    </row>
    <row r="15" spans="1:20" s="42" customFormat="1" ht="15" x14ac:dyDescent="0.2">
      <c r="D15" s="14"/>
      <c r="E15" s="43"/>
      <c r="G15" s="76" t="s">
        <v>179</v>
      </c>
      <c r="H15" s="122">
        <v>14</v>
      </c>
      <c r="L15" s="120"/>
      <c r="M15" s="5" t="s">
        <v>31</v>
      </c>
      <c r="N15" s="125">
        <v>1200</v>
      </c>
      <c r="P15"/>
      <c r="Q15"/>
      <c r="R15"/>
    </row>
    <row r="16" spans="1:20" s="42" customFormat="1" ht="15" x14ac:dyDescent="0.2">
      <c r="D16" s="14"/>
      <c r="E16" s="43"/>
      <c r="G16" s="76" t="s">
        <v>180</v>
      </c>
      <c r="H16" s="122">
        <v>14</v>
      </c>
      <c r="L16" s="120"/>
      <c r="M16" s="5" t="s">
        <v>92</v>
      </c>
      <c r="N16" s="125" t="s">
        <v>339</v>
      </c>
      <c r="P16"/>
      <c r="Q16"/>
      <c r="R16"/>
    </row>
    <row r="17" spans="1:30" s="42" customFormat="1" ht="15" x14ac:dyDescent="0.2">
      <c r="D17" s="14"/>
      <c r="E17" s="43"/>
      <c r="G17" s="76" t="s">
        <v>181</v>
      </c>
      <c r="H17" s="122">
        <v>14</v>
      </c>
      <c r="L17" s="120"/>
      <c r="M17" s="5" t="s">
        <v>93</v>
      </c>
      <c r="N17" s="125">
        <v>4050</v>
      </c>
    </row>
    <row r="18" spans="1:30" s="42" customFormat="1" ht="15" x14ac:dyDescent="0.2">
      <c r="D18" s="14"/>
      <c r="E18" s="43"/>
      <c r="G18" s="76" t="s">
        <v>178</v>
      </c>
      <c r="H18" s="122">
        <v>1.64</v>
      </c>
      <c r="L18" s="120"/>
      <c r="M18" s="121"/>
    </row>
    <row r="19" spans="1:30" s="42" customFormat="1" ht="15" x14ac:dyDescent="0.2">
      <c r="D19" s="14"/>
      <c r="E19" s="43"/>
      <c r="H19" s="15"/>
      <c r="L19" s="120"/>
      <c r="M19" s="121"/>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76"/>
      <c r="K25" s="76"/>
    </row>
    <row r="26" spans="1:30" ht="12" customHeight="1" x14ac:dyDescent="0.2">
      <c r="F26" s="80"/>
      <c r="G26"/>
      <c r="H26" s="76"/>
      <c r="I26" s="43"/>
      <c r="J26" s="76"/>
      <c r="K26" s="14"/>
      <c r="L26" s="67"/>
      <c r="M26" s="76"/>
      <c r="O26" s="76"/>
      <c r="P26" s="78"/>
      <c r="U26" s="78"/>
      <c r="X26" s="117"/>
      <c r="Z26" s="78"/>
      <c r="AB26" s="78"/>
      <c r="AD26" s="5"/>
    </row>
    <row r="27" spans="1:30" ht="12" customHeight="1" x14ac:dyDescent="0.2">
      <c r="F27" s="80"/>
      <c r="G27"/>
      <c r="H27" s="14"/>
      <c r="I27" s="43"/>
      <c r="J27" s="14"/>
      <c r="K27" s="42"/>
      <c r="L27" s="67"/>
      <c r="M27" s="14"/>
      <c r="O27" s="14"/>
      <c r="P27" s="78"/>
      <c r="U27" s="78"/>
      <c r="X27" s="118"/>
      <c r="Z27" s="78"/>
      <c r="AB27" s="78"/>
      <c r="AD27" s="5"/>
    </row>
    <row r="28" spans="1:30" ht="12" customHeight="1" x14ac:dyDescent="0.2">
      <c r="F28" s="80"/>
      <c r="G28"/>
      <c r="H28" s="76"/>
      <c r="I28" s="43"/>
      <c r="J28" s="42"/>
      <c r="K28" s="42"/>
      <c r="L28" s="15"/>
      <c r="M28" s="76"/>
      <c r="O28" s="76"/>
      <c r="P28" s="78"/>
      <c r="R28" s="42"/>
      <c r="S28" s="42"/>
      <c r="U28" s="78"/>
      <c r="X28" s="119"/>
      <c r="Z28" s="78"/>
      <c r="AB28" s="78"/>
      <c r="AD28" s="5"/>
    </row>
    <row r="29" spans="1:30" ht="12" customHeight="1" x14ac:dyDescent="0.2">
      <c r="D29"/>
      <c r="F29" s="76"/>
      <c r="G29"/>
      <c r="H29" s="14"/>
      <c r="I29" s="43"/>
      <c r="J29" s="42"/>
      <c r="K29" s="42"/>
      <c r="L29" s="15"/>
      <c r="M29" s="14"/>
      <c r="O29" s="14"/>
      <c r="P29" s="78"/>
      <c r="R29" s="42"/>
      <c r="S29" s="42"/>
      <c r="U29" s="78"/>
      <c r="X29" s="118"/>
      <c r="Z29" s="78"/>
      <c r="AB29" s="78"/>
      <c r="AD29" s="5"/>
    </row>
    <row r="30" spans="1:30" ht="12" customHeight="1" x14ac:dyDescent="0.2">
      <c r="D30"/>
      <c r="F30"/>
      <c r="G30"/>
      <c r="H30" s="76"/>
      <c r="I30" s="43"/>
      <c r="J30" s="42"/>
      <c r="K30" s="42"/>
      <c r="L30" s="15"/>
      <c r="M30" s="76"/>
      <c r="O30" s="76"/>
      <c r="P30" s="78"/>
      <c r="R30" s="42"/>
      <c r="S30" s="42"/>
      <c r="U30" s="79"/>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42"/>
      <c r="M32" s="42"/>
      <c r="N32" s="42"/>
      <c r="O32" s="42"/>
      <c r="P32" s="78"/>
      <c r="Q32" s="42"/>
      <c r="R32" s="42"/>
      <c r="S32" s="42"/>
      <c r="T32" s="15"/>
      <c r="U32" s="79"/>
      <c r="V32" s="42"/>
      <c r="W32" s="42"/>
      <c r="X32" s="42"/>
      <c r="Z32" s="79"/>
      <c r="AB32" s="79"/>
      <c r="AD32" s="5"/>
    </row>
    <row r="33" spans="1:30" x14ac:dyDescent="0.2">
      <c r="D33"/>
      <c r="F33"/>
      <c r="G33"/>
      <c r="H33" s="76"/>
      <c r="I33" s="43"/>
      <c r="J33" s="42"/>
      <c r="K33" s="42"/>
      <c r="L33" s="42"/>
      <c r="M33" s="42"/>
      <c r="N33" s="42"/>
      <c r="O33" s="42"/>
      <c r="P33" s="79"/>
      <c r="Q33" s="42"/>
      <c r="R33" s="42"/>
      <c r="S33" s="42"/>
      <c r="T33" s="15"/>
      <c r="U33" s="79"/>
      <c r="V33" s="42"/>
      <c r="W33" s="42"/>
      <c r="Z33" s="79"/>
      <c r="AB33" s="79"/>
    </row>
    <row r="34" spans="1:30" x14ac:dyDescent="0.2">
      <c r="D34"/>
      <c r="F34"/>
      <c r="G34"/>
      <c r="H34" s="14"/>
      <c r="I34" s="43"/>
      <c r="J34" s="42"/>
      <c r="K34" s="42"/>
      <c r="L34" s="42"/>
      <c r="M34" s="42"/>
      <c r="N34" s="42"/>
      <c r="O34" s="42"/>
      <c r="P34" s="79"/>
      <c r="Q34" s="42"/>
      <c r="R34" s="42"/>
      <c r="S34" s="42"/>
      <c r="T34" s="15"/>
      <c r="U34" s="79"/>
      <c r="V34" s="42"/>
      <c r="W34" s="42"/>
      <c r="Z34" s="79"/>
      <c r="AB34" s="79"/>
      <c r="AD34" s="42"/>
    </row>
    <row r="35" spans="1:30" x14ac:dyDescent="0.2">
      <c r="D35"/>
      <c r="F35"/>
      <c r="G35"/>
      <c r="H35" s="14"/>
      <c r="I35" s="43"/>
      <c r="J35" s="42"/>
      <c r="K35" s="42"/>
      <c r="L35" s="42"/>
      <c r="M35" s="42"/>
      <c r="N35" s="42"/>
      <c r="O35" s="42"/>
      <c r="P35" s="79"/>
      <c r="Q35" s="42"/>
      <c r="R35" s="42"/>
      <c r="S35" s="42"/>
      <c r="T35" s="15"/>
      <c r="V35" s="42"/>
      <c r="W35" s="42"/>
      <c r="Z35" s="79"/>
      <c r="AB35" s="79"/>
      <c r="AD35" s="42"/>
    </row>
    <row r="36" spans="1:30" x14ac:dyDescent="0.2">
      <c r="A36" s="42"/>
      <c r="B36" s="42"/>
      <c r="D36" s="42"/>
      <c r="F36"/>
      <c r="G36"/>
      <c r="H36" s="14"/>
      <c r="I36" s="43"/>
      <c r="J36" s="42"/>
      <c r="K36" s="42"/>
      <c r="L36" s="42"/>
      <c r="M36" s="42"/>
      <c r="N36" s="42"/>
      <c r="O36" s="42"/>
      <c r="P36" s="79"/>
      <c r="Q36" s="42"/>
      <c r="R36" s="42"/>
      <c r="S36" s="42"/>
      <c r="T36" s="15"/>
      <c r="V36" s="42"/>
      <c r="W36" s="42"/>
      <c r="X36" s="42"/>
      <c r="Z36" s="79"/>
      <c r="AB36" s="79"/>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35</v>
      </c>
      <c r="C2" s="3"/>
      <c r="D2" s="3"/>
      <c r="E2" s="3"/>
    </row>
    <row r="3" spans="1:19" ht="19.5" x14ac:dyDescent="0.2">
      <c r="A3" s="3"/>
      <c r="C3" s="3"/>
      <c r="D3" s="3"/>
    </row>
    <row r="4" spans="1:19" ht="12" customHeight="1" x14ac:dyDescent="0.2">
      <c r="A4" s="14" t="s">
        <v>60</v>
      </c>
      <c r="C4" s="14" t="s">
        <v>70</v>
      </c>
      <c r="D4"/>
      <c r="E4" s="66" t="s">
        <v>68</v>
      </c>
      <c r="F4" s="66"/>
      <c r="G4" s="67" t="s">
        <v>18</v>
      </c>
      <c r="H4" s="66"/>
      <c r="I4" t="s">
        <v>19</v>
      </c>
      <c r="J4" s="66"/>
      <c r="K4" t="s">
        <v>78</v>
      </c>
      <c r="M4" t="s">
        <v>81</v>
      </c>
      <c r="O4" t="s">
        <v>82</v>
      </c>
      <c r="Q4" t="s">
        <v>83</v>
      </c>
    </row>
    <row r="5" spans="1:19" ht="12" customHeight="1" x14ac:dyDescent="0.2">
      <c r="A5" s="14" t="s">
        <v>61</v>
      </c>
      <c r="C5" s="80" t="s">
        <v>69</v>
      </c>
      <c r="D5"/>
      <c r="E5" s="76" t="s">
        <v>88</v>
      </c>
      <c r="F5" s="76"/>
      <c r="G5" s="67" t="s">
        <v>26</v>
      </c>
      <c r="H5" s="76"/>
      <c r="I5" t="s">
        <v>36</v>
      </c>
      <c r="J5" s="76"/>
      <c r="K5" s="78">
        <v>0</v>
      </c>
      <c r="M5" s="78">
        <v>2</v>
      </c>
      <c r="O5" s="78">
        <v>0</v>
      </c>
      <c r="Q5" s="78">
        <v>0</v>
      </c>
    </row>
    <row r="6" spans="1:19" ht="12" customHeight="1" x14ac:dyDescent="0.2">
      <c r="A6" s="14" t="s">
        <v>62</v>
      </c>
      <c r="C6" s="80" t="s">
        <v>25</v>
      </c>
      <c r="D6"/>
      <c r="E6" s="76" t="s">
        <v>75</v>
      </c>
      <c r="F6" s="14"/>
      <c r="G6" s="67" t="s">
        <v>28</v>
      </c>
      <c r="H6" s="14"/>
      <c r="I6" t="s">
        <v>37</v>
      </c>
      <c r="J6" s="14"/>
      <c r="K6" s="78">
        <v>1</v>
      </c>
      <c r="M6" s="78">
        <v>3</v>
      </c>
      <c r="O6" s="78">
        <v>1</v>
      </c>
      <c r="Q6" s="78">
        <v>1</v>
      </c>
    </row>
    <row r="7" spans="1:19" ht="12" customHeight="1" x14ac:dyDescent="0.2">
      <c r="A7" s="14" t="s">
        <v>63</v>
      </c>
      <c r="C7" s="80" t="s">
        <v>27</v>
      </c>
      <c r="D7"/>
      <c r="E7" s="14" t="s">
        <v>76</v>
      </c>
      <c r="F7" s="42"/>
      <c r="G7" s="67" t="s">
        <v>347</v>
      </c>
      <c r="H7" s="76"/>
      <c r="I7" t="s">
        <v>38</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48</v>
      </c>
      <c r="B1" t="s">
        <v>96</v>
      </c>
    </row>
    <row r="2" spans="1:2" x14ac:dyDescent="0.2">
      <c r="A2" s="111" t="s">
        <v>55</v>
      </c>
      <c r="B2" t="s">
        <v>96</v>
      </c>
    </row>
    <row r="3" spans="1:2" x14ac:dyDescent="0.2">
      <c r="A3" s="111" t="s">
        <v>40</v>
      </c>
      <c r="B3" t="s">
        <v>96</v>
      </c>
    </row>
    <row r="4" spans="1:2" x14ac:dyDescent="0.2">
      <c r="A4" s="111" t="s">
        <v>41</v>
      </c>
      <c r="B4" t="s">
        <v>96</v>
      </c>
    </row>
    <row r="5" spans="1:2" x14ac:dyDescent="0.2">
      <c r="A5" s="111" t="s">
        <v>42</v>
      </c>
      <c r="B5" t="s">
        <v>96</v>
      </c>
    </row>
    <row r="6" spans="1:2" x14ac:dyDescent="0.2">
      <c r="A6" s="111" t="s">
        <v>282</v>
      </c>
      <c r="B6" t="s">
        <v>96</v>
      </c>
    </row>
    <row r="7" spans="1:2" x14ac:dyDescent="0.2">
      <c r="A7" s="111" t="s">
        <v>43</v>
      </c>
      <c r="B7" t="s">
        <v>96</v>
      </c>
    </row>
    <row r="8" spans="1:2" x14ac:dyDescent="0.2">
      <c r="A8" s="111" t="s">
        <v>44</v>
      </c>
      <c r="B8" t="s">
        <v>96</v>
      </c>
    </row>
    <row r="9" spans="1:2" x14ac:dyDescent="0.2">
      <c r="A9" s="111" t="s">
        <v>45</v>
      </c>
      <c r="B9" t="s">
        <v>96</v>
      </c>
    </row>
    <row r="10" spans="1:2" x14ac:dyDescent="0.2">
      <c r="A10" s="111" t="s">
        <v>46</v>
      </c>
      <c r="B10" t="s">
        <v>96</v>
      </c>
    </row>
    <row r="11" spans="1:2" x14ac:dyDescent="0.2">
      <c r="A11" s="111" t="s">
        <v>58</v>
      </c>
      <c r="B11" t="s">
        <v>96</v>
      </c>
    </row>
    <row r="12" spans="1:2" x14ac:dyDescent="0.2">
      <c r="A12" s="111" t="s">
        <v>59</v>
      </c>
      <c r="B12" t="s">
        <v>96</v>
      </c>
    </row>
    <row r="14" spans="1:2" x14ac:dyDescent="0.2">
      <c r="A14" s="111" t="s">
        <v>47</v>
      </c>
    </row>
    <row r="15" spans="1:2" x14ac:dyDescent="0.2">
      <c r="A15" s="111" t="s">
        <v>49</v>
      </c>
      <c r="B15" s="114"/>
    </row>
    <row r="16" spans="1:2" x14ac:dyDescent="0.2">
      <c r="A16" s="111" t="s">
        <v>50</v>
      </c>
      <c r="B16" t="s">
        <v>96</v>
      </c>
    </row>
    <row r="17" spans="1:2" x14ac:dyDescent="0.2">
      <c r="A17" s="111" t="s">
        <v>51</v>
      </c>
      <c r="B17" s="114"/>
    </row>
    <row r="19" spans="1:2" x14ac:dyDescent="0.2">
      <c r="A19" s="111" t="s">
        <v>52</v>
      </c>
      <c r="B19" t="s">
        <v>96</v>
      </c>
    </row>
    <row r="21" spans="1:2" x14ac:dyDescent="0.2">
      <c r="A21" s="111" t="s">
        <v>283</v>
      </c>
      <c r="B21" t="s">
        <v>96</v>
      </c>
    </row>
    <row r="22" spans="1:2" x14ac:dyDescent="0.2">
      <c r="A22" s="111" t="s">
        <v>53</v>
      </c>
      <c r="B22" t="s">
        <v>96</v>
      </c>
    </row>
    <row r="23" spans="1:2" x14ac:dyDescent="0.2">
      <c r="A23" s="111" t="s">
        <v>54</v>
      </c>
      <c r="B23" s="20" t="s">
        <v>96</v>
      </c>
    </row>
    <row r="25" spans="1:2" x14ac:dyDescent="0.2">
      <c r="A25" s="111" t="s">
        <v>158</v>
      </c>
      <c r="B25" t="s">
        <v>96</v>
      </c>
    </row>
    <row r="29" spans="1:2" x14ac:dyDescent="0.2">
      <c r="A29" s="111" t="s">
        <v>143</v>
      </c>
      <c r="B29" t="s">
        <v>96</v>
      </c>
    </row>
    <row r="30" spans="1:2" x14ac:dyDescent="0.2">
      <c r="A30" s="111" t="s">
        <v>142</v>
      </c>
      <c r="B30" t="s">
        <v>96</v>
      </c>
    </row>
    <row r="31" spans="1:2" x14ac:dyDescent="0.2">
      <c r="A31" s="111" t="s">
        <v>156</v>
      </c>
      <c r="B31" t="s">
        <v>96</v>
      </c>
    </row>
    <row r="32" spans="1:2" x14ac:dyDescent="0.2">
      <c r="A32" s="111" t="s">
        <v>145</v>
      </c>
      <c r="B32" t="s">
        <v>96</v>
      </c>
    </row>
    <row r="33" spans="1:2" x14ac:dyDescent="0.2">
      <c r="A33" s="111" t="s">
        <v>146</v>
      </c>
      <c r="B33" t="s">
        <v>96</v>
      </c>
    </row>
    <row r="34" spans="1:2" x14ac:dyDescent="0.2">
      <c r="A34" s="111" t="s">
        <v>151</v>
      </c>
      <c r="B34" t="s">
        <v>96</v>
      </c>
    </row>
    <row r="35" spans="1:2" x14ac:dyDescent="0.2">
      <c r="A35" s="111" t="s">
        <v>152</v>
      </c>
      <c r="B35" t="s">
        <v>96</v>
      </c>
    </row>
    <row r="36" spans="1:2" x14ac:dyDescent="0.2">
      <c r="A36" s="111" t="s">
        <v>160</v>
      </c>
      <c r="B36" t="s">
        <v>96</v>
      </c>
    </row>
    <row r="37" spans="1:2" x14ac:dyDescent="0.2">
      <c r="A37" s="111" t="s">
        <v>154</v>
      </c>
      <c r="B37" t="s">
        <v>96</v>
      </c>
    </row>
    <row r="38" spans="1:2" x14ac:dyDescent="0.2">
      <c r="A38" s="111" t="s">
        <v>155</v>
      </c>
      <c r="B38" t="s">
        <v>96</v>
      </c>
    </row>
    <row r="39" spans="1:2" x14ac:dyDescent="0.2">
      <c r="A39" s="111" t="s">
        <v>157</v>
      </c>
      <c r="B39" t="s">
        <v>96</v>
      </c>
    </row>
    <row r="40" spans="1:2" x14ac:dyDescent="0.2">
      <c r="A40" s="111" t="s">
        <v>184</v>
      </c>
      <c r="B40" t="s">
        <v>96</v>
      </c>
    </row>
    <row r="41" spans="1:2" x14ac:dyDescent="0.2">
      <c r="A41" s="111" t="s">
        <v>189</v>
      </c>
      <c r="B41" t="s">
        <v>276</v>
      </c>
    </row>
    <row r="42" spans="1:2" x14ac:dyDescent="0.2">
      <c r="A42" s="111" t="s">
        <v>284</v>
      </c>
      <c r="B42" s="114"/>
    </row>
    <row r="43" spans="1:2" x14ac:dyDescent="0.2">
      <c r="A43" s="111" t="s">
        <v>279</v>
      </c>
      <c r="B43" t="s">
        <v>96</v>
      </c>
    </row>
    <row r="44" spans="1:2" x14ac:dyDescent="0.2">
      <c r="A44" s="111" t="s">
        <v>280</v>
      </c>
      <c r="B44" t="s">
        <v>281</v>
      </c>
    </row>
    <row r="45" spans="1:2" x14ac:dyDescent="0.2">
      <c r="A45" s="111" t="s">
        <v>195</v>
      </c>
      <c r="B45" t="s">
        <v>96</v>
      </c>
    </row>
    <row r="47" spans="1:2" x14ac:dyDescent="0.2">
      <c r="A47" s="111" t="s">
        <v>198</v>
      </c>
      <c r="B47" t="s">
        <v>96</v>
      </c>
    </row>
    <row r="48" spans="1:2" ht="27.75" customHeight="1" x14ac:dyDescent="0.2">
      <c r="A48" s="111" t="s">
        <v>199</v>
      </c>
      <c r="B48" t="s">
        <v>96</v>
      </c>
    </row>
    <row r="49" spans="1:2" ht="24" x14ac:dyDescent="0.2">
      <c r="A49" s="111" t="s">
        <v>203</v>
      </c>
      <c r="B49" t="s">
        <v>96</v>
      </c>
    </row>
    <row r="50" spans="1:2" ht="24" x14ac:dyDescent="0.2">
      <c r="A50" s="111" t="s">
        <v>277</v>
      </c>
      <c r="B50" t="s">
        <v>96</v>
      </c>
    </row>
    <row r="51" spans="1:2" x14ac:dyDescent="0.2">
      <c r="A51" s="111" t="s">
        <v>202</v>
      </c>
      <c r="B51" s="114"/>
    </row>
    <row r="53" spans="1:2" x14ac:dyDescent="0.2">
      <c r="A53" s="111" t="s">
        <v>366</v>
      </c>
      <c r="B53" s="146" t="s">
        <v>96</v>
      </c>
    </row>
    <row r="55" spans="1:2" x14ac:dyDescent="0.2">
      <c r="A55" s="111" t="s">
        <v>286</v>
      </c>
      <c r="B55" t="s">
        <v>96</v>
      </c>
    </row>
    <row r="56" spans="1:2" x14ac:dyDescent="0.2">
      <c r="A56" s="111" t="s">
        <v>287</v>
      </c>
      <c r="B56" s="20" t="s">
        <v>96</v>
      </c>
    </row>
    <row r="57" spans="1:2" x14ac:dyDescent="0.2">
      <c r="A57" s="111" t="s">
        <v>288</v>
      </c>
      <c r="B57" t="s">
        <v>96</v>
      </c>
    </row>
    <row r="58" spans="1:2" x14ac:dyDescent="0.2">
      <c r="A58" s="111" t="s">
        <v>289</v>
      </c>
      <c r="B58" t="s">
        <v>96</v>
      </c>
    </row>
    <row r="59" spans="1:2" x14ac:dyDescent="0.2">
      <c r="A59" s="111" t="s">
        <v>290</v>
      </c>
      <c r="B59" t="s">
        <v>96</v>
      </c>
    </row>
    <row r="60" spans="1:2" x14ac:dyDescent="0.2">
      <c r="A60" s="111" t="s">
        <v>291</v>
      </c>
      <c r="B60" t="s">
        <v>96</v>
      </c>
    </row>
    <row r="61" spans="1:2" x14ac:dyDescent="0.2">
      <c r="A61" s="111" t="s">
        <v>292</v>
      </c>
      <c r="B61" s="20" t="s">
        <v>96</v>
      </c>
    </row>
    <row r="62" spans="1:2" x14ac:dyDescent="0.2">
      <c r="A62" s="111" t="s">
        <v>293</v>
      </c>
      <c r="B62" s="20" t="s">
        <v>96</v>
      </c>
    </row>
    <row r="63" spans="1:2" x14ac:dyDescent="0.2">
      <c r="A63" s="111" t="s">
        <v>294</v>
      </c>
      <c r="B63" s="20" t="s">
        <v>96</v>
      </c>
    </row>
    <row r="64" spans="1:2" x14ac:dyDescent="0.2">
      <c r="A64" s="111" t="s">
        <v>295</v>
      </c>
      <c r="B64" s="20" t="s">
        <v>96</v>
      </c>
    </row>
    <row r="65" spans="1:2" x14ac:dyDescent="0.2">
      <c r="A65" s="111" t="s">
        <v>296</v>
      </c>
      <c r="B65" t="s">
        <v>96</v>
      </c>
    </row>
    <row r="66" spans="1:2" x14ac:dyDescent="0.2">
      <c r="A66" s="111" t="s">
        <v>297</v>
      </c>
      <c r="B66" t="s">
        <v>370</v>
      </c>
    </row>
    <row r="68" spans="1:2" x14ac:dyDescent="0.2">
      <c r="A68" s="111" t="s">
        <v>384</v>
      </c>
      <c r="B68" t="s">
        <v>96</v>
      </c>
    </row>
    <row r="70" spans="1:2" x14ac:dyDescent="0.2">
      <c r="A70" s="111" t="s">
        <v>57</v>
      </c>
    </row>
    <row r="71" spans="1:2" x14ac:dyDescent="0.2">
      <c r="A71" s="111" t="s">
        <v>56</v>
      </c>
    </row>
    <row r="72" spans="1:2" x14ac:dyDescent="0.2">
      <c r="A72" s="111" t="s">
        <v>144</v>
      </c>
    </row>
    <row r="73" spans="1:2" ht="24" x14ac:dyDescent="0.2">
      <c r="A73" s="111" t="s">
        <v>153</v>
      </c>
      <c r="B73" t="s">
        <v>358</v>
      </c>
    </row>
    <row r="74" spans="1:2" x14ac:dyDescent="0.2">
      <c r="A74" s="111" t="s">
        <v>149</v>
      </c>
      <c r="B74" t="s">
        <v>355</v>
      </c>
    </row>
    <row r="75" spans="1:2" x14ac:dyDescent="0.2">
      <c r="A75" s="111" t="s">
        <v>150</v>
      </c>
      <c r="B75" t="s">
        <v>356</v>
      </c>
    </row>
    <row r="76" spans="1:2" ht="24" x14ac:dyDescent="0.2">
      <c r="A76" s="111" t="s">
        <v>159</v>
      </c>
      <c r="B76" t="s">
        <v>359</v>
      </c>
    </row>
    <row r="77" spans="1:2" x14ac:dyDescent="0.2">
      <c r="A77" s="111" t="s">
        <v>278</v>
      </c>
    </row>
    <row r="78" spans="1:2" x14ac:dyDescent="0.2">
      <c r="A78" s="111" t="s">
        <v>176</v>
      </c>
    </row>
    <row r="79" spans="1:2" x14ac:dyDescent="0.2">
      <c r="A79" s="111" t="s">
        <v>174</v>
      </c>
      <c r="B79" t="s">
        <v>357</v>
      </c>
    </row>
    <row r="80" spans="1:2" x14ac:dyDescent="0.2">
      <c r="A80" s="111" t="s">
        <v>175</v>
      </c>
      <c r="B80" t="s">
        <v>364</v>
      </c>
    </row>
    <row r="81" spans="1:2" ht="24" x14ac:dyDescent="0.2">
      <c r="A81" s="111" t="s">
        <v>183</v>
      </c>
      <c r="B81" t="s">
        <v>361</v>
      </c>
    </row>
    <row r="82" spans="1:2" x14ac:dyDescent="0.2">
      <c r="A82" s="111" t="s">
        <v>201</v>
      </c>
      <c r="B82" t="s">
        <v>363</v>
      </c>
    </row>
    <row r="83" spans="1:2" x14ac:dyDescent="0.2">
      <c r="A83" s="112" t="s">
        <v>246</v>
      </c>
    </row>
    <row r="84" spans="1:2" x14ac:dyDescent="0.2">
      <c r="A84" s="112" t="s">
        <v>306</v>
      </c>
    </row>
    <row r="85" spans="1:2" x14ac:dyDescent="0.2">
      <c r="A85" s="111" t="s">
        <v>299</v>
      </c>
    </row>
    <row r="86" spans="1:2" x14ac:dyDescent="0.2">
      <c r="A86" s="111" t="s">
        <v>348</v>
      </c>
    </row>
    <row r="87" spans="1:2" x14ac:dyDescent="0.2">
      <c r="A87" s="111" t="s">
        <v>354</v>
      </c>
    </row>
    <row r="88" spans="1:2" x14ac:dyDescent="0.2">
      <c r="A88" s="111" t="s">
        <v>362</v>
      </c>
    </row>
    <row r="89" spans="1:2" ht="24" x14ac:dyDescent="0.2">
      <c r="A89" s="111" t="s">
        <v>360</v>
      </c>
    </row>
    <row r="90" spans="1:2" x14ac:dyDescent="0.2">
      <c r="A90" s="111" t="s">
        <v>365</v>
      </c>
    </row>
    <row r="91" spans="1:2" x14ac:dyDescent="0.2">
      <c r="A91" s="111" t="s">
        <v>367</v>
      </c>
    </row>
    <row r="92" spans="1:2" x14ac:dyDescent="0.2">
      <c r="A92" s="111" t="s">
        <v>368</v>
      </c>
    </row>
    <row r="94" spans="1:2" x14ac:dyDescent="0.2">
      <c r="A94" s="111" t="s">
        <v>10</v>
      </c>
    </row>
    <row r="96" spans="1:2" x14ac:dyDescent="0.2">
      <c r="A96" s="111" t="s">
        <v>163</v>
      </c>
    </row>
    <row r="98" spans="1:1" x14ac:dyDescent="0.2">
      <c r="A98" s="111" t="s">
        <v>164</v>
      </c>
    </row>
    <row r="99" spans="1:1" x14ac:dyDescent="0.2">
      <c r="A99" s="111" t="s">
        <v>165</v>
      </c>
    </row>
    <row r="100" spans="1:1" x14ac:dyDescent="0.2">
      <c r="A100" s="111" t="s">
        <v>166</v>
      </c>
    </row>
    <row r="101" spans="1:1" x14ac:dyDescent="0.2">
      <c r="A101" s="111" t="s">
        <v>167</v>
      </c>
    </row>
    <row r="102" spans="1:1" x14ac:dyDescent="0.2">
      <c r="A102" s="111" t="s">
        <v>168</v>
      </c>
    </row>
    <row r="103" spans="1:1" x14ac:dyDescent="0.2">
      <c r="A103" s="111" t="s">
        <v>169</v>
      </c>
    </row>
    <row r="104" spans="1:1" x14ac:dyDescent="0.2">
      <c r="A104" s="111" t="s">
        <v>170</v>
      </c>
    </row>
    <row r="105" spans="1:1" x14ac:dyDescent="0.2">
      <c r="A105" s="111" t="s">
        <v>171</v>
      </c>
    </row>
    <row r="106" spans="1:1" x14ac:dyDescent="0.2">
      <c r="A106" s="111" t="s">
        <v>172</v>
      </c>
    </row>
    <row r="107" spans="1:1" x14ac:dyDescent="0.2">
      <c r="A107" s="111" t="s">
        <v>311</v>
      </c>
    </row>
    <row r="111" spans="1:1" x14ac:dyDescent="0.2">
      <c r="A111" s="111" t="s">
        <v>185</v>
      </c>
    </row>
    <row r="112" spans="1:1" x14ac:dyDescent="0.2">
      <c r="A112" s="111" t="s">
        <v>285</v>
      </c>
    </row>
    <row r="113" spans="1:1" x14ac:dyDescent="0.2">
      <c r="A113" s="111" t="s">
        <v>186</v>
      </c>
    </row>
    <row r="114" spans="1:1" x14ac:dyDescent="0.2">
      <c r="A114" s="111" t="s">
        <v>187</v>
      </c>
    </row>
    <row r="115" spans="1:1" x14ac:dyDescent="0.2">
      <c r="A115" s="111" t="s">
        <v>188</v>
      </c>
    </row>
    <row r="117" spans="1:1" x14ac:dyDescent="0.2">
      <c r="A117" s="111" t="s">
        <v>190</v>
      </c>
    </row>
    <row r="118" spans="1:1" x14ac:dyDescent="0.2">
      <c r="A118" s="111" t="s">
        <v>191</v>
      </c>
    </row>
    <row r="119" spans="1:1" x14ac:dyDescent="0.2">
      <c r="A119" s="111" t="s">
        <v>192</v>
      </c>
    </row>
    <row r="120" spans="1:1" x14ac:dyDescent="0.2">
      <c r="A120" s="111" t="s">
        <v>193</v>
      </c>
    </row>
    <row r="121" spans="1:1" x14ac:dyDescent="0.2">
      <c r="A121" s="111" t="s">
        <v>194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55</vt:i4>
      </vt:variant>
    </vt:vector>
  </HeadingPairs>
  <TitlesOfParts>
    <vt:vector size="73" baseType="lpstr">
      <vt:lpstr>Controls</vt:lpstr>
      <vt:lpstr>Quote</vt:lpstr>
      <vt:lpstr>Timbers</vt:lpstr>
      <vt:lpstr>Doors</vt:lpstr>
      <vt:lpstr>Stops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'Facings stop side'!Print_Area</vt:lpstr>
      <vt:lpstr>'Hinge facings'!Print_Area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2020-10-02T20:00:08Z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