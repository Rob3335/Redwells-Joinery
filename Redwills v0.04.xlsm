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58F0080F-EAE7-4FF0-8FF4-4307917D3665}" xr6:coauthVersionLast="45" xr6:coauthVersionMax="45" xr10:uidLastSave="{00000000-0000-0000-0000-000000000000}"/>
  <bookViews>
    <workbookView xWindow="-120" yWindow="-120" windowWidth="20730" windowHeight="11160" tabRatio="500" xr2:uid="{00000000-000D-0000-FFFF-FFFF00000000}"/>
  </bookViews>
  <sheets>
    <sheet name="Report1" sheetId="42" r:id="rId1"/>
    <sheet name="Constants" sheetId="41" r:id="rId2"/>
    <sheet name="Controls" sheetId="9" r:id="rId3"/>
    <sheet name="Job Ref" sheetId="37" r:id="rId4"/>
    <sheet name="Schedules" sheetId="38" r:id="rId5"/>
    <sheet name="SchedulesRef" sheetId="36" r:id="rId6"/>
    <sheet name="Exceptions" sheetId="11" r:id="rId7"/>
    <sheet name="ReleaseNotes" sheetId="8" r:id="rId8"/>
    <sheet name="Lists" sheetId="39" r:id="rId9"/>
    <sheet name="Todo" sheetId="40" r:id="rId10"/>
  </sheets>
  <functionGroups builtInGroupCount="19"/>
  <definedNames>
    <definedName name="BlockQuantity">Constants!$B$12</definedName>
    <definedName name="dnDeveloperMode">0</definedName>
    <definedName name="HeadClearance_mm">Constants!$B$6</definedName>
    <definedName name="LegQuantity">Constants!$B$4</definedName>
    <definedName name="MarginForHingeClearance_mm">Constants!$B$8</definedName>
    <definedName name="MeetingStyleClearance_mm">Constants!$B$7</definedName>
    <definedName name="oeFilename">"Redwills"</definedName>
    <definedName name="oeReleaseNumber">0.04</definedName>
    <definedName name="PerformanceExport">Controls!$B$11</definedName>
    <definedName name="PerformanceImport">Controls!$B$9</definedName>
    <definedName name="PerformanceProcess">Controls!$B$10</definedName>
    <definedName name="StrappingQuantity">Constants!$B$11</definedName>
    <definedName name="StrappingThickness_mm">Constants!$B$10</definedName>
    <definedName name="StrappingWidth_mm">Constants!$B$9</definedName>
    <definedName name="ThresholdQuantity">Constants!$B$13</definedName>
    <definedName name="WidthClearance_mm">Constants!$B$5</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<sst xmlns="http://schemas.openxmlformats.org/spreadsheetml/2006/main" count="2355" uniqueCount="524">
  <si>
    <t>0.00</t>
  </si>
  <si>
    <t>Controls</t>
  </si>
  <si>
    <t xml:space="preserve"> </t>
  </si>
  <si>
    <t>Source</t>
  </si>
  <si>
    <t>Location</t>
  </si>
  <si>
    <t>Data import</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</si>
  <si>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</si>
  <si>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</si>
  <si>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</si>
  <si>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</si>
  <si>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</si>
  <si>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</si>
  <si>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</si>
  <si>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</si>
  <si>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</si>
  <si>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</si>
  <si>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</si>
  <si>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</si>
  <si>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</si>
  <si>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</si>
  <si>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</si>
  <si>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</si>
  <si>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</si>
  <si>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</si>
  <si>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</si>
  <si>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</si>
  <si>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</si>
  <si>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</si>
  <si>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</si>
  <si>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</si>
  <si>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</si>
  <si>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</si>
  <si>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</si>
  <si>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</si>
  <si>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</si>
  <si>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</si>
  <si>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</si>
  <si>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</si>
  <si>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</si>
  <si>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</si>
  <si>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</si>
  <si>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</si>
  <si>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</si>
  <si>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</si>
  <si>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</si>
  <si>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</si>
  <si>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</si>
  <si>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</si>
  <si>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</si>
  <si>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</si>
  <si>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</si>
  <si>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</si>
  <si>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</si>
  <si>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</si>
  <si>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</si>
  <si>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</si>
  <si>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</si>
  <si>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</si>
  <si>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</si>
  <si>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</si>
  <si>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</si>
  <si>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</si>
  <si>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</si>
  <si>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</si>
  <si>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</si>
  <si>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</si>
  <si>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</si>
  <si>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</si>
  <si>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</si>
  <si>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</si>
  <si>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</si>
  <si>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</si>
  <si>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</si>
  <si>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</si>
  <si>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</si>
  <si>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</si>
  <si>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</si>
  <si>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</si>
  <si>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</si>
  <si>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</si>
  <si>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</si>
  <si>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</si>
  <si>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</si>
  <si>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</si>
  <si>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</si>
  <si>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</si>
  <si>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</si>
  <si>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</si>
  <si>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</si>
  <si>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</si>
  <si>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</si>
  <si>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</si>
  <si>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</si>
  <si>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</si>
  <si>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</si>
  <si>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</si>
  <si>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</si>
  <si>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</si>
  <si>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</si>
  <si>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</si>
  <si>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</si>
  <si>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</si>
  <si>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</si>
  <si>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</si>
  <si>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</si>
  <si>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</si>
  <si>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</si>
  <si>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</si>
  <si>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</si>
  <si>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</si>
  <si>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</si>
  <si>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</si>
  <si>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</si>
  <si>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</si>
  <si>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</si>
  <si>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</si>
  <si>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</si>
  <si>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</si>
  <si>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</si>
  <si>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</si>
  <si>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</si>
  <si>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</si>
  <si>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</si>
  <si>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</si>
  <si>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</si>
  <si>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PM</t>
  </si>
  <si>
    <t>D</t>
  </si>
  <si>
    <t>Y</t>
  </si>
  <si>
    <t>N</t>
  </si>
  <si>
    <t>Premium</t>
  </si>
  <si>
    <t>M02</t>
  </si>
  <si>
    <t xml:space="preserve">T6103 </t>
  </si>
  <si>
    <t xml:space="preserve">TRANSRE     </t>
  </si>
  <si>
    <t xml:space="preserve"> C$</t>
  </si>
  <si>
    <t>CAD</t>
  </si>
  <si>
    <t xml:space="preserve">    </t>
  </si>
  <si>
    <t>+</t>
  </si>
  <si>
    <t xml:space="preserve">            </t>
  </si>
  <si>
    <t>T61</t>
  </si>
  <si>
    <t xml:space="preserve">MARSH LIMITED       </t>
  </si>
  <si>
    <t xml:space="preserve">WILLIS LIMITED      </t>
  </si>
  <si>
    <t xml:space="preserve">000016MDP   </t>
  </si>
  <si>
    <t xml:space="preserve">000019MDP   </t>
  </si>
  <si>
    <t xml:space="preserve">LJ55005M120 </t>
  </si>
  <si>
    <t xml:space="preserve">AON BENFIELD        </t>
  </si>
  <si>
    <t>D2017361ENED</t>
  </si>
  <si>
    <t xml:space="preserve">LI65328C120 </t>
  </si>
  <si>
    <t>EUR</t>
  </si>
  <si>
    <t xml:space="preserve">000007MDP   </t>
  </si>
  <si>
    <t>-</t>
  </si>
  <si>
    <t xml:space="preserve">000028MDP   </t>
  </si>
  <si>
    <t xml:space="preserve">000004MDP   </t>
  </si>
  <si>
    <t xml:space="preserve">LF55125M120 </t>
  </si>
  <si>
    <t>D2010283AMNT</t>
  </si>
  <si>
    <t xml:space="preserve">LF55023M120 </t>
  </si>
  <si>
    <t>D2010288TDPU</t>
  </si>
  <si>
    <t xml:space="preserve">L2X5128M120 </t>
  </si>
  <si>
    <t xml:space="preserve">LF55124M120 </t>
  </si>
  <si>
    <t>D2010300RHRC</t>
  </si>
  <si>
    <t xml:space="preserve">LF55021M120 </t>
  </si>
  <si>
    <t xml:space="preserve">CQA5007M120 </t>
  </si>
  <si>
    <t>D1976727FRBA</t>
  </si>
  <si>
    <t>D1976746DPUV</t>
  </si>
  <si>
    <t xml:space="preserve">LC45102H120 </t>
  </si>
  <si>
    <t>D1983833RHAF</t>
  </si>
  <si>
    <t>D1983831EEFH</t>
  </si>
  <si>
    <t>D2001849VBMD</t>
  </si>
  <si>
    <t>D1976743CPKE</t>
  </si>
  <si>
    <t>D1976740NUTU</t>
  </si>
  <si>
    <t xml:space="preserve">10307L20    </t>
  </si>
  <si>
    <t xml:space="preserve">BMS GROUP LTD       </t>
  </si>
  <si>
    <t xml:space="preserve">  ?</t>
  </si>
  <si>
    <t>GBP</t>
  </si>
  <si>
    <t>claim</t>
  </si>
  <si>
    <t xml:space="preserve">000010MDP   </t>
  </si>
  <si>
    <t xml:space="preserve">000022MDP   </t>
  </si>
  <si>
    <t xml:space="preserve">LF25284H120 </t>
  </si>
  <si>
    <t>D1972482NFJE</t>
  </si>
  <si>
    <t xml:space="preserve">AY55044A120 </t>
  </si>
  <si>
    <t>D2016203JMBE</t>
  </si>
  <si>
    <t>D2016202MCFV</t>
  </si>
  <si>
    <t>D1972487DPKH</t>
  </si>
  <si>
    <t>D2016201DPCA</t>
  </si>
  <si>
    <t>D2016195ECAF</t>
  </si>
  <si>
    <t>D2016204DUCB</t>
  </si>
  <si>
    <t>D2016206JVKA</t>
  </si>
  <si>
    <t>D2016193KRJR</t>
  </si>
  <si>
    <t>D1972483BAVM</t>
  </si>
  <si>
    <t>D2016200EHUD</t>
  </si>
  <si>
    <t>D1972486UTFN</t>
  </si>
  <si>
    <t xml:space="preserve">LEK5125M120 </t>
  </si>
  <si>
    <t>D1987242TFFD</t>
  </si>
  <si>
    <t xml:space="preserve">LEK5127M120 </t>
  </si>
  <si>
    <t>D1987381PHAN</t>
  </si>
  <si>
    <t xml:space="preserve">LEK5126M120 </t>
  </si>
  <si>
    <t>D1987365PATR</t>
  </si>
  <si>
    <t>D1987721AJCK</t>
  </si>
  <si>
    <t>US$</t>
  </si>
  <si>
    <t>USD</t>
  </si>
  <si>
    <t>D1962842JTVE</t>
  </si>
  <si>
    <t>P2005070061731</t>
  </si>
  <si>
    <t>P2005070061772</t>
  </si>
  <si>
    <t>P2005070061798</t>
  </si>
  <si>
    <t>P2006150062904</t>
  </si>
  <si>
    <t>P2003230061568</t>
  </si>
  <si>
    <t>P2003270861437</t>
  </si>
  <si>
    <t>P2003270861411</t>
  </si>
  <si>
    <t>P2003260860886</t>
  </si>
  <si>
    <t>P2005040873790</t>
  </si>
  <si>
    <t>P2004290872438</t>
  </si>
  <si>
    <t>P2004170061386</t>
  </si>
  <si>
    <t>P2004290872461</t>
  </si>
  <si>
    <t>D2010291VEBH</t>
  </si>
  <si>
    <t>L07Y5011M120</t>
  </si>
  <si>
    <t>P2002210061275</t>
  </si>
  <si>
    <t>D1968829ANJA</t>
  </si>
  <si>
    <t>P2004210062238</t>
  </si>
  <si>
    <t>D1976738TCDK</t>
  </si>
  <si>
    <t>P2004210062212</t>
  </si>
  <si>
    <t>P2004210062188</t>
  </si>
  <si>
    <t>P2004210062162</t>
  </si>
  <si>
    <t>D1976737JVBJ</t>
  </si>
  <si>
    <t>P2004210062147</t>
  </si>
  <si>
    <t>D1987723NBDJ</t>
  </si>
  <si>
    <t>P2004210062113</t>
  </si>
  <si>
    <t>P2004210062097</t>
  </si>
  <si>
    <t>D1976739RMEA</t>
  </si>
  <si>
    <t>P2004210062071</t>
  </si>
  <si>
    <t>P2004210062048</t>
  </si>
  <si>
    <t>P2005070061756</t>
  </si>
  <si>
    <t>P2003230061592</t>
  </si>
  <si>
    <t>P2003030872674</t>
  </si>
  <si>
    <t>P2003060060862</t>
  </si>
  <si>
    <t>P2003060060805</t>
  </si>
  <si>
    <t>B1962843CBTK</t>
  </si>
  <si>
    <t>P2003060061019</t>
  </si>
  <si>
    <t>D1962857UFTM</t>
  </si>
  <si>
    <t>P2003060060896</t>
  </si>
  <si>
    <t>B1962858FCED</t>
  </si>
  <si>
    <t>P2003060060920</t>
  </si>
  <si>
    <t>D1962865ENFM</t>
  </si>
  <si>
    <t>P2005070061699</t>
  </si>
  <si>
    <t>P2004280869568</t>
  </si>
  <si>
    <t>D2010265NNVJ</t>
  </si>
  <si>
    <t>P2003030872633</t>
  </si>
  <si>
    <t>P2003030872658</t>
  </si>
  <si>
    <t>P2003060060987</t>
  </si>
  <si>
    <t>D1962844CKNN</t>
  </si>
  <si>
    <t>P2003030872690</t>
  </si>
  <si>
    <t>P2005070061715</t>
  </si>
  <si>
    <t>L07Y5008M120</t>
  </si>
  <si>
    <t>P2002250061375</t>
  </si>
  <si>
    <t>D1968831FUUJ</t>
  </si>
  <si>
    <t>L07Y5009M120</t>
  </si>
  <si>
    <t>P2002280061726</t>
  </si>
  <si>
    <t>D1968833DNFN</t>
  </si>
  <si>
    <t>P2003060060953</t>
  </si>
  <si>
    <t>D1962855RENM</t>
  </si>
  <si>
    <t>P2005070861657</t>
  </si>
  <si>
    <t>P2005120868579</t>
  </si>
  <si>
    <t>P2005120868603</t>
  </si>
  <si>
    <t>D2010278CVFK</t>
  </si>
  <si>
    <t>P2005130074260</t>
  </si>
  <si>
    <t>D1962851NFUE</t>
  </si>
  <si>
    <t>P2005070061673</t>
  </si>
  <si>
    <t>P2003060060839</t>
  </si>
  <si>
    <t>P2005050061362</t>
  </si>
  <si>
    <t>P2005050061420</t>
  </si>
  <si>
    <t>P2005050061396</t>
  </si>
  <si>
    <t>P2005050061305</t>
  </si>
  <si>
    <t>P2005050061271</t>
  </si>
  <si>
    <t>P2005050061248</t>
  </si>
  <si>
    <t>P2005050061602</t>
  </si>
  <si>
    <t xml:space="preserve">000040MDP   </t>
  </si>
  <si>
    <t>P2005050061578</t>
  </si>
  <si>
    <t xml:space="preserve">000037MDP   </t>
  </si>
  <si>
    <t>P2005050061545</t>
  </si>
  <si>
    <t xml:space="preserve">000034MDP   </t>
  </si>
  <si>
    <t>P2005050061511</t>
  </si>
  <si>
    <t xml:space="preserve">000031MDP   </t>
  </si>
  <si>
    <t>P2005050061487</t>
  </si>
  <si>
    <t xml:space="preserve">MRG05120    </t>
  </si>
  <si>
    <t>ZAR</t>
  </si>
  <si>
    <t>P2005210060536</t>
  </si>
  <si>
    <t>P2005210060544</t>
  </si>
  <si>
    <t>P2005210060551</t>
  </si>
  <si>
    <t xml:space="preserve">T6202 </t>
  </si>
  <si>
    <t xml:space="preserve">F2995312019 </t>
  </si>
  <si>
    <t xml:space="preserve">EG0825219   </t>
  </si>
  <si>
    <t xml:space="preserve">ARTHUR J GALLAGHER  </t>
  </si>
  <si>
    <t>P1911050065173</t>
  </si>
  <si>
    <t xml:space="preserve">A0001X1     </t>
  </si>
  <si>
    <t>T62</t>
  </si>
  <si>
    <t xml:space="preserve">F3023182020 </t>
  </si>
  <si>
    <t xml:space="preserve">17622C19    </t>
  </si>
  <si>
    <t>P2006260386280</t>
  </si>
  <si>
    <t>PF</t>
  </si>
  <si>
    <t xml:space="preserve">SECTION A   </t>
  </si>
  <si>
    <t xml:space="preserve">F2813132016 </t>
  </si>
  <si>
    <t>EALKO000115D</t>
  </si>
  <si>
    <t xml:space="preserve">MILLER INS SERVICES </t>
  </si>
  <si>
    <t>P2006266090167</t>
  </si>
  <si>
    <t>CL</t>
  </si>
  <si>
    <t xml:space="preserve">L9553095    </t>
  </si>
  <si>
    <t xml:space="preserve">F9576122018 </t>
  </si>
  <si>
    <t xml:space="preserve">CUNNINGHAM IAP      </t>
  </si>
  <si>
    <t>P2006266089599</t>
  </si>
  <si>
    <t>P2006266090159</t>
  </si>
  <si>
    <t>QAR</t>
  </si>
  <si>
    <t xml:space="preserve">F2927422020 </t>
  </si>
  <si>
    <t xml:space="preserve">NM2008361   </t>
  </si>
  <si>
    <t>COGENT RESOURCES LTD</t>
  </si>
  <si>
    <t>P2005070067589</t>
  </si>
  <si>
    <t>SAR</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</si>
  <si>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</si>
  <si>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</si>
  <si>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</si>
  <si>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</si>
  <si>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</si>
  <si>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</si>
  <si>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</si>
  <si>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</si>
  <si>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</si>
  <si>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</si>
  <si>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</si>
  <si>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</si>
  <si>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</si>
  <si>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</si>
  <si>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</si>
  <si>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</si>
  <si>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</si>
  <si>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</si>
  <si>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</si>
  <si>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</si>
  <si>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</si>
  <si>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</si>
  <si>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Last Updated</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</si>
  <si>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</si>
  <si>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</si>
  <si>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</si>
  <si>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</si>
  <si>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</si>
  <si>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</si>
  <si>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</si>
  <si>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</si>
  <si>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</si>
  <si>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</si>
  <si>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</si>
  <si>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</si>
  <si>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RPM: Can vary. Textbox preferred</t>
  </si>
  <si>
    <t>RPM whether a solid door or a glass door or firedoor.  Dropdown preferred</t>
  </si>
  <si>
    <t>RPM: 3 categories.  Dropdown preferred</t>
  </si>
  <si>
    <t>RPM: flipper colour black or white.  Dropdown</t>
  </si>
  <si>
    <t>RPM: If FD 30 could be just plain or a brush.  Dropdown preferred.  FD60 plain and a flipper or plain and a brush.  None fire no strip.  Not clear if you can have "Plain, flipper and brush"</t>
  </si>
  <si>
    <t>RPM: Only if double doorset</t>
  </si>
  <si>
    <t>RPM: mm</t>
  </si>
  <si>
    <t>RPM: "cut for glass panel.  Really need to know what size.  Next stage."  Value given was FD30, ie. Replication or fire rating?</t>
  </si>
  <si>
    <t>RPM: number of apertures.  Could be dropdown?</t>
  </si>
  <si>
    <t>RPM: LH, RH or if double both.  Always lead door but sometimes not enough information at this point.  Dropdown preferred</t>
  </si>
  <si>
    <t>RPM: Majority are "ball-bearing".  Spring hinge on price list.  Dropdown?</t>
  </si>
  <si>
    <t>RPM: "Only the 1 door so I need 3".  Can default to 3 x number of doors?</t>
  </si>
  <si>
    <t>RPM: "flush bolts if double door".  1 or 2 if double  Default to 0 if single?  Dropdown?</t>
  </si>
  <si>
    <t>RPM: "Roller catch if double door but only cupboard door". 1 or 2 if double  Default to 0 if single? Dropdown</t>
  </si>
  <si>
    <t>RPM: Redwood, oak etc.  Dropdown</t>
  </si>
  <si>
    <t>RPM: e.g. MDF.  Dropdown</t>
  </si>
  <si>
    <t>RPM: calculated value in mm</t>
  </si>
  <si>
    <t>RPM: Always 6 mm need 6 mmm for the hinge and 6 mm for the latch.  Needs to be added to overall size of the frame</t>
  </si>
  <si>
    <t xml:space="preserve">RPM: Distance top of the door to top of the lintol. 3mm </t>
  </si>
  <si>
    <t>RPM: gap between double doors.  Always 3mm. "gets added to overall size"</t>
  </si>
  <si>
    <t>RPM: Example given is MDF.  Dropdown same as timber?</t>
  </si>
  <si>
    <t>RPM: Calculated</t>
  </si>
  <si>
    <t xml:space="preserve">RPM:  Looks like another constant. 8mm </t>
  </si>
  <si>
    <t>RPM: either single or double. "very little change to that" = no change?  Dropdown?  There is a slide on price list.  Also "equal pair" in the formula for "meeting style clearance"</t>
  </si>
  <si>
    <t>RPM: example given is MDF.  Dropdown timber</t>
  </si>
  <si>
    <t>RPM:  Base block width mm</t>
  </si>
  <si>
    <t>RPM:  Base block thickness mm</t>
  </si>
  <si>
    <t>RPM:  Base block height mm</t>
  </si>
  <si>
    <t>RPM: appears to be a constant.  Value 4</t>
  </si>
  <si>
    <t>RPM:  Threshold thickness mm</t>
  </si>
  <si>
    <t>RPM:  Threshold width mm</t>
  </si>
  <si>
    <t>RPM:  Threshold length mm</t>
  </si>
  <si>
    <t>RPM: mm.  If lintol thinner than frame then differentsize in the trench.  "If nothing there the guys know the full for set is to be made at 32 mm [the frame thickness].  If I had something else in there they'd know something else would have to be reduced which would change the stop size"</t>
  </si>
  <si>
    <t>RPM: calculated value in mm.  Nothing in lintol thickness then trench would always be 12 mm.  Seemed to have lost trench formula</t>
  </si>
  <si>
    <t>RPM: Appears to be constant.  38 mm</t>
  </si>
  <si>
    <t>RPM: Appears to be constant.  22 mm</t>
  </si>
  <si>
    <t>RPM: Appears to be constant. 2</t>
  </si>
  <si>
    <t>RPM: seems to be same as lintol.  Formula with Sum() has a single value.</t>
  </si>
  <si>
    <t>RPM: "whatever need to complete" e.g. latch or bathroom 5 lever.  Can be multiple?  Dropdown?</t>
  </si>
  <si>
    <t>Door spec</t>
  </si>
  <si>
    <t>Solid</t>
  </si>
  <si>
    <t>Glass</t>
  </si>
  <si>
    <t>Fire</t>
  </si>
  <si>
    <t>RPM: living room etc..  Client seemed unsure about dropdown.  Kept as textbox</t>
  </si>
  <si>
    <t>Plain</t>
  </si>
  <si>
    <t>Flipper</t>
  </si>
  <si>
    <t>Brush</t>
  </si>
  <si>
    <t>Plain and flipper</t>
  </si>
  <si>
    <t>Plain and 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</si>
  <si>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</si>
  <si>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</si>
  <si>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</si>
  <si>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</si>
  <si>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</si>
  <si>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</si>
  <si>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</si>
  <si>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</si>
  <si>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</si>
  <si>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</si>
  <si>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</si>
  <si>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</si>
  <si>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</si>
  <si>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</si>
  <si>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</si>
  <si>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</si>
  <si>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</si>
  <si>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</si>
  <si>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</si>
  <si>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</si>
  <si>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</si>
  <si>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</si>
  <si>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</si>
  <si>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</si>
  <si>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</si>
  <si>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</si>
  <si>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</si>
  <si>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</si>
  <si>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</si>
  <si>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</si>
  <si>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</si>
  <si>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</si>
  <si>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</si>
  <si>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</si>
  <si>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</si>
  <si>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</si>
  <si>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</si>
  <si>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</si>
  <si>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</si>
  <si>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</si>
  <si>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</si>
  <si>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</si>
  <si>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</si>
  <si>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</si>
  <si>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</si>
  <si>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</si>
  <si>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</si>
  <si>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</si>
  <si>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</si>
  <si>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</si>
  <si>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</si>
  <si>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</si>
  <si>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</si>
  <si>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</si>
  <si>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</si>
  <si>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</si>
  <si>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</si>
  <si>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</si>
  <si>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</si>
  <si>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</si>
  <si>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</si>
  <si>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</si>
  <si>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</si>
  <si>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</si>
  <si>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</si>
  <si>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</si>
  <si>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</si>
  <si>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</si>
  <si>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</si>
  <si>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</si>
  <si>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</si>
  <si>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RPM: This is set to "complete" or "in progress" (not incomplete so client can search for terms mutually exclusively)</t>
  </si>
  <si>
    <t>Door state</t>
  </si>
  <si>
    <t>Undercut (mm)</t>
  </si>
  <si>
    <t>Base blocks width (mm)</t>
  </si>
  <si>
    <t>Base blocks thickness (mm)</t>
  </si>
  <si>
    <t>Base blocks height (mm)</t>
  </si>
  <si>
    <t xml:space="preserve">     </t>
  </si>
  <si>
    <t>In progress</t>
  </si>
  <si>
    <t>Completed</t>
  </si>
  <si>
    <t>1000/1</t>
  </si>
  <si>
    <t>Plot 1</t>
  </si>
  <si>
    <t>Living room</t>
  </si>
  <si>
    <t>Hall</t>
  </si>
  <si>
    <t>Downstairs toilet</t>
  </si>
  <si>
    <t>RPM copy door in door manager</t>
  </si>
  <si>
    <t>RPM: delete door in door manager</t>
  </si>
  <si>
    <t>Plot 2</t>
  </si>
  <si>
    <t>Bedroom 1</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</si>
  <si>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</si>
  <si>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</si>
  <si>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</si>
  <si>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</si>
  <si>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</si>
  <si>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</si>
  <si>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</si>
  <si>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</si>
  <si>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</si>
  <si>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</si>
  <si>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</si>
  <si>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</si>
  <si>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</si>
  <si>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</si>
  <si>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</si>
  <si>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</si>
  <si>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</si>
  <si>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</si>
  <si>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</si>
  <si>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</si>
  <si>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</si>
  <si>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</si>
  <si>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</si>
  <si>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</si>
  <si>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</si>
  <si>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</si>
  <si>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</si>
  <si>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</si>
  <si>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</si>
  <si>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</si>
  <si>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</si>
  <si>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</si>
  <si>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</si>
  <si>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</si>
  <si>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</si>
  <si>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Report1</t>
  </si>
  <si>
    <t>Count of Handing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</si>
</sst>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_(* #,##0.00_);_(* \(#,##0.00\);_(* &quot;-&quot;??_);_(@_)"/>
    <numFmt numFmtId="165" formatCode="dd\-mmm\-yy\ hh:mm:ss"/>
    <numFmt numFmtId="166" formatCode="#,##0.00_);\(#,##0.00\);0.00_);* @_)"/>
    <numFmt numFmtId="167" formatCode="#,##0.000000_);\(#,##0.000000\);0.000000_);* @_)"/>
    <numFmt numFmtId="168" formatCode="0;\-0;0;* @"/>
    <numFmt numFmtId="169" formatCode="m/d/yyyy"/>
  </numFmts>
  <fonts count="6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theme="4" tint="0.79998168889431442"/>
        <bgColor theme="4" tint="0.79998168889431442"/>
      </patternFill>
    </fill>
  </fills>
  <borders count="14">
    <border>
      <left/>
      <right/>
      <top/>
      <bottom/>
      <diagonal/>
    </border>
    <border>
      <left/>
      <right/>
      <top/>
      <bottom style="thick">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style="thin">
        <color indexed="0"/>
      </left>
      <right/>
      <top style="thin">
        <color indexed="0"/>
      </top>
      <bottom style="thin">
        <color theme="4" tint="0.39997558519241921"/>
      </bottom>
      <diagonal/>
    </border>
    <border>
      <left/>
      <right/>
      <top style="thin">
        <color indexed="0"/>
      </top>
      <bottom style="thin">
        <color theme="4" tint="0.39997558519241921"/>
      </bottom>
      <diagonal/>
    </border>
    <border>
      <left/>
      <right style="thin">
        <color indexed="0"/>
      </right>
      <top style="thin">
        <color indexed="0"/>
      </top>
      <bottom style="thin">
        <color theme="4" tint="0.39997558519241921"/>
      </bottom>
      <diagonal/>
    </border>
  </borders>
  <cellStyleXfs count="21">
    <xf numFmtId="0" fontId="0" fillId="0" borderId="0"/>
    <xf numFmtId="0" fontId="4" fillId="0" borderId="1"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6" fontId="24" fillId="0" borderId="0" applyFill="0" applyBorder="0">
      <alignment vertical="top"/>
      <protection locked="0"/>
    </xf>
    <xf numFmtId="166" fontId="22" fillId="0" borderId="0" applyFill="0" applyBorder="0">
      <alignment vertical="top"/>
    </xf>
    <xf numFmtId="167" fontId="22" fillId="0" borderId="0" applyFill="0" applyBorder="0">
      <alignment vertical="top"/>
    </xf>
    <xf numFmtId="168" fontId="24" fillId="0" borderId="0" applyFill="0" applyBorder="0">
      <alignment vertical="top"/>
      <protection locked="0"/>
    </xf>
    <xf numFmtId="49" fontId="24" fillId="0" borderId="0" applyFill="0" applyBorder="0">
      <alignment vertical="top"/>
      <protection locked="0"/>
    </xf>
    <xf numFmtId="164" fontId="25" fillId="0" borderId="0" applyFont="0" applyFill="0" applyBorder="0" applyAlignment="0" applyProtection="0"/>
    <xf numFmtId="0" fontId="22" fillId="0" borderId="0" applyFill="0" applyBorder="0">
      <alignment horizontal="left" vertical="top" indent="1"/>
    </xf>
    <xf numFmtId="167" fontId="24" fillId="0" borderId="0" applyFill="0" applyBorder="0">
      <alignment vertical="top"/>
      <protection locked="0"/>
    </xf>
    <xf numFmtId="0" fontId="28" fillId="0" borderId="0">
      <alignment vertical="center"/>
    </xf>
    <xf numFmtId="0" fontId="58" fillId="0" borderId="0" applyNumberFormat="0" applyFill="0" applyBorder="0" applyAlignment="0" applyProtection="0">
      <alignment vertical="center"/>
    </xf>
  </cellStyleXfs>
  <cellXfs count="199">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7" fillId="0" borderId="0" xfId="0" applyFont="1" applyFill="1" applyAlignment="1">
      <alignment vertical="center"/>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7" fillId="0" borderId="0" xfId="0" applyFont="1" applyFill="1" applyAlignment="1">
      <alignment horizontal="center" vertic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165" fontId="0" fillId="0" borderId="5" xfId="0" applyNumberFormat="1" applyFont="1" applyFill="1" applyBorder="1" applyAlignment="1">
      <alignment horizontal="left" vertical="center" wrapText="1"/>
    </xf>
    <xf numFmtId="0" fontId="27" fillId="0" borderId="5" xfId="0" applyFont="1" applyFill="1" applyBorder="1" applyAlignment="1">
      <alignment horizontal="left" vertical="center" wrapText="1"/>
    </xf>
    <xf numFmtId="0" fontId="27" fillId="0" borderId="5" xfId="0" applyFont="1" applyFill="1" applyBorder="1" applyAlignment="1">
      <alignment horizontal="center" vertical="center" wrapText="1"/>
    </xf>
    <xf numFmtId="165" fontId="0" fillId="0" borderId="6" xfId="0" applyNumberFormat="1" applyFont="1" applyFill="1" applyBorder="1" applyAlignment="1">
      <alignment horizontal="left" vertical="center" wrapText="1"/>
    </xf>
    <xf numFmtId="0" fontId="27" fillId="0" borderId="6" xfId="0" applyFont="1" applyFill="1" applyBorder="1" applyAlignment="1">
      <alignment horizontal="left" vertical="center" wrapText="1"/>
    </xf>
    <xf numFmtId="0" fontId="27" fillId="0" borderId="6" xfId="0" applyFont="1" applyFill="1" applyBorder="1" applyAlignment="1">
      <alignment horizontal="center" vertical="center" wrapText="1"/>
    </xf>
    <xf numFmtId="0" fontId="28" fillId="0" borderId="0" xfId="19" applyProtection="1">
      <alignment vertical="center"/>
      <protection locked="0"/>
    </xf>
    <xf numFmtId="0" fontId="28" fillId="3" borderId="2" xfId="19" applyFill="1" applyBorder="1" applyProtection="1">
      <alignment vertical="center"/>
      <protection locked="0"/>
    </xf>
    <xf numFmtId="0" fontId="29" fillId="0" borderId="0" xfId="19" applyFont="1" applyAlignment="1" applyProtection="1">
      <alignment horizontal="left" vertical="center"/>
      <protection locked="0"/>
    </xf>
    <xf numFmtId="0" fontId="30" fillId="0" borderId="0" xfId="19" applyFont="1" applyProtection="1">
      <alignment vertical="center"/>
      <protection locked="0"/>
    </xf>
    <xf numFmtId="0" fontId="31" fillId="0" borderId="0" xfId="19" applyFont="1" applyProtection="1">
      <alignment vertical="center"/>
      <protection locked="0"/>
    </xf>
    <xf numFmtId="0" fontId="5" fillId="0" borderId="0" xfId="19" applyFont="1" applyProtection="1">
      <alignment vertical="center"/>
      <protection locked="0"/>
    </xf>
    <xf numFmtId="0" fontId="28" fillId="0" borderId="0" xfId="19" applyAlignment="1" applyProtection="1">
      <alignment horizontal="center" vertical="center"/>
      <protection locked="0"/>
    </xf>
    <xf numFmtId="0" fontId="31" fillId="3" borderId="2" xfId="19" applyFont="1" applyFill="1" applyBorder="1" applyProtection="1">
      <alignment vertical="center"/>
      <protection locked="0"/>
    </xf>
    <xf numFmtId="0" fontId="32" fillId="3" borderId="2" xfId="19" applyFont="1" applyFill="1" applyBorder="1" applyProtection="1">
      <alignment vertical="center"/>
      <protection locked="0"/>
    </xf>
    <xf numFmtId="0" fontId="5" fillId="3" borderId="2" xfId="19" applyFont="1" applyFill="1" applyBorder="1" applyProtection="1">
      <alignment vertical="center"/>
      <protection locked="0"/>
    </xf>
    <xf numFmtId="0" fontId="5" fillId="0" borderId="7" xfId="19" applyFont="1" applyBorder="1" applyProtection="1">
      <alignment vertical="center"/>
      <protection locked="0"/>
    </xf>
    <xf numFmtId="0" fontId="31" fillId="0" borderId="7" xfId="19" applyFont="1" applyBorder="1" applyProtection="1">
      <alignment vertical="center"/>
      <protection locked="0"/>
    </xf>
    <xf numFmtId="0" fontId="5" fillId="4" borderId="0" xfId="19" applyFont="1" applyFill="1" applyProtection="1">
      <alignment vertical="center"/>
      <protection locked="0"/>
    </xf>
    <xf numFmtId="0" fontId="5" fillId="0" borderId="0" xfId="19" applyFont="1" applyAlignment="1" applyProtection="1">
      <alignment horizontal="center" vertical="center"/>
      <protection locked="0"/>
    </xf>
    <xf numFmtId="0" fontId="33" fillId="5" borderId="4" xfId="19" applyFont="1" applyFill="1" applyBorder="1" applyAlignment="1" applyProtection="1">
      <alignment horizontal="center" vertical="center" textRotation="90" wrapText="1"/>
      <protection locked="0"/>
    </xf>
    <xf numFmtId="0" fontId="33" fillId="5" borderId="2" xfId="19" applyFont="1" applyFill="1" applyBorder="1" applyAlignment="1" applyProtection="1">
      <alignment horizontal="center" vertical="center" wrapText="1"/>
      <protection locked="0"/>
    </xf>
    <xf numFmtId="0" fontId="33" fillId="5" borderId="2" xfId="19" applyFont="1" applyFill="1" applyBorder="1" applyAlignment="1" applyProtection="1">
      <alignment horizontal="center" vertical="center" textRotation="90" wrapText="1"/>
      <protection locked="0"/>
    </xf>
    <xf numFmtId="0" fontId="33" fillId="5" borderId="3" xfId="19" applyFont="1" applyFill="1" applyBorder="1" applyAlignment="1" applyProtection="1">
      <alignment horizontal="center" vertical="center" textRotation="90" wrapText="1"/>
      <protection locked="0"/>
    </xf>
    <xf numFmtId="0" fontId="33" fillId="3" borderId="2" xfId="19" applyFont="1" applyFill="1" applyBorder="1" applyAlignment="1" applyProtection="1">
      <alignment horizontal="center" vertical="center" textRotation="90" wrapText="1"/>
      <protection locked="0"/>
    </xf>
    <xf numFmtId="0" fontId="34" fillId="3" borderId="2" xfId="19" applyFont="1" applyFill="1" applyBorder="1" applyAlignment="1" applyProtection="1">
      <alignment horizontal="center" vertical="center" textRotation="90" wrapText="1"/>
      <protection locked="0"/>
    </xf>
    <xf numFmtId="0" fontId="35" fillId="6" borderId="2" xfId="19" applyFont="1" applyFill="1" applyBorder="1" applyAlignment="1" applyProtection="1">
      <alignment horizontal="center" vertical="center" textRotation="90" wrapText="1"/>
      <protection locked="0"/>
    </xf>
    <xf numFmtId="0" fontId="35" fillId="6" borderId="2" xfId="19" applyFont="1" applyFill="1" applyBorder="1" applyAlignment="1" applyProtection="1">
      <alignment horizontal="center" vertical="center" textRotation="90"/>
      <protection locked="0"/>
    </xf>
    <xf numFmtId="0" fontId="36" fillId="6" borderId="2" xfId="19" applyFont="1" applyFill="1" applyBorder="1" applyAlignment="1" applyProtection="1">
      <alignment horizontal="center" vertical="center" textRotation="90"/>
      <protection locked="0"/>
    </xf>
    <xf numFmtId="0" fontId="37" fillId="6" borderId="2" xfId="19" applyFont="1" applyFill="1" applyBorder="1" applyAlignment="1" applyProtection="1">
      <alignment horizontal="center" vertical="center" textRotation="90"/>
      <protection locked="0"/>
    </xf>
    <xf numFmtId="0" fontId="38" fillId="6" borderId="2" xfId="19" applyFont="1" applyFill="1" applyBorder="1" applyAlignment="1" applyProtection="1">
      <alignment horizontal="center" vertical="center" textRotation="90"/>
      <protection locked="0"/>
    </xf>
    <xf numFmtId="0" fontId="39" fillId="6" borderId="2" xfId="19" applyFont="1" applyFill="1" applyBorder="1" applyAlignment="1" applyProtection="1">
      <alignment horizontal="center" vertical="center" textRotation="90" wrapText="1"/>
      <protection locked="0"/>
    </xf>
    <xf numFmtId="0" fontId="40" fillId="6" borderId="2" xfId="19" applyFont="1" applyFill="1" applyBorder="1" applyAlignment="1" applyProtection="1">
      <alignment horizontal="center" vertical="center" textRotation="90"/>
      <protection locked="0"/>
    </xf>
    <xf numFmtId="0" fontId="40" fillId="6" borderId="2" xfId="19" applyFont="1" applyFill="1" applyBorder="1" applyAlignment="1" applyProtection="1">
      <alignment horizontal="center" vertical="center" textRotation="90" wrapText="1"/>
      <protection locked="0"/>
    </xf>
    <xf numFmtId="0" fontId="41" fillId="6" borderId="2" xfId="19" applyFont="1" applyFill="1" applyBorder="1" applyAlignment="1" applyProtection="1">
      <alignment horizontal="center" vertical="center" textRotation="90"/>
      <protection locked="0"/>
    </xf>
    <xf numFmtId="0" fontId="42" fillId="6" borderId="2" xfId="19" applyFont="1" applyFill="1" applyBorder="1" applyAlignment="1" applyProtection="1">
      <alignment horizontal="center" vertical="center" textRotation="90"/>
      <protection locked="0"/>
    </xf>
    <xf numFmtId="0" fontId="43" fillId="6" borderId="2" xfId="19" applyFont="1" applyFill="1" applyBorder="1" applyAlignment="1" applyProtection="1">
      <alignment horizontal="center" vertical="center" textRotation="90"/>
      <protection locked="0"/>
    </xf>
    <xf numFmtId="0" fontId="44" fillId="7" borderId="2" xfId="19" applyFont="1" applyFill="1" applyBorder="1" applyAlignment="1" applyProtection="1">
      <alignment horizontal="center" vertical="center" textRotation="90"/>
      <protection locked="0"/>
    </xf>
    <xf numFmtId="0" fontId="39" fillId="7" borderId="2" xfId="19" applyFont="1" applyFill="1" applyBorder="1" applyAlignment="1" applyProtection="1">
      <alignment horizontal="center" vertical="center" textRotation="90"/>
      <protection locked="0"/>
    </xf>
    <xf numFmtId="0" fontId="45" fillId="0" borderId="2" xfId="19" applyFont="1" applyBorder="1" applyAlignment="1" applyProtection="1">
      <alignment horizontal="center" vertical="center" wrapText="1"/>
      <protection locked="0"/>
    </xf>
    <xf numFmtId="0" fontId="28" fillId="0" borderId="2" xfId="19" applyBorder="1" applyAlignment="1" applyProtection="1">
      <alignment horizontal="center" vertical="center"/>
      <protection locked="0"/>
    </xf>
    <xf numFmtId="0" fontId="46" fillId="0" borderId="8" xfId="19" applyFont="1" applyBorder="1" applyAlignment="1" applyProtection="1">
      <alignment horizontal="center" vertical="center"/>
      <protection locked="0"/>
    </xf>
    <xf numFmtId="0" fontId="3" fillId="0" borderId="3" xfId="19" applyFont="1" applyBorder="1" applyProtection="1">
      <alignment vertical="center"/>
      <protection locked="0"/>
    </xf>
    <xf numFmtId="0" fontId="3" fillId="0" borderId="2" xfId="19" applyFont="1" applyBorder="1" applyProtection="1">
      <alignment vertical="center"/>
      <protection locked="0"/>
    </xf>
    <xf numFmtId="0" fontId="28" fillId="0" borderId="4" xfId="19" applyBorder="1" applyProtection="1">
      <alignment vertical="center"/>
      <protection locked="0"/>
    </xf>
    <xf numFmtId="0" fontId="47" fillId="0" borderId="4" xfId="19" applyFont="1" applyBorder="1" applyAlignment="1" applyProtection="1">
      <alignment horizontal="center" vertical="center" wrapText="1"/>
      <protection locked="0"/>
    </xf>
    <xf numFmtId="0" fontId="48" fillId="0" borderId="4" xfId="19" applyFont="1" applyBorder="1" applyAlignment="1" applyProtection="1">
      <alignment horizontal="center" vertical="center" wrapText="1"/>
      <protection locked="0"/>
    </xf>
    <xf numFmtId="0" fontId="28" fillId="0" borderId="2" xfId="19" applyBorder="1" applyProtection="1">
      <alignment vertical="center"/>
      <protection locked="0"/>
    </xf>
    <xf numFmtId="0" fontId="28" fillId="0" borderId="3" xfId="19" applyBorder="1" applyProtection="1">
      <alignment vertical="center"/>
      <protection locked="0"/>
    </xf>
    <xf numFmtId="0" fontId="5" fillId="0" borderId="4" xfId="19" applyFont="1" applyBorder="1" applyProtection="1">
      <alignment vertical="center"/>
      <protection locked="0"/>
    </xf>
    <xf numFmtId="0" fontId="22" fillId="0" borderId="3" xfId="19" applyFont="1" applyBorder="1" applyAlignment="1" applyProtection="1">
      <alignment horizontal="center" vertical="center" wrapText="1"/>
      <protection locked="0"/>
    </xf>
    <xf numFmtId="0" fontId="47" fillId="0" borderId="2" xfId="19" applyFont="1" applyBorder="1" applyAlignment="1" applyProtection="1">
      <alignment horizontal="center" vertical="center" wrapText="1"/>
      <protection locked="0"/>
    </xf>
    <xf numFmtId="1" fontId="46" fillId="0" borderId="9" xfId="19" applyNumberFormat="1" applyFont="1" applyBorder="1" applyAlignment="1" applyProtection="1">
      <alignment horizontal="center" vertical="center"/>
      <protection locked="0"/>
    </xf>
    <xf numFmtId="1" fontId="46" fillId="0" borderId="0" xfId="19" applyNumberFormat="1" applyFont="1" applyAlignment="1" applyProtection="1">
      <alignment horizontal="center" vertical="center"/>
      <protection locked="0"/>
    </xf>
    <xf numFmtId="0" fontId="48" fillId="8" borderId="2" xfId="19" applyFont="1" applyFill="1" applyBorder="1" applyAlignment="1" applyProtection="1">
      <alignment horizontal="center" vertical="center" wrapText="1"/>
      <protection locked="0"/>
    </xf>
    <xf numFmtId="0" fontId="31" fillId="0" borderId="2" xfId="19" applyFont="1" applyBorder="1" applyProtection="1">
      <alignment vertical="center"/>
      <protection locked="0"/>
    </xf>
    <xf numFmtId="0" fontId="31" fillId="0" borderId="2" xfId="19" applyFont="1" applyBorder="1" applyAlignment="1" applyProtection="1">
      <alignment horizontal="center" vertical="center"/>
      <protection locked="0"/>
    </xf>
    <xf numFmtId="0" fontId="28" fillId="0" borderId="2" xfId="19" applyBorder="1">
      <alignment vertical="center"/>
    </xf>
    <xf numFmtId="0" fontId="28" fillId="3" borderId="3" xfId="19" applyFill="1" applyBorder="1" applyProtection="1">
      <alignment vertical="center"/>
      <protection locked="0"/>
    </xf>
    <xf numFmtId="0" fontId="49" fillId="0" borderId="4" xfId="19" applyFont="1" applyBorder="1" applyAlignment="1" applyProtection="1">
      <alignment horizontal="left" vertical="center"/>
      <protection locked="0"/>
    </xf>
    <xf numFmtId="0" fontId="48" fillId="0" borderId="2" xfId="19" applyFont="1" applyBorder="1" applyAlignment="1" applyProtection="1">
      <alignment horizontal="center" vertical="center" wrapText="1"/>
      <protection locked="0"/>
    </xf>
    <xf numFmtId="0" fontId="48" fillId="0" borderId="3" xfId="19" applyFont="1" applyBorder="1" applyAlignment="1" applyProtection="1">
      <alignment horizontal="center" vertical="center"/>
      <protection locked="0"/>
    </xf>
    <xf numFmtId="0" fontId="48" fillId="0" borderId="3" xfId="19" applyFont="1" applyBorder="1" applyAlignment="1" applyProtection="1">
      <alignment horizontal="center" vertical="center" wrapText="1"/>
      <protection locked="0"/>
    </xf>
    <xf numFmtId="0" fontId="28" fillId="0" borderId="2" xfId="19" applyBorder="1" applyAlignment="1" applyProtection="1">
      <alignment horizontal="left" vertical="center"/>
      <protection locked="0"/>
    </xf>
    <xf numFmtId="0" fontId="28" fillId="0" borderId="3" xfId="19" applyBorder="1" applyAlignment="1" applyProtection="1">
      <alignment horizontal="left" vertical="center"/>
      <protection locked="0"/>
    </xf>
    <xf numFmtId="0" fontId="46" fillId="0" borderId="2" xfId="19" applyFont="1" applyBorder="1" applyAlignment="1" applyProtection="1">
      <alignment horizontal="center" vertical="center"/>
      <protection locked="0"/>
    </xf>
    <xf numFmtId="0" fontId="48" fillId="0" borderId="2" xfId="19" applyFont="1" applyBorder="1" applyAlignment="1" applyProtection="1">
      <alignment horizontal="center" vertical="center"/>
      <protection locked="0"/>
    </xf>
    <xf numFmtId="0" fontId="28" fillId="0" borderId="3" xfId="19" applyBorder="1">
      <alignment vertical="center"/>
    </xf>
    <xf numFmtId="0" fontId="3" fillId="0" borderId="2" xfId="19" applyFont="1" applyBorder="1" applyAlignment="1" applyProtection="1">
      <alignment horizontal="center" vertical="center"/>
      <protection locked="0"/>
    </xf>
    <xf numFmtId="0" fontId="50" fillId="0" borderId="8" xfId="19" applyFont="1" applyBorder="1" applyAlignment="1" applyProtection="1">
      <alignment horizontal="center" vertical="center"/>
      <protection locked="0"/>
    </xf>
    <xf numFmtId="0" fontId="50" fillId="0" borderId="9" xfId="19" applyFont="1" applyBorder="1" applyAlignment="1" applyProtection="1">
      <alignment horizontal="center" vertical="center"/>
      <protection locked="0"/>
    </xf>
    <xf numFmtId="0" fontId="51" fillId="0" borderId="3" xfId="19" applyFont="1" applyBorder="1" applyAlignment="1" applyProtection="1">
      <alignment horizontal="center" vertical="center"/>
      <protection locked="0"/>
    </xf>
    <xf numFmtId="0" fontId="3" fillId="0" borderId="4" xfId="19" applyFont="1" applyBorder="1" applyAlignment="1" applyProtection="1">
      <alignment horizontal="left" vertical="center"/>
      <protection locked="0"/>
    </xf>
    <xf numFmtId="0" fontId="52" fillId="0" borderId="4" xfId="19" applyFont="1" applyBorder="1" applyAlignment="1" applyProtection="1">
      <alignment horizontal="center" vertical="center" wrapText="1"/>
      <protection locked="0"/>
    </xf>
    <xf numFmtId="0" fontId="3" fillId="0" borderId="3" xfId="19" applyFont="1" applyBorder="1" applyAlignment="1" applyProtection="1">
      <alignment horizontal="center" vertical="center"/>
      <protection locked="0"/>
    </xf>
    <xf numFmtId="0" fontId="53" fillId="0" borderId="4" xfId="19" applyFont="1" applyBorder="1" applyAlignment="1" applyProtection="1">
      <alignment horizontal="center" vertical="center"/>
      <protection locked="0"/>
    </xf>
    <xf numFmtId="0" fontId="3" fillId="0" borderId="2" xfId="19" applyFont="1" applyBorder="1" applyAlignment="1" applyProtection="1">
      <alignment horizontal="center" vertical="center" wrapText="1"/>
      <protection locked="0"/>
    </xf>
    <xf numFmtId="0" fontId="51" fillId="0" borderId="2" xfId="19" applyFont="1" applyBorder="1" applyProtection="1">
      <alignment vertical="center"/>
      <protection locked="0"/>
    </xf>
    <xf numFmtId="0" fontId="3" fillId="0" borderId="2" xfId="19" applyFont="1" applyBorder="1" applyAlignment="1" applyProtection="1">
      <alignment horizontal="left" vertical="center"/>
      <protection locked="0"/>
    </xf>
    <xf numFmtId="0" fontId="3" fillId="0" borderId="3" xfId="19" applyFont="1" applyBorder="1" applyAlignment="1" applyProtection="1">
      <alignment horizontal="left" vertical="center"/>
      <protection locked="0"/>
    </xf>
    <xf numFmtId="0" fontId="8" fillId="0" borderId="2"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3" fillId="0" borderId="0" xfId="19" applyFont="1" applyProtection="1">
      <alignment vertical="center"/>
      <protection locked="0"/>
    </xf>
    <xf numFmtId="0" fontId="54" fillId="0" borderId="2" xfId="19" applyFont="1" applyBorder="1" applyAlignment="1" applyProtection="1">
      <alignment horizontal="center" vertical="center"/>
      <protection locked="0"/>
    </xf>
    <xf numFmtId="0" fontId="28" fillId="0" borderId="4" xfId="19" applyBorder="1" applyAlignment="1" applyProtection="1">
      <alignment horizontal="left" vertical="center"/>
      <protection locked="0"/>
    </xf>
    <xf numFmtId="0" fontId="28" fillId="0" borderId="0" xfId="19" applyAlignment="1" applyProtection="1">
      <alignment horizontal="left" vertical="center"/>
      <protection locked="0"/>
    </xf>
    <xf numFmtId="0" fontId="28" fillId="0" borderId="0" xfId="19">
      <alignment vertical="center"/>
    </xf>
    <xf numFmtId="0" fontId="28" fillId="3" borderId="0" xfId="19" applyFill="1" applyAlignment="1">
      <alignment horizontal="left" vertical="center"/>
    </xf>
    <xf numFmtId="0" fontId="55" fillId="3" borderId="0" xfId="19" applyFont="1" applyFill="1" applyAlignment="1">
      <alignment horizontal="left" vertical="center"/>
    </xf>
    <xf numFmtId="0" fontId="28" fillId="0" borderId="0" xfId="19" applyAlignment="1">
      <alignment horizontal="right" vertical="center"/>
    </xf>
    <xf numFmtId="0" fontId="29" fillId="0" borderId="0" xfId="19" applyFont="1" applyAlignment="1">
      <alignment horizontal="left" vertical="center"/>
    </xf>
    <xf numFmtId="0" fontId="30" fillId="0" borderId="0" xfId="19" applyFont="1" applyAlignment="1">
      <alignment horizontal="right" vertical="center"/>
    </xf>
    <xf numFmtId="0" fontId="30" fillId="0" borderId="0" xfId="19" applyFont="1">
      <alignment vertical="center"/>
    </xf>
    <xf numFmtId="0" fontId="56" fillId="0" borderId="0" xfId="19" applyFont="1" applyAlignment="1">
      <alignment horizontal="right" vertical="center"/>
    </xf>
    <xf numFmtId="0" fontId="30" fillId="0" borderId="0" xfId="19" applyFont="1" applyAlignment="1">
      <alignment horizontal="left" vertical="center"/>
    </xf>
    <xf numFmtId="0" fontId="57" fillId="0" borderId="0" xfId="19" applyFont="1">
      <alignment vertical="center"/>
    </xf>
    <xf numFmtId="0" fontId="51" fillId="0" borderId="0" xfId="19" applyFont="1">
      <alignment vertical="center"/>
    </xf>
    <xf numFmtId="14" fontId="30" fillId="0" borderId="0" xfId="19" applyNumberFormat="1" applyFont="1" applyAlignment="1">
      <alignment horizontal="right" vertical="center"/>
    </xf>
    <xf numFmtId="0" fontId="59" fillId="0" borderId="0" xfId="20" applyFont="1">
      <alignment vertical="center"/>
    </xf>
    <xf numFmtId="0" fontId="60" fillId="0" borderId="0" xfId="19" applyFont="1" applyAlignment="1">
      <alignment horizontal="right" vertical="center"/>
    </xf>
    <xf numFmtId="0" fontId="61"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2" fillId="0" borderId="2" xfId="19" applyFont="1" applyBorder="1" applyProtection="1">
      <alignment vertical="center"/>
      <protection locked="0"/>
    </xf>
    <xf numFmtId="0" fontId="62" fillId="9" borderId="10"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62" fillId="9" borderId="10" xfId="8" applyNumberFormat="1" applyFont="1" applyFill="1" applyBorder="1"/>
    <xf numFmtId="2" fontId="8" fillId="0" borderId="0" xfId="0" applyNumberFormat="1" applyFont="1"/>
    <xf numFmtId="1" fontId="0" fillId="0" borderId="0" xfId="8" applyNumberFormat="1" applyFont="1" applyFill="1" applyBorder="1" applyAlignment="1">
      <alignment horizontal="center"/>
    </xf>
    <xf numFmtId="0" fontId="0" fillId="0" borderId="0" xfId="8" applyFont="1" applyFill="1" applyBorder="1" applyAlignment="1">
      <alignment horizontal="center"/>
    </xf>
    <xf numFmtId="2" fontId="0" fillId="0" borderId="0" xfId="8" applyNumberFormat="1" applyFont="1" applyFill="1" applyBorder="1" applyAlignment="1">
      <alignment horizontal="center"/>
    </xf>
    <xf numFmtId="0" fontId="8" fillId="0" borderId="0" xfId="0" applyFont="1" applyFill="1" applyAlignment="1">
      <alignment horizontal="center"/>
    </xf>
    <xf numFmtId="0" fontId="0" fillId="0" borderId="0" xfId="0" applyNumberFormat="1" applyAlignment="1">
      <alignment horizontal="center" wrapText="1"/>
    </xf>
    <xf numFmtId="0" fontId="62" fillId="9" borderId="10" xfId="8" applyNumberFormat="1" applyFont="1" applyFill="1" applyBorder="1"/>
    <xf numFmtId="0" fontId="0" fillId="0" borderId="0" xfId="8" applyNumberFormat="1" applyFont="1" applyFill="1" applyBorder="1"/>
    <xf numFmtId="0" fontId="8" fillId="0" borderId="0" xfId="0" applyNumberFormat="1" applyFont="1" applyAlignment="1">
      <alignment horizontal="center"/>
    </xf>
    <xf numFmtId="0" fontId="1" fillId="0" borderId="0" xfId="19" applyFont="1">
      <alignment vertical="center"/>
    </xf>
    <xf numFmtId="0" fontId="63" fillId="0" borderId="0" xfId="19" applyFont="1">
      <alignment vertical="center"/>
    </xf>
    <xf numFmtId="0" fontId="64" fillId="0" borderId="0" xfId="0" applyFont="1" applyAlignment="1">
      <alignment horizontal="center" wrapText="1"/>
    </xf>
    <xf numFmtId="0" fontId="64" fillId="0" borderId="0" xfId="0" applyNumberFormat="1" applyFont="1" applyAlignment="1">
      <alignment horizontal="center" wrapText="1"/>
    </xf>
    <xf numFmtId="0" fontId="0" fillId="0" borderId="0" xfId="0" applyFont="1" applyAlignment="1">
      <alignment horizontal="left" vertical="top"/>
    </xf>
    <xf numFmtId="0" fontId="0" fillId="0" borderId="0" xfId="8" applyFont="1" applyFill="1" applyAlignment="1">
      <alignment horizontal="center"/>
    </xf>
    <xf numFmtId="169" fontId="0" fillId="0" borderId="0" xfId="8" applyNumberFormat="1" applyFont="1" applyFill="1" applyBorder="1" applyAlignment="1">
      <alignment horizontal="center"/>
    </xf>
    <xf numFmtId="49" fontId="0" fillId="0" borderId="0" xfId="8" applyNumberFormat="1" applyFont="1" applyFill="1" applyBorder="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8" applyNumberFormat="1" applyFont="1" applyFill="1" applyBorder="1" applyAlignment="1">
      <alignment horizontal="center"/>
    </xf>
    <xf numFmtId="0" fontId="65" fillId="0" borderId="0" xfId="0" applyFont="1" applyAlignment="1">
      <alignment horizontal="left" vertical="top"/>
    </xf>
    <xf numFmtId="0" fontId="16" fillId="0" borderId="0" xfId="0" applyFont="1" applyBorder="1" applyAlignment="1">
      <alignment vertical="center" wrapText="1"/>
    </xf>
    <xf numFmtId="0" fontId="67" fillId="0" borderId="0" xfId="0" applyFont="1" applyAlignment="1">
      <alignment horizontal="center" vertical="top" wrapText="1"/>
    </xf>
    <xf numFmtId="0" fontId="5" fillId="10" borderId="11" xfId="0" applyFont="1" applyFill="1" applyBorder="1" applyAlignment="1">
      <alignment horizontal="center" vertical="center"/>
    </xf>
    <xf numFmtId="0" fontId="5" fillId="10" borderId="12" xfId="0" applyFont="1" applyFill="1" applyBorder="1" applyAlignment="1">
      <alignment horizontal="center" vertical="center"/>
    </xf>
    <xf numFmtId="0" fontId="5" fillId="10" borderId="13" xfId="0" applyFont="1" applyFill="1" applyBorder="1" applyAlignment="1">
      <alignment horizontal="center" vertical="center" wrapText="1"/>
    </xf>
  </cellXfs>
  <cellStyles count="21">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Normal" xfId="0" builtinId="0" customBuiltin="1"/>
    <cellStyle name="Normal 2" xfId="8" xr:uid="{BE5B47B4-F424-41BF-B42D-30B57597DE82}"/>
    <cellStyle name="Normal 3" xfId="9" xr:uid="{751744CC-C850-4961-92D2-2B9BC9459566}"/>
    <cellStyle name="Normal 4" xfId="19" xr:uid="{629EFF36-E65C-4AA5-BF15-2BF407D063E1}"/>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84">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69"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83"/>
      <tableStyleElement type="secondSubtotalRow" dxfId="82"/>
      <tableStyleElement type="thirdSubtotalRow" dxfId="8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81584F3C-5828-483A-B0E4-7A4D63925B8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558800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63B6735-69A9-4CDE-9D25-44EECAC7D38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923925</xdr:colOff>
      <xdr:row>0</xdr:row>
      <xdr:rowOff>38100</xdr:rowOff>
    </xdr:from>
    <xdr:to>
      <xdr:col>4</xdr:col>
      <xdr:colOff>650875</xdr:colOff>
      <xdr:row>0</xdr:row>
      <xdr:rowOff>393700</xdr:rowOff>
    </xdr:to>
    <xdr:sp macro="" textlink="">
      <xdr:nvSpPr>
        <xdr:cNvPr id="4" name="Rectangle: Rounded Corners 3" title="1|4|Current page">
          <a:hlinkClick xmlns:r="http://schemas.openxmlformats.org/officeDocument/2006/relationships" r:id="rId3"/>
          <a:extLst>
            <a:ext uri="{FF2B5EF4-FFF2-40B4-BE49-F238E27FC236}">
              <a16:creationId xmlns:a16="http://schemas.microsoft.com/office/drawing/2014/main" id="{79B95B3A-BA23-46D9-9021-5A7D828C9408}"/>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16</xdr:row>
      <xdr:rowOff>0</xdr:rowOff>
    </xdr:from>
    <xdr:to>
      <xdr:col>0</xdr:col>
      <xdr:colOff>927100</xdr:colOff>
      <xdr:row>18</xdr:row>
      <xdr:rowOff>50800</xdr:rowOff>
    </xdr:to>
    <xdr:sp macro="" textlink="">
      <xdr:nvSpPr>
        <xdr:cNvPr id="6" name="Rectangle: Rounded Corners 5" title="13|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47625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2</xdr:col>
      <xdr:colOff>952500</xdr:colOff>
      <xdr:row>0</xdr:row>
      <xdr:rowOff>38100</xdr:rowOff>
    </xdr:from>
    <xdr:to>
      <xdr:col>2</xdr:col>
      <xdr:colOff>1841500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3</xdr:row>
      <xdr:rowOff>22225</xdr:rowOff>
    </xdr:from>
    <xdr:to>
      <xdr:col>0</xdr:col>
      <xdr:colOff>927100</xdr:colOff>
      <xdr:row>3</xdr:row>
      <xdr:rowOff>377825</xdr:rowOff>
    </xdr:to>
    <xdr:sp macro="[0]!cmdDoorInput" textlink="">
      <xdr:nvSpPr>
        <xdr:cNvPr id="2" name="Rectangle: Rounded Corners 1" title="5|1|Action">
          <a:extLst>
            <a:ext uri="{FF2B5EF4-FFF2-40B4-BE49-F238E27FC236}">
              <a16:creationId xmlns:a16="http://schemas.microsoft.com/office/drawing/2014/main" id="{31D694E3-EA11-42E7-A87E-5B1F94F8F294}"/>
            </a:ext>
          </a:extLst>
        </xdr:cNvPr>
        <xdr:cNvSpPr/>
      </xdr:nvSpPr>
      <xdr:spPr>
        <a:xfrm>
          <a:off x="38100" y="16129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1</xdr:col>
      <xdr:colOff>31750</xdr:colOff>
      <xdr:row>0</xdr:row>
      <xdr:rowOff>38100</xdr:rowOff>
    </xdr:from>
    <xdr:to>
      <xdr:col>1</xdr:col>
      <xdr:colOff>920750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0</xdr:col>
      <xdr:colOff>38100</xdr:colOff>
      <xdr:row>5</xdr:row>
      <xdr:rowOff>28575</xdr:rowOff>
    </xdr:from>
    <xdr:to>
      <xdr:col>0</xdr:col>
      <xdr:colOff>927100</xdr:colOff>
      <xdr:row>5</xdr:row>
      <xdr:rowOff>384175</xdr:rowOff>
    </xdr:to>
    <xdr:sp macro="[0]!cmdWipeData" textlink="">
      <xdr:nvSpPr>
        <xdr:cNvPr id="14" name="Rectangle: Rounded Corners 13" title="7|1|Risky Action">
          <a:extLst>
            <a:ext uri="{FF2B5EF4-FFF2-40B4-BE49-F238E27FC236}">
              <a16:creationId xmlns:a16="http://schemas.microsoft.com/office/drawing/2014/main" id="{5115B722-E02C-41DC-9916-28951649A945}"/>
            </a:ext>
          </a:extLst>
        </xdr:cNvPr>
        <xdr:cNvSpPr/>
      </xdr:nvSpPr>
      <xdr:spPr>
        <a:xfrm>
          <a:off x="38100" y="24003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1</xdr:col>
      <xdr:colOff>0</xdr:colOff>
      <xdr:row>3</xdr:row>
      <xdr:rowOff>0</xdr:rowOff>
    </xdr:from>
    <xdr:to>
      <xdr:col>1</xdr:col>
      <xdr:colOff>889000</xdr:colOff>
      <xdr:row>3</xdr:row>
      <xdr:rowOff>355600</xdr:rowOff>
    </xdr:to>
    <xdr:sp macro="[0]!cmdCreateReports" textlink="">
      <xdr:nvSpPr>
        <xdr:cNvPr id="13" name="Rectangle: Rounded Corners 12" title="5|1|Action">
          <a:extLst>
            <a:ext uri="{FF2B5EF4-FFF2-40B4-BE49-F238E27FC236}">
              <a16:creationId xmlns:a16="http://schemas.microsoft.com/office/drawing/2014/main" id="{208DBD02-0408-4A77-9CB4-1A54749A112C}"/>
            </a:ext>
          </a:extLst>
        </xdr:cNvPr>
        <xdr:cNvSpPr/>
      </xdr:nvSpPr>
      <xdr:spPr>
        <a:xfrm>
          <a:off x="933450" y="1590675"/>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a:t>
          </a:r>
          <a:r>
            <a:rPr lang="en-GB" sz="800" baseline="0"/>
            <a:t> report</a:t>
          </a:r>
          <a:r>
            <a:rPr lang="en-GB" sz="800"/>
            <a: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88900</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3" totalsRowShown="0" headerRowDxfId="80" dataDxfId="79">
  <autoFilter ref="A3:B13" xr:uid="{46B05878-3C26-48D2-BABD-E80EB00EAFDE}"/>
  <tableColumns count="2">
    <tableColumn id="1" xr3:uid="{C1DD83A2-653E-4627-8930-ACBCCE77789E}" name="Constant name" dataDxfId="78"/>
    <tableColumn id="2" xr3:uid="{A9145533-B66B-47C9-A95D-53EB03D79361}" name="Value" dataDxfId="7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76"/>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AQ11" totalsRowShown="0" headerRowDxfId="75" dataDxfId="73" headerRowBorderDxfId="74" tableBorderDxfId="72" headerRowCellStyle="Normal 2" dataCellStyle="Normal 2">
  <autoFilter ref="A3:AQ11" xr:uid="{FA95F1C7-15F6-488E-8AB5-6690ADF48085}"/>
  <tableColumns count="43">
    <tableColumn id="63" xr3:uid="{EE02FA41-B767-4EDA-8A42-16775A1CE61D}" name="Number" dataDxfId="71" dataCellStyle="Normal 2"/>
    <tableColumn id="1" xr3:uid="{C2547AE1-A085-4B64-A835-5930DF641EFF}" name="Flat / plot" dataDxfId="70" dataCellStyle="Normal 2"/>
    <tableColumn id="2" xr3:uid="{5E685CB6-772D-43F5-947F-8F004694B5D8}" name="Door spec" dataDxfId="69" dataCellStyle="Normal 2"/>
    <tableColumn id="3" xr3:uid="{DA6E3C03-A706-4B73-8852-6750B4D70BA0}" name="Location" dataDxfId="68" dataCellStyle="Normal 2"/>
    <tableColumn id="4" xr3:uid="{0C4D87F5-5C2B-466D-9A4E-1F3B3731B622}" name="Door ref/number" dataDxfId="67" dataCellStyle="Normal 2"/>
    <tableColumn id="5" xr3:uid="{C2DF3D45-E4A7-461C-9D39-335EDF5260F8}" name="Fire Rating" dataDxfId="66" dataCellStyle="Normal 2"/>
    <tableColumn id="6" xr3:uid="{2C999091-B956-44CC-822F-AB4EDFD7E332}" name="Instrument strip" dataDxfId="65" dataCellStyle="Normal 2"/>
    <tableColumn id="7" xr3:uid="{B064A130-78DC-431E-9521-58512D72A4DC}" name="Flipper colour" dataDxfId="64" dataCellStyle="Normal 2"/>
    <tableColumn id="8" xr3:uid="{3B94FCCB-CC65-47C5-8377-A8CC723E2C77}" name="Doorset layout" dataDxfId="63" dataCellStyle="Normal 2"/>
    <tableColumn id="64" xr3:uid="{3822204B-AB43-4164-BD78-7DB1A9CEA471}" name="Handing" dataDxfId="62" dataCellStyle="Normal 2"/>
    <tableColumn id="9" xr3:uid="{648CC17C-1403-4838-9C11-DCE9FE411B0C}" name="Lead door width (mm)" dataDxfId="61" dataCellStyle="Normal 2"/>
    <tableColumn id="10" xr3:uid="{6B663A8E-A3E3-4365-B5A0-635C3DC26C51}" name="Slave door width (mm)" dataDxfId="60" dataCellStyle="Normal 2"/>
    <tableColumn id="11" xr3:uid="{DC51496B-E561-4AB0-912D-42DE11D3FD11}" name="Door height (mm)" dataDxfId="59" dataCellStyle="Normal 2"/>
    <tableColumn id="12" xr3:uid="{A91C5037-F37B-4806-92A5-7C8F8E02DF77}" name="Door thickness (mm)" dataDxfId="58" dataCellStyle="Normal 2"/>
    <tableColumn id="13" xr3:uid="{811715EE-8154-491E-853B-04119F5D1B3C}" name="Aperture fire rating" dataDxfId="57" dataCellStyle="Normal 2"/>
    <tableColumn id="14" xr3:uid="{D5527189-CEBA-49D3-B4D4-411F61006300}" name="Aperture quantity" dataDxfId="56" dataCellStyle="Normal 2"/>
    <tableColumn id="16" xr3:uid="{61B44BE8-7015-4DA9-B8FC-8E3AED49F8A8}" name="Hinge type" dataDxfId="55" dataCellStyle="Normal 2"/>
    <tableColumn id="17" xr3:uid="{BFEB86BD-1D6F-4779-A2E0-6F771B7275F3}" name="Hinge quantity" dataDxfId="54" dataCellStyle="Normal 2"/>
    <tableColumn id="18" xr3:uid="{2B44A9FC-919B-42B5-8270-212A48A74DBF}" name="Ironmongery" dataDxfId="53" dataCellStyle="Normal 2"/>
    <tableColumn id="19" xr3:uid="{D0325A9D-6F8B-43AA-BA29-613A006ED5AD}" name="Flush bolt quantity " dataDxfId="52" dataCellStyle="Normal 2"/>
    <tableColumn id="20" xr3:uid="{64A84D9A-0E9B-44A9-8B8D-21722651638C}" name="Roller catch quantity" dataDxfId="51" dataCellStyle="Normal 2"/>
    <tableColumn id="21" xr3:uid="{BF743E01-BC3C-4C71-8C45-A44A4E19D021}" name="Frame timber" dataDxfId="50" dataCellStyle="Normal 2"/>
    <tableColumn id="22" xr3:uid="{85E42A7A-6DE8-4DC6-88A0-FECE51C842E1}" name="Frame thickness (mm)" dataDxfId="49" dataCellStyle="Normal 2"/>
    <tableColumn id="23" xr3:uid="{F5C26954-B720-489D-8F32-7EA10C8532B8}" name="Frame width (mm)" dataDxfId="48" dataCellStyle="Normal 2"/>
    <tableColumn id="24" xr3:uid="{02CB49B1-90B8-4CEC-9E34-7844CF63B008}" name="Lintol thickness (mm)" dataDxfId="47" dataCellStyle="Normal 2"/>
    <tableColumn id="25" xr3:uid="{08F24E03-6DF2-48DC-88E7-7EEF8460001D}" name="Stop timber" dataDxfId="46" dataCellStyle="Normal 2"/>
    <tableColumn id="26" xr3:uid="{73748A60-7FED-45DC-B4F3-0C5D10635A35}" name="Stop thickness (mm)" dataDxfId="45" dataCellStyle="Normal 2"/>
    <tableColumn id="27" xr3:uid="{92495BFC-5E5E-428F-B5DC-E22977F1228D}" name="Stop width (mm)" dataDxfId="44" dataCellStyle="Normal 2"/>
    <tableColumn id="28" xr3:uid="{41E3299C-E614-4A4C-BF04-DB83D466CF8F}" name="Undercut" dataDxfId="43" dataCellStyle="Normal 2"/>
    <tableColumn id="38" xr3:uid="{CE9DF7B3-E259-433F-8EE2-870DD96BAFD8}" name="Facing timber" dataDxfId="42" dataCellStyle="Normal 2"/>
    <tableColumn id="39" xr3:uid="{130FB667-CC1E-4063-AAE5-8999783296B1}" name="Facings width (mm)" dataDxfId="41" dataCellStyle="Normal 2"/>
    <tableColumn id="40" xr3:uid="{C212C7BC-E011-4BDE-8EF9-8CE19C37DC7C}" name="Facings depth (mm)" dataDxfId="40" dataCellStyle="Normal 2"/>
    <tableColumn id="53" xr3:uid="{AA3A7732-0599-41A9-9469-87DEB2005E18}" name="Base blocks timber" dataDxfId="39" dataCellStyle="Normal 2"/>
    <tableColumn id="54" xr3:uid="{99E2F268-6497-4453-BB53-CA7498EB1C54}" name="Base block width (mm)" dataDxfId="38" dataCellStyle="Normal 2"/>
    <tableColumn id="55" xr3:uid="{07E735BC-053B-4BA3-B976-58661EEB43C1}" name="Base block thickness (mm)" dataDxfId="37" dataCellStyle="Normal 2"/>
    <tableColumn id="56" xr3:uid="{00DDC031-77F6-4E6E-B630-DF2C6F62015B}" name="Base block height (mm)" dataDxfId="36" dataCellStyle="Normal 2"/>
    <tableColumn id="58" xr3:uid="{EC09E856-2FFB-4D2D-87FB-695D7DB56EDC}" name="Threshold timber" dataDxfId="35" dataCellStyle="Normal 2"/>
    <tableColumn id="59" xr3:uid="{5AF331AE-019F-406E-B557-AAB3DBD57A85}" name="Threshold thickness (mm)" dataDxfId="34" dataCellStyle="Normal 2"/>
    <tableColumn id="60" xr3:uid="{440F6002-C5D6-4D89-8806-CBA2507D6FB7}" name="Threshold width (mm)" dataDxfId="33" dataCellStyle="Normal 2"/>
    <tableColumn id="61" xr3:uid="{6C5F4C8F-327E-4782-A6C0-9F38838FED62}" name="Threshold length (mm)" dataDxfId="32" dataCellStyle="Normal 2"/>
    <tableColumn id="29" xr3:uid="{8EBAD418-4E2E-4DA4-8C81-54B0E36882F6}" name="Door state" dataDxfId="31" dataCellStyle="Normal 2"/>
    <tableColumn id="15" xr3:uid="{0EB0D639-A9EB-417E-BE92-F064D2B73B6D}" name="Column1" dataDxfId="30" dataCellStyle="Normal 2"/>
    <tableColumn id="62" xr3:uid="{D3A130B6-009A-47C5-9707-D6032CF1F2EB}" name="Threshold quantity " dataDxfId="29"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8" dataDxfId="27">
  <autoFilter ref="C3:C6" xr:uid="{0902FF45-95D7-4CB3-B877-36956C4D8363}"/>
  <tableColumns count="1">
    <tableColumn id="1" xr3:uid="{50D2381B-209A-4F94-BAC9-AD26CCC2B599}" name="Fire rating" dataDxfId="2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9" totalsRowShown="0" headerRowDxfId="25" dataDxfId="24" tableBorderDxfId="23">
  <autoFilter ref="E3:E9" xr:uid="{00B1724C-3B19-4B0D-8442-AA99743F92FF}"/>
  <tableColumns count="1">
    <tableColumn id="1" xr3:uid="{C9F49D4B-53E2-488D-9EB3-647AEE3F192C}" name="Instrument strip"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21" dataDxfId="20">
  <autoFilter ref="I3:I5" xr:uid="{E68C8121-B1C7-4F44-88A0-4760005BA04B}"/>
  <tableColumns count="1">
    <tableColumn id="1" xr3:uid="{EF3492D1-961F-4120-9E07-95AC7765D076}" name="Doorset Layout" dataDxfId="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8" dataDxfId="17">
  <autoFilter ref="A3:A6" xr:uid="{46B05878-3C26-48D2-BABD-E80EB00EAFDE}"/>
  <tableColumns count="1">
    <tableColumn id="1" xr3:uid="{1A4F6AEC-2F7E-4A56-B69B-4522423F94AB}" name="Door spec" dataDxfId="1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5" dataDxfId="14" tableBorderDxfId="13">
  <autoFilter ref="G3:G6" xr:uid="{4748AB34-0A5E-4AAC-837B-1180BBF3B96F}"/>
  <tableColumns count="1">
    <tableColumn id="1" xr3:uid="{56FB0A26-AE6B-450B-ADE8-560BDC50B014}" name="Flipper colour" dataDxfId="1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11">
  <autoFilter ref="M3:M14" xr:uid="{D0000841-D9B1-4F52-8B4F-5D8B780DC3CC}"/>
  <tableColumns count="1">
    <tableColumn id="1" xr3:uid="{2AD5D4B7-75C8-4A37-8B37-4764C7662513}" name="Aperture quantity" dataDxfId="1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9">
  <autoFilter ref="Q3:Q14" xr:uid="{16BC64D3-E8F0-40DB-BC03-23BC06B38158}"/>
  <tableColumns count="1">
    <tableColumn id="1" xr3:uid="{8FC30FDF-F578-4F23-B254-BCD94615C606}" name="Hinge quantity" dataDxfId="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7">
  <autoFilter ref="U3:U14" xr:uid="{5186BBEE-A296-4090-A40C-CAEE5313AC17}"/>
  <tableColumns count="1">
    <tableColumn id="1" xr3:uid="{3B933C82-CABA-418F-A60A-5DDB1C654177}" name="Flush bolt quantity" dataDxfId="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5">
  <autoFilter ref="W3:W14" xr:uid="{8F440D9B-3CA6-4D3E-9DAB-600BAB5F6854}"/>
  <tableColumns count="1">
    <tableColumn id="1" xr3:uid="{C73BC335-20CE-4047-AC9D-1CC97D9AEAB5}" name="Roller catch quantity" dataDxfId="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3">
  <autoFilter ref="Y3:Y10" xr:uid="{EFB736B9-D117-475E-8752-3686B271059F}"/>
  <tableColumns count="1">
    <tableColumn id="1" xr3:uid="{16B15BCE-3840-43C0-8270-35D72856772F}" name="Timber"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table" Target="../tables/table9.xml"/><Relationship Id="rId13" Type="http://schemas.openxmlformats.org/officeDocument/2006/relationships/table" Target="../tables/table14.xml"/><Relationship Id="rId3" Type="http://schemas.openxmlformats.org/officeDocument/2006/relationships/table" Target="../tables/table4.xml"/><Relationship Id="rId7" Type="http://schemas.openxmlformats.org/officeDocument/2006/relationships/table" Target="../tables/table8.xml"/><Relationship Id="rId12" Type="http://schemas.openxmlformats.org/officeDocument/2006/relationships/table" Target="../tables/table13.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5" Type="http://schemas.openxmlformats.org/officeDocument/2006/relationships/table" Target="../tables/table1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7BCA1-E6F7-4582-A1CD-851DFE0AEE3A}">
  <sheetPr codeName="Sheet11"/>
  <dimension ref="A1:O200"/>
  <sheetViews>
    <sheetView showGridLines="0" tabSelected="1" zoomScaleNormal="100" workbookViewId="0">
      <pane ySplit="3" topLeftCell="A4" activePane="bottomLeft" state="frozen"/>
      <selection pane="bottomLeft" activeCell="D9" sqref="D9"/>
    </sheetView>
  </sheetViews>
  <sheetFormatPr defaultColWidth="9" defaultRowHeight="12" x14ac:dyDescent="0.2"/>
  <cols>
    <col min="1" max="1" width="11.1640625" style="14" bestFit="1" customWidth="1"/>
    <col min="2" max="2" width="11.5" bestFit="1" customWidth="1"/>
    <col min="3" max="3" width="10.5" style="43" bestFit="1" customWidth="1"/>
    <col min="4" max="4" width="20.33203125" style="43" bestFit="1" customWidth="1"/>
    <col min="5" max="5" width="12.1640625" style="15" bestFit="1" customWidth="1"/>
    <col min="6" max="6" width="17.5" bestFit="1" customWidth="1"/>
    <col min="7" max="7" width="21.5" customWidth="1"/>
    <col min="8" max="8" width="13.6640625" bestFit="1" customWidth="1"/>
    <col min="9" max="9" width="18.83203125" bestFit="1" customWidth="1"/>
    <col min="10" max="10" width="19" bestFit="1" customWidth="1"/>
    <col min="11" max="11" width="17.5" bestFit="1" customWidth="1"/>
    <col min="12" max="12" width="9.6640625" bestFit="1" customWidth="1"/>
    <col min="13" max="13" width="14.6640625" bestFit="1" customWidth="1"/>
    <col min="14" max="14" width="12.83203125" bestFit="1" customWidth="1"/>
    <col min="15" max="15" width="14" customWidth="1"/>
  </cols>
  <sheetData>
    <row r="1" spans="1:15" ht="63.95" customHeight="1" x14ac:dyDescent="0.25">
      <c r="A1" s="16"/>
      <c r="C1" s="41"/>
      <c r="D1" s="41"/>
      <c r="E1" s="16"/>
    </row>
    <row r="2" spans="1:15" ht="32.1" customHeight="1" x14ac:dyDescent="0.2">
      <c r="A2" s="3" t="s">
        <v>522</v>
      </c>
      <c r="C2" s="3"/>
      <c r="D2" s="3"/>
      <c r="E2" s="19"/>
    </row>
    <row r="3" spans="1:15" ht="60" x14ac:dyDescent="0.2">
      <c r="A3" s="196" t="s">
        <v>35</v>
      </c>
      <c r="B3" s="197" t="s">
        <v>36</v>
      </c>
      <c r="C3" s="197" t="s">
        <v>30</v>
      </c>
      <c r="D3" s="197" t="s">
        <v>45</v>
      </c>
      <c r="E3" s="197" t="s">
        <v>28</v>
      </c>
      <c r="F3" s="197" t="s">
        <v>38</v>
      </c>
      <c r="G3" s="197" t="s">
        <v>40</v>
      </c>
      <c r="H3" s="197" t="s">
        <v>43</v>
      </c>
      <c r="I3" s="197" t="s">
        <v>41</v>
      </c>
      <c r="J3" s="197" t="s">
        <v>42</v>
      </c>
      <c r="K3" s="197" t="s">
        <v>44</v>
      </c>
      <c r="L3" s="197" t="s">
        <v>46</v>
      </c>
      <c r="M3" s="197" t="s">
        <v>31</v>
      </c>
      <c r="N3" s="197" t="s">
        <v>49</v>
      </c>
      <c r="O3" s="198" t="s">
        <v>523</v>
      </c>
    </row>
    <row r="4" spans="1:15" x14ac:dyDescent="0.2">
      <c r="A4" s="14" t="s">
        <v>479</v>
      </c>
      <c r="B4" s="44" t="s">
        <v>390</v>
      </c>
      <c r="C4" s="43" t="s">
        <v>400</v>
      </c>
      <c r="D4" s="43">
        <v>2</v>
      </c>
      <c r="E4" s="15" t="s">
        <v>94</v>
      </c>
      <c r="F4" t="s">
        <v>393</v>
      </c>
      <c r="G4" t="s">
        <v>96</v>
      </c>
      <c r="H4">
        <v>1600</v>
      </c>
      <c r="I4">
        <v>700</v>
      </c>
      <c r="K4">
        <v>34</v>
      </c>
      <c r="L4" t="s">
        <v>315</v>
      </c>
      <c r="M4" t="s">
        <v>104</v>
      </c>
      <c r="N4">
        <v>4</v>
      </c>
      <c r="O4">
        <v>99</v>
      </c>
    </row>
    <row r="5" spans="1:15" x14ac:dyDescent="0.2">
      <c r="A5" s="14" t="s">
        <v>479</v>
      </c>
      <c r="B5" s="44" t="s">
        <v>390</v>
      </c>
      <c r="C5" s="43" t="s">
        <v>400</v>
      </c>
      <c r="D5" s="43">
        <v>2</v>
      </c>
      <c r="E5" s="15" t="s">
        <v>94</v>
      </c>
      <c r="F5" t="s">
        <v>393</v>
      </c>
      <c r="G5" t="s">
        <v>96</v>
      </c>
      <c r="H5">
        <v>1600</v>
      </c>
      <c r="I5">
        <v>400</v>
      </c>
      <c r="J5">
        <v>600</v>
      </c>
      <c r="K5">
        <v>34</v>
      </c>
      <c r="L5" t="s">
        <v>315</v>
      </c>
      <c r="M5" t="s">
        <v>104</v>
      </c>
      <c r="N5">
        <v>4</v>
      </c>
      <c r="O5">
        <v>99</v>
      </c>
    </row>
    <row r="6" spans="1:15" x14ac:dyDescent="0.2">
      <c r="A6" s="14" t="s">
        <v>479</v>
      </c>
      <c r="B6" s="44" t="s">
        <v>391</v>
      </c>
      <c r="C6" s="43" t="s">
        <v>400</v>
      </c>
      <c r="D6" s="43">
        <v>2</v>
      </c>
      <c r="E6" s="15" t="s">
        <v>94</v>
      </c>
      <c r="F6" t="s">
        <v>393</v>
      </c>
      <c r="G6" t="s">
        <v>96</v>
      </c>
      <c r="H6">
        <v>1600</v>
      </c>
      <c r="I6">
        <v>400</v>
      </c>
      <c r="J6">
        <v>600</v>
      </c>
      <c r="K6">
        <v>34</v>
      </c>
      <c r="L6" t="s">
        <v>315</v>
      </c>
      <c r="M6" t="s">
        <v>104</v>
      </c>
      <c r="N6">
        <v>4</v>
      </c>
      <c r="O6">
        <v>99</v>
      </c>
    </row>
    <row r="7" spans="1:15" x14ac:dyDescent="0.2">
      <c r="A7" s="14" t="s">
        <v>479</v>
      </c>
      <c r="B7" s="44" t="s">
        <v>390</v>
      </c>
      <c r="C7" s="43" t="s">
        <v>400</v>
      </c>
      <c r="D7" s="43">
        <v>2</v>
      </c>
      <c r="E7" s="15" t="s">
        <v>94</v>
      </c>
      <c r="F7" t="s">
        <v>393</v>
      </c>
      <c r="G7" t="s">
        <v>96</v>
      </c>
      <c r="H7">
        <v>1600</v>
      </c>
      <c r="I7">
        <v>400</v>
      </c>
      <c r="J7">
        <v>600</v>
      </c>
      <c r="K7">
        <v>34</v>
      </c>
      <c r="L7" t="s">
        <v>315</v>
      </c>
      <c r="M7" t="s">
        <v>104</v>
      </c>
      <c r="N7">
        <v>4</v>
      </c>
      <c r="O7">
        <v>99</v>
      </c>
    </row>
    <row r="8" spans="1:15" x14ac:dyDescent="0.2">
      <c r="A8" s="14" t="s">
        <v>479</v>
      </c>
      <c r="B8" s="44" t="s">
        <v>391</v>
      </c>
      <c r="C8" s="43" t="s">
        <v>400</v>
      </c>
      <c r="D8" s="43">
        <v>2</v>
      </c>
      <c r="E8" s="15" t="s">
        <v>94</v>
      </c>
      <c r="F8" t="s">
        <v>393</v>
      </c>
      <c r="G8" t="s">
        <v>96</v>
      </c>
      <c r="H8">
        <v>1600</v>
      </c>
      <c r="I8">
        <v>400</v>
      </c>
      <c r="J8">
        <v>600</v>
      </c>
      <c r="K8">
        <v>34</v>
      </c>
      <c r="L8" t="s">
        <v>315</v>
      </c>
      <c r="M8" t="s">
        <v>104</v>
      </c>
      <c r="N8">
        <v>4</v>
      </c>
      <c r="O8">
        <v>99</v>
      </c>
    </row>
    <row r="9" spans="1:15" x14ac:dyDescent="0.2">
      <c r="A9" s="14" t="s">
        <v>479</v>
      </c>
      <c r="B9" s="44" t="s">
        <v>390</v>
      </c>
      <c r="C9" s="43" t="s">
        <v>400</v>
      </c>
      <c r="D9" s="43">
        <v>2</v>
      </c>
      <c r="E9" s="15" t="s">
        <v>94</v>
      </c>
      <c r="F9" t="s">
        <v>393</v>
      </c>
      <c r="G9" t="s">
        <v>96</v>
      </c>
      <c r="H9">
        <v>1600</v>
      </c>
      <c r="I9">
        <v>400</v>
      </c>
      <c r="J9">
        <v>600</v>
      </c>
      <c r="K9">
        <v>34</v>
      </c>
      <c r="L9" t="s">
        <v>315</v>
      </c>
      <c r="M9" t="s">
        <v>104</v>
      </c>
      <c r="N9">
        <v>4</v>
      </c>
      <c r="O9">
        <v>99</v>
      </c>
    </row>
    <row r="10" spans="1:15" x14ac:dyDescent="0.2">
      <c r="A10" s="14" t="s">
        <v>479</v>
      </c>
      <c r="B10" s="44" t="s">
        <v>391</v>
      </c>
      <c r="C10" s="43" t="s">
        <v>400</v>
      </c>
      <c r="D10" s="43">
        <v>2</v>
      </c>
      <c r="E10" s="15" t="s">
        <v>94</v>
      </c>
      <c r="F10" t="s">
        <v>393</v>
      </c>
      <c r="G10" t="s">
        <v>96</v>
      </c>
      <c r="H10">
        <v>1600</v>
      </c>
      <c r="I10">
        <v>400</v>
      </c>
      <c r="J10">
        <v>600</v>
      </c>
      <c r="K10">
        <v>34</v>
      </c>
      <c r="L10" t="s">
        <v>315</v>
      </c>
      <c r="M10" t="s">
        <v>104</v>
      </c>
      <c r="N10">
        <v>4</v>
      </c>
      <c r="O10">
        <v>99</v>
      </c>
    </row>
    <row r="11" spans="1:15" x14ac:dyDescent="0.2">
      <c r="A11" s="14" t="s">
        <v>485</v>
      </c>
      <c r="B11" s="44"/>
      <c r="O11">
        <v>99</v>
      </c>
    </row>
    <row r="12" spans="1:15" x14ac:dyDescent="0.2">
      <c r="B12" s="44"/>
    </row>
    <row r="13" spans="1:15" x14ac:dyDescent="0.2">
      <c r="B13" s="44"/>
    </row>
    <row r="14" spans="1:15" x14ac:dyDescent="0.2">
      <c r="B14" s="44"/>
    </row>
    <row r="15" spans="1:15" x14ac:dyDescent="0.2">
      <c r="B15" s="44"/>
    </row>
    <row r="16" spans="1:15" x14ac:dyDescent="0.2">
      <c r="B16" s="44"/>
    </row>
    <row r="17" spans="2:2" x14ac:dyDescent="0.2">
      <c r="B17" s="44"/>
    </row>
    <row r="18" spans="2:2" x14ac:dyDescent="0.2">
      <c r="B18" s="44"/>
    </row>
    <row r="19" spans="2:2" x14ac:dyDescent="0.2">
      <c r="B19" s="44"/>
    </row>
    <row r="20" spans="2:2" x14ac:dyDescent="0.2">
      <c r="B20" s="44"/>
    </row>
    <row r="21" spans="2:2" x14ac:dyDescent="0.2">
      <c r="B21" s="44"/>
    </row>
    <row r="22" spans="2:2" x14ac:dyDescent="0.2">
      <c r="B22" s="44"/>
    </row>
    <row r="23" spans="2:2" x14ac:dyDescent="0.2">
      <c r="B23" s="44"/>
    </row>
    <row r="24" spans="2:2" x14ac:dyDescent="0.2">
      <c r="B24" s="44"/>
    </row>
    <row r="25" spans="2:2" x14ac:dyDescent="0.2">
      <c r="B25" s="44"/>
    </row>
    <row r="26" spans="2:2" x14ac:dyDescent="0.2">
      <c r="B26" s="44"/>
    </row>
    <row r="27" spans="2:2" x14ac:dyDescent="0.2">
      <c r="B27" s="44"/>
    </row>
    <row r="28" spans="2:2" x14ac:dyDescent="0.2">
      <c r="B28" s="44"/>
    </row>
    <row r="29" spans="2:2" x14ac:dyDescent="0.2">
      <c r="B29" s="44"/>
    </row>
    <row r="30" spans="2:2" x14ac:dyDescent="0.2">
      <c r="B30" s="44"/>
    </row>
    <row r="31" spans="2:2" x14ac:dyDescent="0.2">
      <c r="B31" s="44"/>
    </row>
    <row r="32" spans="2:2" x14ac:dyDescent="0.2">
      <c r="B32" s="44"/>
    </row>
    <row r="33" spans="2:2" x14ac:dyDescent="0.2">
      <c r="B33" s="44"/>
    </row>
    <row r="34" spans="2:2" x14ac:dyDescent="0.2">
      <c r="B34" s="44"/>
    </row>
    <row r="35" spans="2:2" x14ac:dyDescent="0.2">
      <c r="B35" s="44"/>
    </row>
    <row r="36" spans="2:2" x14ac:dyDescent="0.2">
      <c r="B36" s="44"/>
    </row>
    <row r="37" spans="2:2" x14ac:dyDescent="0.2">
      <c r="B37" s="44"/>
    </row>
    <row r="38" spans="2:2" x14ac:dyDescent="0.2">
      <c r="B38" s="44"/>
    </row>
    <row r="39" spans="2:2" x14ac:dyDescent="0.2">
      <c r="B39" s="44"/>
    </row>
    <row r="40" spans="2:2" x14ac:dyDescent="0.2">
      <c r="B40" s="44"/>
    </row>
    <row r="41" spans="2:2" x14ac:dyDescent="0.2">
      <c r="B41" s="44"/>
    </row>
    <row r="42" spans="2:2" x14ac:dyDescent="0.2">
      <c r="B42" s="44"/>
    </row>
    <row r="43" spans="2:2" x14ac:dyDescent="0.2">
      <c r="B43" s="44"/>
    </row>
    <row r="44" spans="2:2" x14ac:dyDescent="0.2">
      <c r="B44" s="44"/>
    </row>
    <row r="45" spans="2:2" x14ac:dyDescent="0.2">
      <c r="B45" s="44"/>
    </row>
    <row r="46" spans="2:2" x14ac:dyDescent="0.2">
      <c r="B46" s="44"/>
    </row>
    <row r="47" spans="2:2" x14ac:dyDescent="0.2">
      <c r="B47" s="44"/>
    </row>
    <row r="48" spans="2:2" x14ac:dyDescent="0.2">
      <c r="B48" s="44"/>
    </row>
    <row r="49" spans="2:2" x14ac:dyDescent="0.2">
      <c r="B49" s="44"/>
    </row>
    <row r="50" spans="2:2" x14ac:dyDescent="0.2">
      <c r="B50" s="44"/>
    </row>
    <row r="51" spans="2:2" x14ac:dyDescent="0.2">
      <c r="B51" s="44"/>
    </row>
    <row r="52" spans="2:2" x14ac:dyDescent="0.2">
      <c r="B52" s="44"/>
    </row>
    <row r="53" spans="2:2" x14ac:dyDescent="0.2">
      <c r="B53" s="44"/>
    </row>
    <row r="54" spans="2:2" x14ac:dyDescent="0.2">
      <c r="B54" s="44"/>
    </row>
    <row r="55" spans="2:2" x14ac:dyDescent="0.2">
      <c r="B55" s="44"/>
    </row>
    <row r="56" spans="2:2" x14ac:dyDescent="0.2">
      <c r="B56" s="44"/>
    </row>
    <row r="57" spans="2:2" x14ac:dyDescent="0.2">
      <c r="B57" s="44"/>
    </row>
    <row r="58" spans="2:2" x14ac:dyDescent="0.2">
      <c r="B58" s="44"/>
    </row>
    <row r="59" spans="2:2" x14ac:dyDescent="0.2">
      <c r="B59" s="44"/>
    </row>
    <row r="60" spans="2:2" x14ac:dyDescent="0.2">
      <c r="B60" s="44"/>
    </row>
    <row r="61" spans="2:2" x14ac:dyDescent="0.2">
      <c r="B61" s="44"/>
    </row>
    <row r="62" spans="2:2" x14ac:dyDescent="0.2">
      <c r="B62" s="44"/>
    </row>
    <row r="63" spans="2:2" x14ac:dyDescent="0.2">
      <c r="B63" s="44"/>
    </row>
    <row r="64" spans="2:2" x14ac:dyDescent="0.2">
      <c r="B64" s="44"/>
    </row>
    <row r="65" spans="2:2" x14ac:dyDescent="0.2">
      <c r="B65" s="44"/>
    </row>
    <row r="66" spans="2:2" x14ac:dyDescent="0.2">
      <c r="B66" s="44"/>
    </row>
    <row r="67" spans="2:2" x14ac:dyDescent="0.2">
      <c r="B67" s="44"/>
    </row>
    <row r="68" spans="2:2" x14ac:dyDescent="0.2">
      <c r="B68" s="44"/>
    </row>
    <row r="69" spans="2:2" x14ac:dyDescent="0.2">
      <c r="B69" s="44"/>
    </row>
    <row r="70" spans="2:2" x14ac:dyDescent="0.2">
      <c r="B70" s="44"/>
    </row>
    <row r="71" spans="2:2" x14ac:dyDescent="0.2">
      <c r="B71" s="44"/>
    </row>
    <row r="72" spans="2:2" x14ac:dyDescent="0.2">
      <c r="B72" s="44"/>
    </row>
    <row r="73" spans="2:2" x14ac:dyDescent="0.2">
      <c r="B73" s="44"/>
    </row>
    <row r="74" spans="2:2" x14ac:dyDescent="0.2">
      <c r="B74" s="44"/>
    </row>
    <row r="75" spans="2:2" x14ac:dyDescent="0.2">
      <c r="B75" s="44"/>
    </row>
    <row r="76" spans="2:2" x14ac:dyDescent="0.2">
      <c r="B76" s="44"/>
    </row>
    <row r="77" spans="2:2" x14ac:dyDescent="0.2">
      <c r="B77" s="44"/>
    </row>
    <row r="78" spans="2:2" x14ac:dyDescent="0.2">
      <c r="B78" s="44"/>
    </row>
    <row r="79" spans="2:2" x14ac:dyDescent="0.2">
      <c r="B79" s="44"/>
    </row>
    <row r="80" spans="2:2" x14ac:dyDescent="0.2">
      <c r="B80" s="44"/>
    </row>
    <row r="81" spans="2:2" x14ac:dyDescent="0.2">
      <c r="B81" s="44"/>
    </row>
    <row r="82" spans="2:2" x14ac:dyDescent="0.2">
      <c r="B82" s="44"/>
    </row>
    <row r="83" spans="2:2" x14ac:dyDescent="0.2">
      <c r="B83" s="44"/>
    </row>
    <row r="84" spans="2:2" x14ac:dyDescent="0.2">
      <c r="B84" s="44"/>
    </row>
    <row r="85" spans="2:2" x14ac:dyDescent="0.2">
      <c r="B85" s="44"/>
    </row>
    <row r="86" spans="2:2" x14ac:dyDescent="0.2">
      <c r="B86" s="44"/>
    </row>
    <row r="87" spans="2:2" x14ac:dyDescent="0.2">
      <c r="B87" s="44"/>
    </row>
    <row r="88" spans="2:2" x14ac:dyDescent="0.2">
      <c r="B88" s="44"/>
    </row>
    <row r="89" spans="2:2" x14ac:dyDescent="0.2">
      <c r="B89" s="44"/>
    </row>
    <row r="90" spans="2:2" x14ac:dyDescent="0.2">
      <c r="B90" s="44"/>
    </row>
    <row r="91" spans="2:2" x14ac:dyDescent="0.2">
      <c r="B91" s="44"/>
    </row>
    <row r="92" spans="2:2" x14ac:dyDescent="0.2">
      <c r="B92" s="44"/>
    </row>
    <row r="93" spans="2:2" x14ac:dyDescent="0.2">
      <c r="B93" s="44"/>
    </row>
    <row r="94" spans="2:2" x14ac:dyDescent="0.2">
      <c r="B94" s="44"/>
    </row>
    <row r="95" spans="2:2" x14ac:dyDescent="0.2">
      <c r="B95" s="44"/>
    </row>
    <row r="96" spans="2:2" x14ac:dyDescent="0.2">
      <c r="B96" s="44"/>
    </row>
    <row r="97" spans="2:2" x14ac:dyDescent="0.2">
      <c r="B97" s="44"/>
    </row>
    <row r="98" spans="2:2" x14ac:dyDescent="0.2">
      <c r="B98" s="44"/>
    </row>
    <row r="99" spans="2:2" x14ac:dyDescent="0.2">
      <c r="B99" s="44"/>
    </row>
    <row r="100" spans="2:2" x14ac:dyDescent="0.2">
      <c r="B100" s="44"/>
    </row>
    <row r="101" spans="2:2" x14ac:dyDescent="0.2">
      <c r="B101" s="44"/>
    </row>
    <row r="102" spans="2:2" x14ac:dyDescent="0.2">
      <c r="B102" s="44"/>
    </row>
    <row r="103" spans="2:2" x14ac:dyDescent="0.2">
      <c r="B103" s="44"/>
    </row>
    <row r="200" spans="1:5" s="9" customFormat="1" x14ac:dyDescent="0.2">
      <c r="A200" s="14"/>
      <c r="B200"/>
      <c r="C200" s="43"/>
      <c r="D200" s="43"/>
      <c r="E200" s="15"/>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Y202"/>
  <sheetViews>
    <sheetView showGridLines="0" topLeftCell="B1" zoomScaleNormal="100" workbookViewId="0">
      <pane ySplit="2" topLeftCell="A3" activePane="bottomLeft" state="frozen"/>
      <selection pane="bottomLeft" activeCell="C19" sqref="C19"/>
    </sheetView>
  </sheetViews>
  <sheetFormatPr defaultColWidth="9" defaultRowHeight="12" x14ac:dyDescent="0.2"/>
  <cols>
    <col min="1" max="1" width="41.6640625" style="14" customWidth="1"/>
    <col min="2" max="2" width="26.1640625" customWidth="1"/>
    <col min="3" max="3" width="26.6640625" style="43" bestFit="1" customWidth="1"/>
    <col min="4" max="4" width="3.6640625" style="43" customWidth="1"/>
    <col min="5" max="5" width="27" style="15" bestFit="1" customWidth="1"/>
    <col min="6" max="6" width="11.83203125" customWidth="1"/>
    <col min="7" max="7" width="12.33203125"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s>
  <sheetData>
    <row r="1" spans="1:25" ht="63.95" customHeight="1" x14ac:dyDescent="0.25">
      <c r="A1" s="16"/>
      <c r="C1" s="195" t="s">
        <v>507</v>
      </c>
      <c r="D1" s="195"/>
      <c r="E1" s="195"/>
      <c r="F1" s="195"/>
      <c r="G1" s="195"/>
      <c r="H1" s="195"/>
      <c r="I1" s="195"/>
      <c r="J1" s="195"/>
      <c r="K1" s="195"/>
      <c r="L1" s="195"/>
    </row>
    <row r="2" spans="1:25" ht="32.1" customHeight="1" x14ac:dyDescent="0.2">
      <c r="A2" s="3" t="s">
        <v>430</v>
      </c>
      <c r="C2" s="3"/>
      <c r="D2" s="3"/>
      <c r="E2" s="19"/>
    </row>
    <row r="3" spans="1:25" ht="12" customHeight="1" x14ac:dyDescent="0.2">
      <c r="A3" s="14" t="s">
        <v>431</v>
      </c>
      <c r="B3" s="185" t="s">
        <v>432</v>
      </c>
      <c r="C3" s="14"/>
      <c r="D3"/>
      <c r="E3" t="s">
        <v>442</v>
      </c>
      <c r="F3" t="s">
        <v>443</v>
      </c>
      <c r="G3" t="s">
        <v>444</v>
      </c>
      <c r="H3" s="165"/>
      <c r="J3" s="165"/>
      <c r="L3" s="165"/>
    </row>
    <row r="4" spans="1:25" ht="12" customHeight="1" x14ac:dyDescent="0.2">
      <c r="A4" s="14" t="s">
        <v>433</v>
      </c>
      <c r="B4" s="193">
        <v>2</v>
      </c>
      <c r="C4" s="191"/>
      <c r="D4"/>
      <c r="E4" s="185" t="s">
        <v>445</v>
      </c>
      <c r="F4">
        <v>300</v>
      </c>
      <c r="G4">
        <v>2000</v>
      </c>
      <c r="H4" s="185"/>
      <c r="I4" s="43"/>
      <c r="J4" s="185"/>
      <c r="L4" s="185"/>
      <c r="M4" s="189"/>
      <c r="Q4" s="189"/>
      <c r="U4" s="189"/>
      <c r="W4" s="189"/>
      <c r="Y4" s="5"/>
    </row>
    <row r="5" spans="1:25" ht="12" customHeight="1" x14ac:dyDescent="0.2">
      <c r="A5" s="14" t="s">
        <v>434</v>
      </c>
      <c r="B5" s="193">
        <v>6</v>
      </c>
      <c r="C5" s="191"/>
      <c r="D5"/>
      <c r="E5" s="14" t="s">
        <v>446</v>
      </c>
      <c r="F5">
        <v>400</v>
      </c>
      <c r="G5">
        <v>2500</v>
      </c>
      <c r="H5" s="14"/>
      <c r="I5" s="43"/>
      <c r="J5" s="14"/>
      <c r="L5" s="14"/>
      <c r="M5" s="189"/>
      <c r="Q5" s="189"/>
      <c r="U5" s="189"/>
      <c r="W5" s="189"/>
      <c r="Y5" s="5"/>
    </row>
    <row r="6" spans="1:25" ht="12" customHeight="1" x14ac:dyDescent="0.2">
      <c r="A6" s="14" t="s">
        <v>435</v>
      </c>
      <c r="B6" s="193">
        <v>3</v>
      </c>
      <c r="C6" s="191"/>
      <c r="D6"/>
      <c r="E6" s="185" t="s">
        <v>447</v>
      </c>
      <c r="F6">
        <v>1500</v>
      </c>
      <c r="G6">
        <v>3000</v>
      </c>
      <c r="H6" s="43"/>
      <c r="I6" s="43"/>
      <c r="J6" s="185"/>
      <c r="L6" s="185"/>
      <c r="M6" s="189"/>
      <c r="O6" s="43"/>
      <c r="Q6" s="189"/>
      <c r="U6" s="189"/>
      <c r="W6" s="189"/>
      <c r="Y6" s="5"/>
    </row>
    <row r="7" spans="1:25" ht="12" customHeight="1" x14ac:dyDescent="0.2">
      <c r="A7" s="185" t="s">
        <v>436</v>
      </c>
      <c r="B7" s="193">
        <v>3</v>
      </c>
      <c r="C7" s="185"/>
      <c r="D7"/>
      <c r="E7" s="14" t="s">
        <v>448</v>
      </c>
      <c r="F7">
        <v>20</v>
      </c>
      <c r="G7">
        <v>60</v>
      </c>
      <c r="H7" s="43"/>
      <c r="I7" s="43"/>
      <c r="J7" s="14"/>
      <c r="L7" s="14"/>
      <c r="M7" s="189"/>
      <c r="O7" s="43"/>
      <c r="Q7" s="189"/>
      <c r="U7" s="189"/>
      <c r="W7" s="189"/>
      <c r="Y7" s="5"/>
    </row>
    <row r="8" spans="1:25" ht="12" customHeight="1" x14ac:dyDescent="0.2">
      <c r="A8" s="185" t="s">
        <v>437</v>
      </c>
      <c r="B8" s="193">
        <v>8</v>
      </c>
      <c r="C8"/>
      <c r="D8"/>
      <c r="E8" s="185" t="s">
        <v>463</v>
      </c>
      <c r="F8">
        <v>5</v>
      </c>
      <c r="G8">
        <v>30</v>
      </c>
      <c r="H8" s="43"/>
      <c r="J8" s="185"/>
      <c r="L8" s="185"/>
      <c r="M8" s="189"/>
      <c r="O8" s="43"/>
      <c r="Q8" s="189"/>
      <c r="U8" s="189"/>
      <c r="W8" s="189"/>
      <c r="Y8" s="5"/>
    </row>
    <row r="9" spans="1:25" ht="12" customHeight="1" x14ac:dyDescent="0.2">
      <c r="A9" s="185" t="s">
        <v>438</v>
      </c>
      <c r="B9" s="193">
        <v>38</v>
      </c>
      <c r="C9"/>
      <c r="D9"/>
      <c r="E9" s="185" t="s">
        <v>462</v>
      </c>
      <c r="F9">
        <v>50</v>
      </c>
      <c r="G9">
        <v>150</v>
      </c>
      <c r="H9" s="43"/>
      <c r="I9" s="43"/>
      <c r="J9" s="185"/>
      <c r="L9" s="185"/>
      <c r="M9" s="189"/>
      <c r="O9" s="43"/>
      <c r="Q9" s="189"/>
      <c r="S9" s="43"/>
      <c r="U9" s="189"/>
      <c r="W9" s="189"/>
      <c r="Y9" s="5"/>
    </row>
    <row r="10" spans="1:25" ht="12" customHeight="1" x14ac:dyDescent="0.2">
      <c r="A10" s="185" t="s">
        <v>439</v>
      </c>
      <c r="B10" s="193">
        <v>22</v>
      </c>
      <c r="C10"/>
      <c r="D10"/>
      <c r="E10" s="185" t="s">
        <v>461</v>
      </c>
      <c r="F10">
        <v>20</v>
      </c>
      <c r="G10">
        <v>60</v>
      </c>
      <c r="H10" s="43"/>
      <c r="I10" s="43"/>
      <c r="J10" s="43"/>
      <c r="K10" s="43"/>
      <c r="L10" s="43"/>
      <c r="M10" s="189"/>
      <c r="N10" s="43"/>
      <c r="O10" s="43"/>
      <c r="P10" s="15"/>
      <c r="Q10" s="190"/>
      <c r="R10" s="43"/>
      <c r="S10" s="43"/>
      <c r="U10" s="190"/>
      <c r="W10" s="190"/>
      <c r="Y10" s="5"/>
    </row>
    <row r="11" spans="1:25" x14ac:dyDescent="0.2">
      <c r="A11" s="185" t="s">
        <v>440</v>
      </c>
      <c r="B11" s="193">
        <v>2</v>
      </c>
      <c r="C11"/>
      <c r="D11"/>
      <c r="E11" s="185" t="s">
        <v>465</v>
      </c>
      <c r="F11">
        <v>25</v>
      </c>
      <c r="G11">
        <v>70</v>
      </c>
      <c r="H11" s="43"/>
      <c r="I11" s="43"/>
      <c r="J11" s="43"/>
      <c r="K11" s="43"/>
      <c r="L11" s="43"/>
      <c r="M11" s="190"/>
      <c r="N11" s="43"/>
      <c r="O11" s="43"/>
      <c r="P11" s="15"/>
      <c r="Q11" s="190"/>
      <c r="R11" s="43"/>
      <c r="S11" s="43"/>
      <c r="U11" s="190"/>
      <c r="W11" s="190"/>
    </row>
    <row r="12" spans="1:25" x14ac:dyDescent="0.2">
      <c r="A12" s="185" t="s">
        <v>441</v>
      </c>
      <c r="B12" s="193">
        <v>4</v>
      </c>
      <c r="C12"/>
      <c r="D12"/>
      <c r="E12" s="185" t="s">
        <v>459</v>
      </c>
      <c r="F12">
        <v>50</v>
      </c>
      <c r="G12">
        <v>150</v>
      </c>
      <c r="H12" s="43"/>
      <c r="I12" s="43"/>
      <c r="J12" s="43"/>
      <c r="K12" s="43"/>
      <c r="L12" s="43"/>
      <c r="M12" s="190"/>
      <c r="N12" s="43"/>
      <c r="O12" s="43"/>
      <c r="P12" s="15"/>
      <c r="Q12" s="190"/>
      <c r="R12" s="43"/>
      <c r="S12" s="43"/>
      <c r="U12" s="190"/>
      <c r="W12" s="190"/>
      <c r="Y12" s="43"/>
    </row>
    <row r="13" spans="1:25" x14ac:dyDescent="0.2">
      <c r="A13" s="185" t="s">
        <v>454</v>
      </c>
      <c r="B13" s="193">
        <v>1</v>
      </c>
      <c r="C13"/>
      <c r="D13"/>
      <c r="E13" s="185" t="s">
        <v>471</v>
      </c>
      <c r="F13">
        <v>0</v>
      </c>
      <c r="G13">
        <v>10</v>
      </c>
      <c r="H13" s="43"/>
      <c r="I13" s="43"/>
      <c r="J13" s="43"/>
      <c r="K13" s="43"/>
      <c r="L13" s="43"/>
      <c r="M13" s="190"/>
      <c r="N13" s="43"/>
      <c r="O13" s="43"/>
      <c r="P13" s="15"/>
      <c r="Q13" s="190"/>
      <c r="R13" s="43"/>
      <c r="S13" s="43"/>
      <c r="U13" s="190"/>
      <c r="W13" s="190"/>
      <c r="Y13" s="43"/>
    </row>
    <row r="14" spans="1:25" x14ac:dyDescent="0.2">
      <c r="A14" s="43"/>
      <c r="C14"/>
      <c r="D14"/>
      <c r="E14" s="185" t="s">
        <v>458</v>
      </c>
      <c r="F14">
        <v>1</v>
      </c>
      <c r="G14">
        <v>11</v>
      </c>
      <c r="H14" s="43"/>
      <c r="I14" s="43"/>
      <c r="J14" s="43"/>
      <c r="K14" s="43"/>
      <c r="L14" s="43"/>
      <c r="M14" s="190"/>
      <c r="N14" s="43"/>
      <c r="O14" s="43"/>
      <c r="P14" s="15"/>
      <c r="Q14" s="190"/>
      <c r="R14" s="43"/>
      <c r="S14" s="43"/>
      <c r="U14" s="190"/>
      <c r="W14" s="190"/>
      <c r="Y14" s="43"/>
    </row>
    <row r="15" spans="1:25" x14ac:dyDescent="0.2">
      <c r="A15" s="43"/>
      <c r="D15"/>
      <c r="E15" s="185" t="s">
        <v>457</v>
      </c>
      <c r="F15">
        <v>2</v>
      </c>
      <c r="G15">
        <v>12</v>
      </c>
      <c r="I15" s="43"/>
      <c r="J15" s="43"/>
      <c r="K15" s="43"/>
      <c r="L15" s="43"/>
      <c r="M15" s="43"/>
      <c r="N15" s="43"/>
      <c r="O15" s="43"/>
      <c r="P15" s="15"/>
      <c r="S15" s="43"/>
      <c r="Y15" s="43"/>
    </row>
    <row r="16" spans="1:25" s="43" customFormat="1" x14ac:dyDescent="0.2">
      <c r="E16" s="185" t="s">
        <v>472</v>
      </c>
      <c r="F16">
        <v>100</v>
      </c>
      <c r="G16">
        <v>500</v>
      </c>
      <c r="H16"/>
      <c r="P16" s="15"/>
      <c r="Q16"/>
      <c r="R16"/>
    </row>
    <row r="17" spans="1:16" s="43" customFormat="1" x14ac:dyDescent="0.2">
      <c r="E17" s="185" t="s">
        <v>473</v>
      </c>
      <c r="F17">
        <v>200</v>
      </c>
      <c r="G17">
        <v>600</v>
      </c>
      <c r="P17" s="15"/>
    </row>
    <row r="18" spans="1:16" s="43" customFormat="1" x14ac:dyDescent="0.2">
      <c r="E18" s="185" t="s">
        <v>474</v>
      </c>
      <c r="F18">
        <v>300</v>
      </c>
      <c r="G18">
        <v>700</v>
      </c>
      <c r="P18" s="15"/>
    </row>
    <row r="19" spans="1:16" s="43" customFormat="1" x14ac:dyDescent="0.2">
      <c r="E19" s="185" t="s">
        <v>468</v>
      </c>
      <c r="F19">
        <v>400</v>
      </c>
      <c r="G19">
        <v>800</v>
      </c>
      <c r="P19" s="15"/>
    </row>
    <row r="20" spans="1:16" s="43" customFormat="1" x14ac:dyDescent="0.2">
      <c r="A20" s="14"/>
      <c r="E20" s="185" t="s">
        <v>451</v>
      </c>
      <c r="F20">
        <v>500</v>
      </c>
      <c r="G20">
        <v>900</v>
      </c>
      <c r="P20" s="15"/>
    </row>
    <row r="21" spans="1:16" s="43" customFormat="1" x14ac:dyDescent="0.2">
      <c r="A21" s="14"/>
      <c r="E21" s="185" t="s">
        <v>452</v>
      </c>
      <c r="F21">
        <v>600</v>
      </c>
      <c r="G21">
        <v>1000</v>
      </c>
      <c r="I21" s="43" t="s">
        <v>475</v>
      </c>
      <c r="P21" s="15"/>
    </row>
    <row r="22" spans="1:16" s="43" customFormat="1" x14ac:dyDescent="0.2">
      <c r="A22" s="14"/>
      <c r="E22" s="14"/>
      <c r="F22"/>
      <c r="G22"/>
    </row>
    <row r="23" spans="1:16" s="43" customFormat="1" x14ac:dyDescent="0.2">
      <c r="A23" s="14"/>
      <c r="E23" s="14"/>
      <c r="F23"/>
      <c r="G23"/>
    </row>
    <row r="24" spans="1:16" s="43" customFormat="1" x14ac:dyDescent="0.2">
      <c r="A24" s="14"/>
      <c r="E24" s="14"/>
      <c r="F24"/>
      <c r="G24"/>
    </row>
    <row r="25" spans="1:16" s="43" customFormat="1" x14ac:dyDescent="0.2">
      <c r="A25" s="14"/>
      <c r="E25" s="15"/>
      <c r="F25"/>
      <c r="G25"/>
    </row>
    <row r="26" spans="1:16" s="43" customFormat="1" x14ac:dyDescent="0.2">
      <c r="A26" s="14"/>
      <c r="E26" s="15"/>
      <c r="F26"/>
      <c r="G26"/>
    </row>
    <row r="27" spans="1:16" s="43" customFormat="1" x14ac:dyDescent="0.2">
      <c r="A27" s="14"/>
      <c r="F27"/>
      <c r="G27"/>
    </row>
    <row r="28" spans="1:16" s="43" customFormat="1" x14ac:dyDescent="0.2">
      <c r="A28" s="14"/>
      <c r="F28"/>
      <c r="G28"/>
    </row>
    <row r="29" spans="1:16" s="43" customFormat="1" x14ac:dyDescent="0.2">
      <c r="A29" s="14"/>
      <c r="F29"/>
      <c r="G29"/>
    </row>
    <row r="30" spans="1:16" s="43" customFormat="1" x14ac:dyDescent="0.2">
      <c r="A30" s="14"/>
      <c r="F30"/>
      <c r="G30"/>
    </row>
    <row r="31" spans="1:16" s="43" customFormat="1" x14ac:dyDescent="0.2">
      <c r="A31" s="14"/>
      <c r="F31"/>
      <c r="G31"/>
    </row>
    <row r="32" spans="1:16" s="43" customFormat="1" x14ac:dyDescent="0.2">
      <c r="A32" s="14"/>
      <c r="F32"/>
      <c r="G32"/>
    </row>
    <row r="33" spans="1:7" s="43" customFormat="1" x14ac:dyDescent="0.2">
      <c r="A33" s="14"/>
      <c r="F33"/>
      <c r="G33"/>
    </row>
    <row r="34" spans="1:7" s="43" customFormat="1" x14ac:dyDescent="0.2">
      <c r="A34" s="14"/>
      <c r="F34"/>
      <c r="G34"/>
    </row>
    <row r="35" spans="1:7" s="43" customFormat="1" x14ac:dyDescent="0.2">
      <c r="A35" s="14"/>
      <c r="F35"/>
      <c r="G35"/>
    </row>
    <row r="36" spans="1:7" s="43" customFormat="1" x14ac:dyDescent="0.2">
      <c r="A36" s="14"/>
      <c r="F36"/>
      <c r="G36"/>
    </row>
    <row r="37" spans="1:7" s="43" customFormat="1" x14ac:dyDescent="0.2">
      <c r="A37" s="14"/>
      <c r="F37"/>
      <c r="G37"/>
    </row>
    <row r="38" spans="1:7" s="43" customFormat="1" x14ac:dyDescent="0.2">
      <c r="A38" s="14"/>
      <c r="F38"/>
      <c r="G38"/>
    </row>
    <row r="39" spans="1:7" s="43" customFormat="1" x14ac:dyDescent="0.2">
      <c r="A39" s="14"/>
    </row>
    <row r="40" spans="1:7" s="43" customFormat="1" x14ac:dyDescent="0.2">
      <c r="A40" s="14"/>
    </row>
    <row r="41" spans="1:7" s="43" customFormat="1" x14ac:dyDescent="0.2">
      <c r="A41" s="14"/>
    </row>
    <row r="42" spans="1:7" s="43" customFormat="1" x14ac:dyDescent="0.2">
      <c r="A42" s="14"/>
    </row>
    <row r="43" spans="1:7" s="43" customFormat="1" x14ac:dyDescent="0.2">
      <c r="A43" s="14"/>
      <c r="B43" s="44"/>
    </row>
    <row r="44" spans="1:7" s="43" customFormat="1" x14ac:dyDescent="0.2">
      <c r="A44" s="14"/>
      <c r="B44" s="44"/>
    </row>
    <row r="45" spans="1:7" s="43" customFormat="1" x14ac:dyDescent="0.2">
      <c r="A45" s="14"/>
      <c r="B45" s="44"/>
    </row>
    <row r="46" spans="1:7" s="43" customFormat="1" x14ac:dyDescent="0.2">
      <c r="A46" s="14"/>
      <c r="B46" s="44"/>
    </row>
    <row r="47" spans="1:7" s="43" customFormat="1" x14ac:dyDescent="0.2">
      <c r="A47" s="14"/>
      <c r="B47" s="44"/>
    </row>
    <row r="48" spans="1:7" s="43" customFormat="1" x14ac:dyDescent="0.2">
      <c r="A48" s="14"/>
      <c r="B48" s="44"/>
    </row>
    <row r="49" spans="1:5" s="43" customFormat="1" x14ac:dyDescent="0.2">
      <c r="A49" s="14"/>
      <c r="B49" s="44"/>
      <c r="E49" s="15"/>
    </row>
    <row r="50" spans="1:5" s="43" customFormat="1" x14ac:dyDescent="0.2">
      <c r="A50" s="14"/>
      <c r="B50" s="44"/>
      <c r="E50" s="15"/>
    </row>
    <row r="51" spans="1:5" s="43" customFormat="1" x14ac:dyDescent="0.2">
      <c r="A51" s="14"/>
      <c r="B51" s="44"/>
      <c r="E51" s="15"/>
    </row>
    <row r="52" spans="1:5" s="43" customFormat="1" x14ac:dyDescent="0.2">
      <c r="A52" s="14"/>
      <c r="B52" s="44"/>
      <c r="E52" s="15"/>
    </row>
    <row r="53" spans="1:5" s="43" customFormat="1" x14ac:dyDescent="0.2">
      <c r="A53" s="14"/>
      <c r="B53" s="44"/>
      <c r="E53" s="15"/>
    </row>
    <row r="54" spans="1:5" s="43" customFormat="1" x14ac:dyDescent="0.2">
      <c r="A54" s="14"/>
      <c r="B54" s="44"/>
      <c r="E54" s="15"/>
    </row>
    <row r="55" spans="1:5" s="43" customFormat="1" x14ac:dyDescent="0.2">
      <c r="A55" s="14"/>
      <c r="B55" s="44"/>
      <c r="E55" s="15"/>
    </row>
    <row r="56" spans="1:5" s="43" customFormat="1" x14ac:dyDescent="0.2">
      <c r="A56" s="14"/>
      <c r="B56" s="44"/>
      <c r="E56" s="15"/>
    </row>
    <row r="57" spans="1:5" s="43" customFormat="1" x14ac:dyDescent="0.2">
      <c r="A57" s="14"/>
      <c r="B57" s="44"/>
      <c r="E57" s="15"/>
    </row>
    <row r="58" spans="1:5" s="43" customFormat="1" x14ac:dyDescent="0.2">
      <c r="A58" s="14"/>
      <c r="B58" s="44"/>
      <c r="E58" s="15"/>
    </row>
    <row r="59" spans="1:5" s="43" customFormat="1" x14ac:dyDescent="0.2">
      <c r="A59" s="14"/>
      <c r="B59" s="44"/>
      <c r="E59" s="15"/>
    </row>
    <row r="60" spans="1:5" s="43" customFormat="1" x14ac:dyDescent="0.2">
      <c r="A60" s="14"/>
      <c r="B60" s="44"/>
      <c r="E60" s="15"/>
    </row>
    <row r="61" spans="1:5" s="43" customFormat="1" x14ac:dyDescent="0.2">
      <c r="A61" s="14"/>
      <c r="B61" s="44"/>
      <c r="E61" s="15"/>
    </row>
    <row r="62" spans="1:5" s="43" customFormat="1" x14ac:dyDescent="0.2">
      <c r="A62" s="14"/>
      <c r="B62" s="44"/>
      <c r="E62" s="15"/>
    </row>
    <row r="63" spans="1:5" s="43" customFormat="1" x14ac:dyDescent="0.2">
      <c r="A63" s="14"/>
      <c r="B63" s="44"/>
      <c r="E63" s="15"/>
    </row>
    <row r="64" spans="1:5" s="43" customFormat="1" x14ac:dyDescent="0.2">
      <c r="A64" s="14"/>
      <c r="B64" s="44"/>
      <c r="E64" s="15"/>
    </row>
    <row r="65" spans="1:5" s="43" customFormat="1" x14ac:dyDescent="0.2">
      <c r="A65" s="14"/>
      <c r="B65" s="44"/>
      <c r="E65" s="15"/>
    </row>
    <row r="66" spans="1:5" s="43" customFormat="1" x14ac:dyDescent="0.2">
      <c r="A66" s="14"/>
      <c r="B66" s="44"/>
      <c r="E66" s="15"/>
    </row>
    <row r="67" spans="1:5" s="43" customFormat="1" x14ac:dyDescent="0.2">
      <c r="A67" s="14"/>
      <c r="B67" s="44"/>
      <c r="E67" s="15"/>
    </row>
    <row r="68" spans="1:5" s="43" customFormat="1" x14ac:dyDescent="0.2">
      <c r="A68" s="14"/>
      <c r="B68" s="44"/>
      <c r="E68" s="15"/>
    </row>
    <row r="69" spans="1:5" s="43" customFormat="1" x14ac:dyDescent="0.2">
      <c r="A69" s="14"/>
      <c r="B69" s="44"/>
      <c r="E69" s="15"/>
    </row>
    <row r="70" spans="1:5" s="43" customFormat="1" x14ac:dyDescent="0.2">
      <c r="A70" s="14"/>
      <c r="B70" s="44"/>
      <c r="E70" s="15"/>
    </row>
    <row r="71" spans="1:5" s="43" customFormat="1" x14ac:dyDescent="0.2">
      <c r="A71" s="14"/>
      <c r="B71" s="44"/>
      <c r="E71" s="15"/>
    </row>
    <row r="72" spans="1:5" s="43" customFormat="1" x14ac:dyDescent="0.2">
      <c r="A72" s="14"/>
      <c r="B72" s="44"/>
      <c r="E72" s="15"/>
    </row>
    <row r="73" spans="1:5" s="43" customFormat="1" x14ac:dyDescent="0.2">
      <c r="A73" s="14"/>
      <c r="B73" s="44"/>
      <c r="E73" s="15"/>
    </row>
    <row r="74" spans="1:5" s="43" customFormat="1" x14ac:dyDescent="0.2">
      <c r="A74" s="14"/>
      <c r="B74" s="44"/>
      <c r="E74" s="15"/>
    </row>
    <row r="75" spans="1:5" s="43" customFormat="1" x14ac:dyDescent="0.2">
      <c r="A75" s="14"/>
      <c r="B75" s="44"/>
      <c r="E75" s="15"/>
    </row>
    <row r="76" spans="1:5" s="43" customFormat="1" x14ac:dyDescent="0.2">
      <c r="A76" s="14"/>
      <c r="B76" s="44"/>
      <c r="E76" s="15"/>
    </row>
    <row r="77" spans="1:5" s="43" customFormat="1" x14ac:dyDescent="0.2">
      <c r="A77" s="14"/>
      <c r="B77" s="44"/>
      <c r="E77" s="15"/>
    </row>
    <row r="78" spans="1:5" s="43" customFormat="1" x14ac:dyDescent="0.2">
      <c r="A78" s="14"/>
      <c r="B78" s="44"/>
      <c r="E78" s="15"/>
    </row>
    <row r="79" spans="1:5" s="43" customFormat="1" x14ac:dyDescent="0.2">
      <c r="A79" s="14"/>
      <c r="B79" s="44"/>
      <c r="E79" s="15"/>
    </row>
    <row r="80" spans="1:5" s="43" customFormat="1" x14ac:dyDescent="0.2">
      <c r="A80" s="14"/>
      <c r="B80" s="44"/>
      <c r="E80" s="15"/>
    </row>
    <row r="81" spans="1:19" s="43" customFormat="1" x14ac:dyDescent="0.2">
      <c r="A81" s="14"/>
      <c r="B81" s="44"/>
      <c r="E81" s="15"/>
    </row>
    <row r="82" spans="1:19" s="43" customFormat="1" x14ac:dyDescent="0.2">
      <c r="A82" s="14"/>
      <c r="B82" s="44"/>
      <c r="E82" s="15"/>
    </row>
    <row r="83" spans="1:19" s="43" customFormat="1" x14ac:dyDescent="0.2">
      <c r="A83" s="14"/>
      <c r="B83" s="44"/>
      <c r="E83" s="15"/>
    </row>
    <row r="84" spans="1:19" s="43" customFormat="1" x14ac:dyDescent="0.2">
      <c r="A84" s="14"/>
      <c r="B84" s="44"/>
      <c r="E84" s="15"/>
    </row>
    <row r="85" spans="1:19" s="43" customFormat="1" x14ac:dyDescent="0.2">
      <c r="A85" s="14"/>
      <c r="B85" s="44"/>
      <c r="E85" s="15"/>
    </row>
    <row r="86" spans="1:19" s="43" customFormat="1" x14ac:dyDescent="0.2">
      <c r="A86" s="14"/>
      <c r="B86" s="44"/>
      <c r="E86" s="15"/>
    </row>
    <row r="87" spans="1:19" s="43" customFormat="1" x14ac:dyDescent="0.2">
      <c r="A87" s="14"/>
      <c r="B87" s="44"/>
      <c r="E87" s="15"/>
    </row>
    <row r="88" spans="1:19" s="43" customFormat="1" x14ac:dyDescent="0.2">
      <c r="A88" s="14"/>
      <c r="B88" s="44"/>
      <c r="E88" s="15"/>
    </row>
    <row r="89" spans="1:19" s="43" customFormat="1" x14ac:dyDescent="0.2">
      <c r="A89" s="14"/>
      <c r="B89" s="44"/>
      <c r="E89" s="15"/>
    </row>
    <row r="90" spans="1:19" s="43" customFormat="1" x14ac:dyDescent="0.2">
      <c r="A90" s="14"/>
      <c r="B90" s="44"/>
      <c r="E90" s="15"/>
    </row>
    <row r="91" spans="1:19" s="43" customFormat="1" x14ac:dyDescent="0.2">
      <c r="A91" s="14"/>
      <c r="B91" s="44"/>
      <c r="E91" s="15"/>
    </row>
    <row r="92" spans="1:19" s="43" customFormat="1" x14ac:dyDescent="0.2">
      <c r="A92" s="14"/>
      <c r="B92" s="44"/>
      <c r="E92" s="15"/>
    </row>
    <row r="93" spans="1:19" s="43" customFormat="1" x14ac:dyDescent="0.2">
      <c r="A93" s="14"/>
      <c r="B93" s="44"/>
      <c r="E93" s="15"/>
      <c r="O93"/>
    </row>
    <row r="94" spans="1:19" s="43" customFormat="1" x14ac:dyDescent="0.2">
      <c r="A94" s="14"/>
      <c r="B94" s="44"/>
      <c r="E94" s="15"/>
      <c r="O94"/>
    </row>
    <row r="95" spans="1:19" s="43" customFormat="1" x14ac:dyDescent="0.2">
      <c r="A95" s="14"/>
      <c r="B95" s="44"/>
      <c r="E95" s="15"/>
      <c r="O95"/>
    </row>
    <row r="96" spans="1:19" s="43" customFormat="1" x14ac:dyDescent="0.2">
      <c r="A96" s="14"/>
      <c r="B96" s="44"/>
      <c r="E96" s="15"/>
      <c r="O96"/>
      <c r="S96"/>
    </row>
    <row r="97" spans="1:25" s="43" customFormat="1" x14ac:dyDescent="0.2">
      <c r="A97" s="14"/>
      <c r="B97" s="44"/>
      <c r="E97" s="15"/>
      <c r="O97"/>
      <c r="S97"/>
    </row>
    <row r="98" spans="1:25" s="43" customFormat="1" x14ac:dyDescent="0.2">
      <c r="A98" s="14"/>
      <c r="B98" s="44"/>
      <c r="E98" s="15"/>
      <c r="O98"/>
      <c r="S98"/>
    </row>
    <row r="99" spans="1:25" s="43" customFormat="1" x14ac:dyDescent="0.2">
      <c r="A99" s="14"/>
      <c r="B99" s="44"/>
      <c r="E99" s="15"/>
      <c r="M99"/>
      <c r="O99"/>
      <c r="S99"/>
      <c r="Y99"/>
    </row>
    <row r="100" spans="1:25" s="43" customFormat="1" x14ac:dyDescent="0.2">
      <c r="A100" s="14"/>
      <c r="B100" s="44"/>
      <c r="E100" s="15"/>
      <c r="M100"/>
      <c r="O100"/>
      <c r="S100"/>
      <c r="Y100"/>
    </row>
    <row r="101" spans="1:25" s="43" customFormat="1" x14ac:dyDescent="0.2">
      <c r="A101" s="14"/>
      <c r="B101" s="44"/>
      <c r="E101" s="15"/>
      <c r="H101"/>
      <c r="I101"/>
      <c r="M101"/>
      <c r="O101"/>
      <c r="S101"/>
      <c r="Y101"/>
    </row>
    <row r="102" spans="1:25" s="43" customFormat="1" x14ac:dyDescent="0.2">
      <c r="A102" s="14"/>
      <c r="B102" s="44"/>
      <c r="E102" s="15"/>
      <c r="H102"/>
      <c r="I102"/>
      <c r="M102"/>
      <c r="N102"/>
      <c r="O102"/>
      <c r="S102"/>
      <c r="Y102"/>
    </row>
    <row r="103" spans="1:25" x14ac:dyDescent="0.2">
      <c r="F103" s="43"/>
      <c r="G103" s="43"/>
      <c r="J103" s="43"/>
      <c r="K103" s="43"/>
      <c r="L103" s="43"/>
      <c r="Q103" s="43"/>
      <c r="R103" s="43"/>
    </row>
    <row r="104" spans="1:25" x14ac:dyDescent="0.2">
      <c r="F104" s="43"/>
      <c r="G104" s="43"/>
      <c r="J104" s="43"/>
      <c r="K104" s="43"/>
      <c r="L104" s="43"/>
    </row>
    <row r="105" spans="1:25" x14ac:dyDescent="0.2">
      <c r="F105" s="43"/>
    </row>
    <row r="189" spans="15:19" x14ac:dyDescent="0.2">
      <c r="O189" s="9"/>
    </row>
    <row r="192" spans="15:19" x14ac:dyDescent="0.2">
      <c r="S192" s="9"/>
    </row>
    <row r="195" spans="1:25" x14ac:dyDescent="0.2">
      <c r="M195" s="9"/>
      <c r="Y195" s="9"/>
    </row>
    <row r="197" spans="1:25" x14ac:dyDescent="0.2">
      <c r="H197" s="9"/>
      <c r="I197" s="9"/>
    </row>
    <row r="198" spans="1:25" x14ac:dyDescent="0.2">
      <c r="N198" s="9"/>
    </row>
    <row r="199" spans="1:25" s="9" customFormat="1" x14ac:dyDescent="0.2">
      <c r="A199" s="14"/>
      <c r="B199"/>
      <c r="C199" s="43"/>
      <c r="D199" s="43"/>
      <c r="E199" s="15"/>
      <c r="F199"/>
      <c r="G199"/>
      <c r="H199"/>
      <c r="I199"/>
      <c r="J199"/>
      <c r="K199"/>
      <c r="L199"/>
      <c r="M199"/>
      <c r="N199"/>
      <c r="O199"/>
      <c r="Q199"/>
      <c r="R199"/>
      <c r="S199"/>
      <c r="Y199"/>
    </row>
    <row r="200" spans="1:25" x14ac:dyDescent="0.2">
      <c r="Q200" s="9"/>
      <c r="R200" s="9"/>
    </row>
    <row r="201" spans="1:25" x14ac:dyDescent="0.2">
      <c r="G201" s="9"/>
      <c r="J201" s="9"/>
      <c r="K201" s="9"/>
      <c r="L201" s="9"/>
    </row>
    <row r="202" spans="1:25" x14ac:dyDescent="0.2">
      <c r="F202" s="9"/>
    </row>
  </sheetData>
  <mergeCells count="1">
    <mergeCell ref="C1:L1"/>
  </mergeCells>
  <pageMargins left="0.7" right="0.7" top="0.75" bottom="0.75" header="0.3" footer="0.3"/>
  <pageSetup orientation="portrait"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76"/>
  <sheetViews>
    <sheetView showGridLines="0" workbookViewId="0">
      <pane xSplit="5" ySplit="1" topLeftCell="F2" activePane="bottomRight" state="frozen"/>
      <selection pane="topRight" activeCell="F1" sqref="F1"/>
      <selection pane="bottomLeft" activeCell="A2" sqref="A2"/>
      <selection pane="bottomRight" activeCell="B5" sqref="B5"/>
    </sheetView>
  </sheetViews>
  <sheetFormatPr defaultColWidth="9" defaultRowHeight="12" x14ac:dyDescent="0.2"/>
  <cols>
    <col min="1" max="2" width="16.33203125" customWidth="1"/>
    <col min="3" max="3" width="50.6640625" bestFit="1" customWidth="1"/>
    <col min="4" max="4" width="91.6640625" customWidth="1"/>
    <col min="5" max="5" width="12.5" style="46" bestFit="1" customWidth="1"/>
    <col min="6" max="6" width="44.1640625" customWidth="1"/>
  </cols>
  <sheetData>
    <row r="1" spans="1:15" ht="63.95" customHeight="1" x14ac:dyDescent="0.2">
      <c r="A1" t="s">
        <v>2</v>
      </c>
      <c r="F1" t="s">
        <v>2</v>
      </c>
    </row>
    <row r="2" spans="1:15" ht="30.95" customHeight="1" x14ac:dyDescent="0.2">
      <c r="A2" s="8" t="s">
        <v>1</v>
      </c>
    </row>
    <row r="3" spans="1:15" ht="30.95" customHeight="1" x14ac:dyDescent="0.2">
      <c r="A3" s="8" t="s">
        <v>5</v>
      </c>
      <c r="C3" s="8" t="s">
        <v>336</v>
      </c>
      <c r="D3" s="22"/>
      <c r="E3" s="47"/>
      <c r="F3" s="20"/>
      <c r="G3" s="13"/>
      <c r="O3" t="s">
        <v>2</v>
      </c>
    </row>
    <row r="4" spans="1:15" ht="30.95" customHeight="1" x14ac:dyDescent="0.2">
      <c r="A4" s="21"/>
      <c r="C4" s="58">
        <v>44026.634062500001</v>
      </c>
      <c r="D4" s="59"/>
      <c r="E4" s="60"/>
      <c r="F4" s="20"/>
      <c r="G4" s="13"/>
    </row>
    <row r="5" spans="1:15" ht="30.95" customHeight="1" x14ac:dyDescent="0.2">
      <c r="A5" s="21"/>
      <c r="C5" s="61"/>
      <c r="D5" s="62"/>
      <c r="E5" s="63"/>
      <c r="F5" s="20"/>
      <c r="G5" s="13"/>
    </row>
    <row r="6" spans="1:15" ht="30.95" customHeight="1" x14ac:dyDescent="0.2">
      <c r="C6" s="45"/>
      <c r="E6" s="48"/>
    </row>
    <row r="7" spans="1:15" ht="30.95" customHeight="1" x14ac:dyDescent="0.2">
      <c r="C7" s="23"/>
    </row>
    <row r="8" spans="1:15" ht="30.95" customHeight="1" x14ac:dyDescent="0.2">
      <c r="A8" s="8" t="s">
        <v>12</v>
      </c>
      <c r="D8" s="33"/>
      <c r="E8" s="49"/>
      <c r="F8" s="34"/>
    </row>
    <row r="9" spans="1:15" s="5" customFormat="1" x14ac:dyDescent="0.2">
      <c r="A9" s="5" t="s">
        <v>8</v>
      </c>
      <c r="B9" s="5" t="s">
        <v>16</v>
      </c>
      <c r="C9" s="40"/>
      <c r="D9" s="35"/>
      <c r="E9" s="50"/>
      <c r="F9" s="36"/>
      <c r="I9" s="5" t="s">
        <v>2</v>
      </c>
    </row>
    <row r="10" spans="1:15" s="5" customFormat="1" x14ac:dyDescent="0.2">
      <c r="A10" s="5" t="s">
        <v>9</v>
      </c>
      <c r="B10" s="5" t="s">
        <v>17</v>
      </c>
      <c r="C10" s="27"/>
      <c r="D10" s="37"/>
      <c r="E10" s="51"/>
      <c r="F10" s="36"/>
    </row>
    <row r="11" spans="1:15" x14ac:dyDescent="0.2">
      <c r="A11" s="5" t="s">
        <v>11</v>
      </c>
      <c r="B11" t="s">
        <v>18</v>
      </c>
      <c r="C11" s="27"/>
      <c r="D11" s="37"/>
      <c r="E11" s="51"/>
      <c r="F11" s="36"/>
    </row>
    <row r="12" spans="1:15" x14ac:dyDescent="0.2">
      <c r="C12" s="27"/>
      <c r="D12" s="35"/>
      <c r="E12" s="50"/>
      <c r="F12" s="36"/>
    </row>
    <row r="13" spans="1:15" x14ac:dyDescent="0.2">
      <c r="C13" s="27"/>
      <c r="D13" s="35"/>
      <c r="E13" s="50"/>
      <c r="F13" s="35"/>
    </row>
    <row r="14" spans="1:15" x14ac:dyDescent="0.2">
      <c r="C14" s="29"/>
      <c r="D14" s="38"/>
      <c r="E14" s="52"/>
      <c r="F14" s="38"/>
    </row>
    <row r="15" spans="1:15" x14ac:dyDescent="0.2">
      <c r="C15" s="29"/>
      <c r="D15" s="39"/>
      <c r="E15" s="53"/>
      <c r="F15" s="39"/>
    </row>
    <row r="16" spans="1:15" x14ac:dyDescent="0.2">
      <c r="C16" s="29"/>
      <c r="D16" s="194"/>
      <c r="E16" s="54"/>
      <c r="F16" s="31"/>
    </row>
    <row r="17" spans="1:6" x14ac:dyDescent="0.2">
      <c r="C17" s="29"/>
      <c r="D17" s="194"/>
      <c r="E17" s="54"/>
      <c r="F17" s="31"/>
    </row>
    <row r="18" spans="1:6" x14ac:dyDescent="0.2">
      <c r="C18" s="29"/>
      <c r="D18" s="194"/>
      <c r="E18" s="54"/>
      <c r="F18" s="31"/>
    </row>
    <row r="19" spans="1:6" x14ac:dyDescent="0.2">
      <c r="C19" s="29"/>
      <c r="D19" s="194"/>
      <c r="E19" s="54"/>
      <c r="F19" s="31"/>
    </row>
    <row r="20" spans="1:6" x14ac:dyDescent="0.2">
      <c r="C20" s="29"/>
      <c r="D20" s="194"/>
      <c r="E20" s="54"/>
      <c r="F20" s="31"/>
    </row>
    <row r="21" spans="1:6" x14ac:dyDescent="0.2">
      <c r="A21" s="20"/>
      <c r="B21" s="20"/>
      <c r="C21" s="29"/>
      <c r="D21" s="194"/>
      <c r="E21" s="54"/>
      <c r="F21" s="31"/>
    </row>
    <row r="22" spans="1:6" x14ac:dyDescent="0.2">
      <c r="A22" s="20"/>
      <c r="B22" s="20"/>
      <c r="C22" s="29"/>
      <c r="D22" s="194"/>
      <c r="E22" s="54"/>
      <c r="F22" s="31"/>
    </row>
    <row r="23" spans="1:6" x14ac:dyDescent="0.2">
      <c r="A23" s="20"/>
      <c r="B23" s="20"/>
      <c r="C23" s="29"/>
      <c r="D23" s="194"/>
      <c r="E23" s="54"/>
      <c r="F23" s="31"/>
    </row>
    <row r="24" spans="1:6" x14ac:dyDescent="0.2">
      <c r="A24" s="20"/>
      <c r="B24" s="20"/>
      <c r="C24" s="29"/>
      <c r="D24" s="194"/>
      <c r="E24" s="54"/>
      <c r="F24" s="31"/>
    </row>
    <row r="25" spans="1:6" x14ac:dyDescent="0.2">
      <c r="A25" s="20"/>
      <c r="B25" s="20"/>
      <c r="C25" s="29"/>
      <c r="D25" s="194"/>
      <c r="E25" s="54"/>
      <c r="F25" s="31"/>
    </row>
    <row r="26" spans="1:6" x14ac:dyDescent="0.2">
      <c r="A26" s="20"/>
      <c r="B26" s="20"/>
      <c r="C26" s="29"/>
      <c r="D26" s="194"/>
      <c r="E26" s="54"/>
      <c r="F26" s="31"/>
    </row>
    <row r="27" spans="1:6" x14ac:dyDescent="0.2">
      <c r="A27" s="20"/>
      <c r="B27" s="20"/>
      <c r="C27" s="29"/>
      <c r="D27" s="194"/>
      <c r="E27" s="54"/>
      <c r="F27" s="31"/>
    </row>
    <row r="28" spans="1:6" x14ac:dyDescent="0.2">
      <c r="A28" s="20"/>
      <c r="B28" s="20"/>
      <c r="C28" s="29"/>
      <c r="D28" s="194"/>
      <c r="E28" s="54"/>
      <c r="F28" s="31"/>
    </row>
    <row r="29" spans="1:6" x14ac:dyDescent="0.2">
      <c r="A29" s="20"/>
      <c r="B29" s="20"/>
      <c r="C29" s="29"/>
      <c r="D29" s="32"/>
      <c r="E29" s="55"/>
      <c r="F29" s="31"/>
    </row>
    <row r="30" spans="1:6" x14ac:dyDescent="0.2">
      <c r="A30" s="25"/>
      <c r="B30" s="20"/>
      <c r="C30" s="29"/>
      <c r="D30" s="32"/>
      <c r="E30" s="55"/>
      <c r="F30" s="31"/>
    </row>
    <row r="31" spans="1:6" x14ac:dyDescent="0.2">
      <c r="A31" s="20"/>
      <c r="B31" s="20"/>
      <c r="C31" s="29"/>
      <c r="D31" s="194"/>
      <c r="E31" s="54"/>
      <c r="F31" s="31"/>
    </row>
    <row r="32" spans="1:6" ht="15.75" x14ac:dyDescent="0.25">
      <c r="A32" s="26"/>
      <c r="B32" s="20"/>
      <c r="C32" s="29"/>
      <c r="D32" s="194"/>
      <c r="E32" s="54"/>
      <c r="F32" s="31"/>
    </row>
    <row r="33" spans="1:6" ht="223.5" customHeight="1" x14ac:dyDescent="0.2">
      <c r="A33" s="20"/>
      <c r="B33" s="20"/>
      <c r="C33" s="29"/>
      <c r="D33" s="29"/>
      <c r="E33" s="56"/>
      <c r="F33" s="30"/>
    </row>
    <row r="34" spans="1:6" ht="15.75" x14ac:dyDescent="0.25">
      <c r="A34" s="26"/>
      <c r="B34" s="20"/>
      <c r="F34" s="20"/>
    </row>
    <row r="35" spans="1:6" x14ac:dyDescent="0.2">
      <c r="A35" s="20"/>
      <c r="B35" s="20"/>
      <c r="C35" s="20"/>
      <c r="D35" s="20"/>
      <c r="E35" s="57"/>
      <c r="F35" s="20"/>
    </row>
    <row r="36" spans="1:6" x14ac:dyDescent="0.2">
      <c r="A36" s="20"/>
      <c r="B36" s="20"/>
      <c r="C36" s="20"/>
      <c r="D36" s="20"/>
      <c r="E36" s="57"/>
      <c r="F36" s="20"/>
    </row>
    <row r="37" spans="1:6" x14ac:dyDescent="0.2">
      <c r="A37" s="20"/>
      <c r="B37" s="20"/>
      <c r="C37" s="20"/>
      <c r="D37" s="20"/>
      <c r="E37" s="57"/>
      <c r="F37" s="20"/>
    </row>
    <row r="38" spans="1:6" x14ac:dyDescent="0.2">
      <c r="A38" s="20"/>
      <c r="B38" s="20"/>
      <c r="C38" s="20"/>
      <c r="D38" s="20"/>
      <c r="E38" s="57"/>
      <c r="F38" s="20"/>
    </row>
    <row r="39" spans="1:6" x14ac:dyDescent="0.2">
      <c r="A39" s="20"/>
      <c r="B39" s="20"/>
      <c r="C39" s="20"/>
      <c r="D39" s="20"/>
      <c r="E39" s="57"/>
      <c r="F39" s="20"/>
    </row>
    <row r="40" spans="1:6" x14ac:dyDescent="0.2">
      <c r="A40" s="20"/>
      <c r="B40" s="20"/>
      <c r="C40" s="20"/>
      <c r="D40" s="20"/>
      <c r="E40" s="57"/>
      <c r="F40" s="20"/>
    </row>
    <row r="41" spans="1:6" x14ac:dyDescent="0.2">
      <c r="A41" s="20"/>
      <c r="B41" s="20"/>
      <c r="C41" s="20"/>
      <c r="D41" s="20"/>
      <c r="E41" s="57"/>
      <c r="F41" s="20"/>
    </row>
    <row r="42" spans="1:6" x14ac:dyDescent="0.2">
      <c r="A42" s="20"/>
      <c r="B42" s="20"/>
      <c r="C42" s="20"/>
      <c r="D42" s="20"/>
      <c r="E42" s="57"/>
      <c r="F42" s="20"/>
    </row>
    <row r="43" spans="1:6" x14ac:dyDescent="0.2">
      <c r="A43" s="20"/>
      <c r="B43" s="20"/>
      <c r="C43" s="20"/>
      <c r="D43" s="20"/>
      <c r="E43" s="57"/>
      <c r="F43" s="20"/>
    </row>
    <row r="44" spans="1:6" x14ac:dyDescent="0.2">
      <c r="A44" s="20"/>
      <c r="B44" s="20"/>
      <c r="C44" s="20"/>
      <c r="D44" s="20"/>
      <c r="E44" s="57"/>
      <c r="F44" s="20"/>
    </row>
    <row r="45" spans="1:6" x14ac:dyDescent="0.2">
      <c r="A45" s="20"/>
      <c r="B45" s="20"/>
      <c r="C45" s="20"/>
      <c r="D45" s="20"/>
      <c r="E45" s="57"/>
      <c r="F45" s="20"/>
    </row>
    <row r="46" spans="1:6" x14ac:dyDescent="0.2">
      <c r="A46" s="20"/>
      <c r="B46" s="20"/>
      <c r="C46" s="20"/>
      <c r="D46" s="20"/>
      <c r="E46" s="57"/>
      <c r="F46" s="20"/>
    </row>
    <row r="47" spans="1:6" x14ac:dyDescent="0.2">
      <c r="A47" s="20"/>
      <c r="B47" s="20"/>
      <c r="C47" s="20"/>
      <c r="D47" s="20"/>
      <c r="E47" s="57"/>
      <c r="F47" s="20"/>
    </row>
    <row r="48" spans="1:6" x14ac:dyDescent="0.2">
      <c r="A48" s="20"/>
      <c r="B48" s="20"/>
      <c r="C48" s="20"/>
      <c r="D48" s="20"/>
      <c r="E48" s="57"/>
      <c r="F48" s="20"/>
    </row>
    <row r="49" spans="1:6" x14ac:dyDescent="0.2">
      <c r="A49" s="20"/>
      <c r="B49" s="20"/>
      <c r="C49" s="20"/>
      <c r="D49" s="20"/>
      <c r="E49" s="57"/>
      <c r="F49" s="20"/>
    </row>
    <row r="50" spans="1:6" x14ac:dyDescent="0.2">
      <c r="A50" s="20"/>
      <c r="B50" s="20"/>
      <c r="C50" s="20"/>
      <c r="D50" s="20"/>
      <c r="E50" s="57"/>
      <c r="F50" s="20"/>
    </row>
    <row r="51" spans="1:6" x14ac:dyDescent="0.2">
      <c r="A51" s="20"/>
      <c r="B51" s="20"/>
      <c r="C51" s="20"/>
      <c r="D51" s="20"/>
      <c r="E51" s="57"/>
      <c r="F51" s="20"/>
    </row>
    <row r="52" spans="1:6" x14ac:dyDescent="0.2">
      <c r="A52" s="20"/>
      <c r="B52" s="20"/>
      <c r="C52" s="20"/>
      <c r="D52" s="20"/>
      <c r="E52" s="57"/>
      <c r="F52" s="20"/>
    </row>
    <row r="53" spans="1:6" x14ac:dyDescent="0.2">
      <c r="A53" s="20"/>
      <c r="B53" s="20"/>
      <c r="C53" s="20"/>
      <c r="D53" s="20"/>
      <c r="E53" s="57"/>
      <c r="F53" s="20"/>
    </row>
    <row r="54" spans="1:6" x14ac:dyDescent="0.2">
      <c r="A54" s="20"/>
      <c r="B54" s="20"/>
      <c r="C54" s="20"/>
      <c r="D54" s="20"/>
      <c r="E54" s="57"/>
      <c r="F54" s="20"/>
    </row>
    <row r="55" spans="1:6" x14ac:dyDescent="0.2">
      <c r="A55" s="20"/>
      <c r="B55" s="20"/>
      <c r="C55" s="20"/>
      <c r="D55" s="20"/>
      <c r="E55" s="57"/>
      <c r="F55" s="20"/>
    </row>
    <row r="56" spans="1:6" x14ac:dyDescent="0.2">
      <c r="A56" s="20"/>
      <c r="B56" s="20"/>
      <c r="C56" s="20"/>
      <c r="D56" s="20"/>
      <c r="E56" s="57"/>
      <c r="F56" s="20"/>
    </row>
    <row r="57" spans="1:6" x14ac:dyDescent="0.2">
      <c r="A57" s="20"/>
      <c r="B57" s="20"/>
      <c r="C57" s="20"/>
      <c r="D57" s="20"/>
      <c r="E57" s="57"/>
      <c r="F57" s="20"/>
    </row>
    <row r="58" spans="1:6" x14ac:dyDescent="0.2">
      <c r="A58" s="20"/>
      <c r="B58" s="20"/>
      <c r="C58" s="20"/>
      <c r="D58" s="20"/>
      <c r="E58" s="57"/>
      <c r="F58" s="20"/>
    </row>
    <row r="59" spans="1:6" x14ac:dyDescent="0.2">
      <c r="A59" s="20"/>
      <c r="B59" s="20"/>
      <c r="C59" s="20"/>
      <c r="D59" s="20"/>
      <c r="E59" s="57"/>
      <c r="F59" s="20"/>
    </row>
    <row r="60" spans="1:6" x14ac:dyDescent="0.2">
      <c r="A60" s="20"/>
      <c r="B60" s="20"/>
      <c r="C60" s="20"/>
      <c r="D60" s="20"/>
      <c r="E60" s="57"/>
      <c r="F60" s="20"/>
    </row>
    <row r="61" spans="1:6" x14ac:dyDescent="0.2">
      <c r="A61" s="20"/>
      <c r="B61" s="20"/>
      <c r="C61" s="20"/>
      <c r="D61" s="20"/>
      <c r="E61" s="57"/>
      <c r="F61" s="20"/>
    </row>
    <row r="62" spans="1:6" x14ac:dyDescent="0.2">
      <c r="A62" s="20"/>
      <c r="B62" s="20"/>
      <c r="C62" s="20"/>
      <c r="D62" s="20"/>
      <c r="E62" s="57"/>
      <c r="F62" s="20"/>
    </row>
    <row r="63" spans="1:6" x14ac:dyDescent="0.2">
      <c r="A63" s="20"/>
      <c r="B63" s="20"/>
      <c r="C63" s="20"/>
      <c r="D63" s="20"/>
      <c r="E63" s="57"/>
      <c r="F63" s="20"/>
    </row>
    <row r="64" spans="1:6" x14ac:dyDescent="0.2">
      <c r="A64" s="20"/>
      <c r="B64" s="20"/>
      <c r="C64" s="20"/>
      <c r="D64" s="20"/>
      <c r="E64" s="57"/>
      <c r="F64" s="20"/>
    </row>
    <row r="65" spans="1:6" x14ac:dyDescent="0.2">
      <c r="A65" s="20"/>
      <c r="B65" s="20"/>
      <c r="C65" s="20"/>
      <c r="D65" s="20"/>
      <c r="E65" s="57"/>
      <c r="F65" s="20"/>
    </row>
    <row r="66" spans="1:6" x14ac:dyDescent="0.2">
      <c r="A66" s="20"/>
      <c r="B66" s="20"/>
      <c r="C66" s="20"/>
      <c r="D66" s="20"/>
      <c r="E66" s="57"/>
      <c r="F66" s="20"/>
    </row>
    <row r="67" spans="1:6" x14ac:dyDescent="0.2">
      <c r="A67" s="20"/>
      <c r="B67" s="20"/>
      <c r="C67" s="20"/>
      <c r="D67" s="20"/>
      <c r="E67" s="57"/>
      <c r="F67" s="20"/>
    </row>
    <row r="68" spans="1:6" x14ac:dyDescent="0.2">
      <c r="A68" s="20"/>
      <c r="B68" s="20"/>
      <c r="C68" s="20"/>
      <c r="D68" s="20"/>
      <c r="E68" s="57"/>
      <c r="F68" s="20"/>
    </row>
    <row r="69" spans="1:6" x14ac:dyDescent="0.2">
      <c r="A69" s="20"/>
      <c r="B69" s="20"/>
      <c r="C69" s="20"/>
      <c r="D69" s="20"/>
      <c r="E69" s="57"/>
      <c r="F69" s="20"/>
    </row>
    <row r="70" spans="1:6" x14ac:dyDescent="0.2">
      <c r="A70" s="20"/>
      <c r="B70" s="20"/>
      <c r="C70" s="20"/>
      <c r="D70" s="20"/>
      <c r="E70" s="57"/>
      <c r="F70" s="20"/>
    </row>
    <row r="71" spans="1:6" x14ac:dyDescent="0.2">
      <c r="A71" s="20"/>
      <c r="B71" s="20"/>
      <c r="C71" s="20"/>
      <c r="D71" s="20"/>
      <c r="E71" s="57"/>
      <c r="F71" s="20"/>
    </row>
    <row r="72" spans="1:6" x14ac:dyDescent="0.2">
      <c r="A72" s="20"/>
      <c r="B72" s="20"/>
      <c r="C72" s="20"/>
      <c r="D72" s="20"/>
      <c r="E72" s="57"/>
      <c r="F72" s="20"/>
    </row>
    <row r="73" spans="1:6" x14ac:dyDescent="0.2">
      <c r="A73" s="20"/>
      <c r="B73" s="20"/>
      <c r="C73" s="20"/>
      <c r="D73" s="20"/>
      <c r="E73" s="57"/>
      <c r="F73" s="20"/>
    </row>
    <row r="74" spans="1:6" x14ac:dyDescent="0.2">
      <c r="A74" s="20"/>
      <c r="B74" s="20"/>
      <c r="C74" s="20"/>
      <c r="D74" s="20"/>
      <c r="E74" s="57"/>
      <c r="F74" s="20"/>
    </row>
    <row r="75" spans="1:6" x14ac:dyDescent="0.2">
      <c r="A75" s="20"/>
      <c r="B75" s="20"/>
      <c r="C75" s="20"/>
      <c r="D75" s="20"/>
      <c r="E75" s="57"/>
      <c r="F75" s="20"/>
    </row>
    <row r="76" spans="1:6" x14ac:dyDescent="0.2">
      <c r="A76" s="20"/>
      <c r="B76" s="20"/>
      <c r="C76" s="20"/>
      <c r="D76" s="20"/>
      <c r="E76" s="57"/>
      <c r="F76" s="20"/>
    </row>
  </sheetData>
  <mergeCells count="4">
    <mergeCell ref="D25:D28"/>
    <mergeCell ref="D31:D32"/>
    <mergeCell ref="D16:D19"/>
    <mergeCell ref="D20:D24"/>
  </mergeCells>
  <conditionalFormatting sqref="E4:E5">
    <cfRule type="cellIs" dxfId="1"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16" workbookViewId="0">
      <selection activeCell="L18" sqref="L18"/>
    </sheetView>
  </sheetViews>
  <sheetFormatPr defaultColWidth="11.5" defaultRowHeight="15" x14ac:dyDescent="0.2"/>
  <cols>
    <col min="1" max="3" width="11.5" style="144"/>
    <col min="4" max="4" width="15.5" style="144" customWidth="1"/>
    <col min="5" max="8" width="11.5" style="144"/>
    <col min="9" max="9" width="13.6640625" style="144" customWidth="1"/>
    <col min="10" max="16384" width="11.5" style="144"/>
  </cols>
  <sheetData>
    <row r="3" spans="1:13" ht="23.25" x14ac:dyDescent="0.2">
      <c r="G3" s="145"/>
      <c r="H3" s="146" t="s">
        <v>111</v>
      </c>
      <c r="I3" s="146"/>
      <c r="J3" s="146"/>
      <c r="K3" s="145"/>
      <c r="L3" s="145"/>
      <c r="M3" s="145"/>
    </row>
    <row r="4" spans="1:13" x14ac:dyDescent="0.2">
      <c r="J4" s="147"/>
    </row>
    <row r="5" spans="1:13" x14ac:dyDescent="0.2">
      <c r="J5" s="147"/>
    </row>
    <row r="6" spans="1:13" ht="19.5" x14ac:dyDescent="0.2">
      <c r="G6" s="148" t="s">
        <v>112</v>
      </c>
      <c r="H6" s="148"/>
      <c r="I6" s="148"/>
      <c r="J6" s="149">
        <v>1234</v>
      </c>
      <c r="L6" s="182" t="s">
        <v>347</v>
      </c>
    </row>
    <row r="7" spans="1:13" ht="19.5" x14ac:dyDescent="0.2">
      <c r="G7" s="148" t="s">
        <v>113</v>
      </c>
      <c r="H7" s="148"/>
      <c r="I7" s="148"/>
      <c r="J7" s="149"/>
    </row>
    <row r="8" spans="1:13" ht="19.5" x14ac:dyDescent="0.2">
      <c r="A8" s="150" t="s">
        <v>114</v>
      </c>
      <c r="B8" s="150"/>
      <c r="C8" s="150"/>
      <c r="G8" s="148" t="s">
        <v>115</v>
      </c>
      <c r="H8" s="148"/>
      <c r="I8" s="148"/>
      <c r="J8" s="149"/>
      <c r="K8" s="150"/>
      <c r="L8" s="182" t="s">
        <v>343</v>
      </c>
    </row>
    <row r="9" spans="1:13" ht="19.5" x14ac:dyDescent="0.2">
      <c r="A9" s="150" t="s">
        <v>116</v>
      </c>
      <c r="B9" s="150"/>
      <c r="C9" s="150"/>
      <c r="J9" s="151"/>
    </row>
    <row r="10" spans="1:13" ht="19.5" x14ac:dyDescent="0.2">
      <c r="A10" s="150" t="s">
        <v>117</v>
      </c>
      <c r="B10" s="150"/>
      <c r="C10" s="150"/>
      <c r="G10" s="67" t="s">
        <v>23</v>
      </c>
      <c r="H10" s="67"/>
      <c r="I10" s="67"/>
      <c r="J10" s="67"/>
      <c r="L10" s="182" t="s">
        <v>344</v>
      </c>
    </row>
    <row r="11" spans="1:13" ht="19.5" x14ac:dyDescent="0.2">
      <c r="A11" s="150" t="s">
        <v>118</v>
      </c>
      <c r="B11" s="150"/>
      <c r="C11" s="150"/>
      <c r="G11" s="67" t="s">
        <v>25</v>
      </c>
      <c r="H11" s="67"/>
      <c r="I11" s="67"/>
      <c r="J11" s="67"/>
      <c r="K11" s="150"/>
      <c r="L11" s="182" t="s">
        <v>345</v>
      </c>
    </row>
    <row r="12" spans="1:13" ht="19.5" x14ac:dyDescent="0.2">
      <c r="A12" s="150" t="s">
        <v>119</v>
      </c>
      <c r="B12" s="150"/>
      <c r="C12" s="150"/>
      <c r="G12" s="67" t="s">
        <v>26</v>
      </c>
      <c r="H12" s="67"/>
      <c r="I12" s="67"/>
      <c r="J12" s="67"/>
      <c r="K12" s="150"/>
      <c r="L12" s="182" t="s">
        <v>346</v>
      </c>
    </row>
    <row r="13" spans="1:13" ht="19.5" x14ac:dyDescent="0.2">
      <c r="A13" s="150" t="s">
        <v>120</v>
      </c>
      <c r="B13" s="150"/>
      <c r="C13" s="150"/>
      <c r="G13" s="150"/>
      <c r="H13" s="150"/>
      <c r="I13" s="150"/>
      <c r="J13" s="149"/>
      <c r="K13" s="152"/>
    </row>
    <row r="14" spans="1:13" x14ac:dyDescent="0.2">
      <c r="A14" s="153"/>
      <c r="B14" s="153"/>
      <c r="C14" s="153"/>
      <c r="J14" s="147"/>
    </row>
    <row r="15" spans="1:13" x14ac:dyDescent="0.2">
      <c r="J15" s="147"/>
    </row>
    <row r="16" spans="1:13" ht="19.5" x14ac:dyDescent="0.2">
      <c r="A16" s="154"/>
      <c r="B16" s="154"/>
      <c r="C16" s="154"/>
      <c r="D16" s="154"/>
      <c r="G16" s="150" t="s">
        <v>10</v>
      </c>
      <c r="H16" s="150"/>
      <c r="I16" s="150"/>
      <c r="J16" s="155">
        <f ca="1">TODAY()</f>
        <v>44090</v>
      </c>
      <c r="K16" s="150"/>
    </row>
    <row r="17" spans="1:12" ht="19.5" x14ac:dyDescent="0.2">
      <c r="A17" s="154"/>
      <c r="B17" s="156"/>
      <c r="C17" s="154"/>
      <c r="D17" s="154"/>
      <c r="G17" s="150" t="s">
        <v>121</v>
      </c>
      <c r="H17" s="150"/>
      <c r="I17" s="150"/>
      <c r="J17" s="157"/>
      <c r="K17" s="150"/>
      <c r="L17" s="181" t="s">
        <v>348</v>
      </c>
    </row>
    <row r="18" spans="1:12" x14ac:dyDescent="0.2">
      <c r="A18" s="154"/>
      <c r="B18" s="158"/>
      <c r="C18" s="154"/>
      <c r="D18" s="154"/>
      <c r="J18" s="147"/>
    </row>
    <row r="22" spans="1:12" x14ac:dyDescent="0.2">
      <c r="A22" s="154"/>
      <c r="B22" s="154"/>
      <c r="C22" s="154"/>
      <c r="D22" s="154"/>
    </row>
  </sheetData>
  <printOptions gridLines="1"/>
  <pageMargins left="0.75" right="0.75" top="1" bottom="1" header="0.5" footer="0.5"/>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M587"/>
  <sheetViews>
    <sheetView showGridLines="0" topLeftCell="AJ1" zoomScale="80" zoomScaleNormal="80" workbookViewId="0">
      <selection activeCell="I28" sqref="I28"/>
    </sheetView>
  </sheetViews>
  <sheetFormatPr defaultColWidth="9.33203125" defaultRowHeight="12" x14ac:dyDescent="0.2"/>
  <cols>
    <col min="1" max="1" width="15.83203125" style="172" bestFit="1" customWidth="1"/>
    <col min="2" max="2" width="15.6640625" style="180" bestFit="1" customWidth="1"/>
    <col min="3" max="3" width="16.1640625" style="162" bestFit="1" customWidth="1"/>
    <col min="4" max="4" width="15.6640625" style="162" bestFit="1" customWidth="1"/>
    <col min="5" max="5" width="22.83203125" style="162" bestFit="1" customWidth="1"/>
    <col min="6" max="6" width="16.83203125" style="162" bestFit="1" customWidth="1"/>
    <col min="7" max="7" width="22" style="162" bestFit="1" customWidth="1"/>
    <col min="8" max="8" width="28.5" style="162" bestFit="1" customWidth="1"/>
    <col min="9" max="9" width="21.1640625" style="162" bestFit="1" customWidth="1"/>
    <col min="10" max="10" width="13.6640625" style="163" bestFit="1" customWidth="1"/>
    <col min="11" max="11" width="28.33203125" style="162" bestFit="1" customWidth="1"/>
    <col min="12" max="12" width="29.1640625" style="162" bestFit="1" customWidth="1"/>
    <col min="13" max="13" width="24" style="162" bestFit="1" customWidth="1"/>
    <col min="14" max="14" width="27.83203125" style="162" bestFit="1" customWidth="1"/>
    <col min="15" max="15" width="25.6640625" style="163" bestFit="1" customWidth="1"/>
    <col min="16" max="16" width="23.5" style="162" bestFit="1" customWidth="1"/>
    <col min="17" max="17" width="16.1640625" style="162" bestFit="1" customWidth="1"/>
    <col min="18" max="18" width="20.33203125" style="162" bestFit="1" customWidth="1"/>
    <col min="19" max="19" width="18.33203125" style="162" bestFit="1" customWidth="1"/>
    <col min="20" max="20" width="25.83203125" style="162" bestFit="1" customWidth="1"/>
    <col min="21" max="21" width="27.5" style="162" bestFit="1" customWidth="1"/>
    <col min="22" max="22" width="19.1640625" style="162" bestFit="1" customWidth="1"/>
    <col min="23" max="23" width="29.1640625" style="162" bestFit="1" customWidth="1"/>
    <col min="24" max="24" width="24.1640625" style="162" bestFit="1" customWidth="1"/>
    <col min="25" max="25" width="28.5" style="162" bestFit="1" customWidth="1"/>
    <col min="26" max="26" width="17.5" style="162" bestFit="1" customWidth="1"/>
    <col min="27" max="27" width="27.5" style="162" bestFit="1" customWidth="1"/>
    <col min="28" max="28" width="22.5" style="162" bestFit="1" customWidth="1"/>
    <col min="29" max="29" width="14.5" style="162" bestFit="1" customWidth="1"/>
    <col min="30" max="30" width="19.5" style="162" bestFit="1" customWidth="1"/>
    <col min="31" max="31" width="26" style="162" bestFit="1" customWidth="1"/>
    <col min="32" max="32" width="26.5" style="162" bestFit="1" customWidth="1"/>
    <col min="33" max="33" width="26" style="162" bestFit="1" customWidth="1"/>
    <col min="34" max="34" width="29.5" style="162" bestFit="1" customWidth="1"/>
    <col min="35" max="35" width="34.5" style="162" bestFit="1" customWidth="1"/>
    <col min="36" max="36" width="26.1640625" style="162" bestFit="1" customWidth="1"/>
    <col min="37" max="37" width="20.33203125" style="162" bestFit="1" customWidth="1"/>
    <col min="38" max="38" width="13.5" style="162" bestFit="1" customWidth="1"/>
    <col min="39" max="39" width="25" style="162" bestFit="1" customWidth="1"/>
    <col min="40" max="40" width="25.6640625" style="162" bestFit="1" customWidth="1"/>
    <col min="41" max="41" width="25.6640625" style="162" customWidth="1"/>
    <col min="42" max="42" width="12" style="162" bestFit="1" customWidth="1"/>
    <col min="43" max="43" width="22" style="162" bestFit="1" customWidth="1"/>
    <col min="44" max="44" width="15" style="162" bestFit="1" customWidth="1"/>
    <col min="45" max="45" width="10.6640625" style="162" bestFit="1" customWidth="1"/>
    <col min="46" max="46" width="19.6640625" style="162" bestFit="1" customWidth="1"/>
    <col min="47" max="47" width="17.83203125" style="162" bestFit="1" customWidth="1"/>
    <col min="48" max="48" width="25.33203125" style="162" bestFit="1" customWidth="1"/>
    <col min="49" max="49" width="10.1640625" style="162" bestFit="1" customWidth="1"/>
    <col min="50" max="50" width="10.6640625" style="162" bestFit="1" customWidth="1"/>
    <col min="51" max="52" width="12.33203125" style="162" bestFit="1" customWidth="1"/>
    <col min="53" max="53" width="27" style="162" bestFit="1" customWidth="1"/>
    <col min="54" max="54" width="22.83203125" style="162" bestFit="1" customWidth="1"/>
    <col min="55" max="55" width="23.33203125" style="162" bestFit="1" customWidth="1"/>
    <col min="56" max="56" width="31.1640625" style="162" bestFit="1" customWidth="1"/>
    <col min="57" max="57" width="27" style="162" bestFit="1" customWidth="1"/>
    <col min="58" max="58" width="28.6640625" style="162" bestFit="1" customWidth="1"/>
    <col min="59" max="59" width="31.1640625" style="162" bestFit="1" customWidth="1"/>
    <col min="60" max="60" width="19.5" style="162" bestFit="1" customWidth="1"/>
    <col min="61" max="61" width="19" style="162" bestFit="1" customWidth="1"/>
    <col min="62" max="62" width="20.5" style="162" bestFit="1" customWidth="1"/>
    <col min="63" max="63" width="19" style="162" bestFit="1" customWidth="1"/>
    <col min="64" max="64" width="17.5" style="162" bestFit="1" customWidth="1"/>
    <col min="65" max="65" width="11" style="162" bestFit="1" customWidth="1"/>
    <col min="66" max="16384" width="9.33203125" style="162"/>
  </cols>
  <sheetData>
    <row r="1" spans="1:65" s="159" customFormat="1" ht="63.95" customHeight="1" x14ac:dyDescent="0.2">
      <c r="A1" s="169"/>
      <c r="B1" s="177"/>
      <c r="J1" s="160"/>
      <c r="O1" s="160"/>
    </row>
    <row r="2" spans="1:65" s="159" customFormat="1" ht="32.1" customHeight="1" x14ac:dyDescent="0.2">
      <c r="A2" s="170" t="s">
        <v>27</v>
      </c>
      <c r="B2" s="177"/>
      <c r="F2" s="159" t="s">
        <v>28</v>
      </c>
      <c r="H2" s="159" t="s">
        <v>29</v>
      </c>
      <c r="O2" s="159" t="s">
        <v>30</v>
      </c>
      <c r="Q2" s="160" t="s">
        <v>31</v>
      </c>
      <c r="U2" s="159" t="s">
        <v>32</v>
      </c>
      <c r="AD2" s="159" t="s">
        <v>33</v>
      </c>
      <c r="BH2" s="159" t="s">
        <v>34</v>
      </c>
    </row>
    <row r="3" spans="1:65" s="161" customFormat="1" x14ac:dyDescent="0.2">
      <c r="A3" s="171" t="s">
        <v>318</v>
      </c>
      <c r="B3" s="178" t="s">
        <v>403</v>
      </c>
      <c r="C3" s="168" t="s">
        <v>388</v>
      </c>
      <c r="D3" s="168" t="s">
        <v>4</v>
      </c>
      <c r="E3" s="168" t="s">
        <v>404</v>
      </c>
      <c r="F3" s="168" t="s">
        <v>28</v>
      </c>
      <c r="G3" s="168" t="s">
        <v>402</v>
      </c>
      <c r="H3" s="168" t="s">
        <v>399</v>
      </c>
      <c r="I3" s="168" t="s">
        <v>405</v>
      </c>
      <c r="J3" s="168" t="s">
        <v>46</v>
      </c>
      <c r="K3" s="168" t="s">
        <v>445</v>
      </c>
      <c r="L3" s="168" t="s">
        <v>446</v>
      </c>
      <c r="M3" s="168" t="s">
        <v>447</v>
      </c>
      <c r="N3" s="168" t="s">
        <v>448</v>
      </c>
      <c r="O3" s="168" t="s">
        <v>408</v>
      </c>
      <c r="P3" s="168" t="s">
        <v>409</v>
      </c>
      <c r="Q3" s="168" t="s">
        <v>416</v>
      </c>
      <c r="R3" s="168" t="s">
        <v>412</v>
      </c>
      <c r="S3" s="168" t="s">
        <v>31</v>
      </c>
      <c r="T3" s="168" t="s">
        <v>417</v>
      </c>
      <c r="U3" s="168" t="s">
        <v>415</v>
      </c>
      <c r="V3" s="168" t="s">
        <v>464</v>
      </c>
      <c r="W3" s="168" t="s">
        <v>463</v>
      </c>
      <c r="X3" s="168" t="s">
        <v>462</v>
      </c>
      <c r="Y3" s="168" t="s">
        <v>461</v>
      </c>
      <c r="Z3" s="168" t="s">
        <v>460</v>
      </c>
      <c r="AA3" s="168" t="s">
        <v>465</v>
      </c>
      <c r="AB3" s="168" t="s">
        <v>459</v>
      </c>
      <c r="AC3" s="168" t="s">
        <v>58</v>
      </c>
      <c r="AD3" s="168" t="s">
        <v>466</v>
      </c>
      <c r="AE3" s="168" t="s">
        <v>458</v>
      </c>
      <c r="AF3" s="168" t="s">
        <v>457</v>
      </c>
      <c r="AG3" s="168" t="s">
        <v>467</v>
      </c>
      <c r="AH3" s="168" t="s">
        <v>456</v>
      </c>
      <c r="AI3" s="168" t="s">
        <v>449</v>
      </c>
      <c r="AJ3" s="168" t="s">
        <v>455</v>
      </c>
      <c r="AK3" s="168" t="s">
        <v>450</v>
      </c>
      <c r="AL3" s="168" t="s">
        <v>468</v>
      </c>
      <c r="AM3" s="168" t="s">
        <v>451</v>
      </c>
      <c r="AN3" s="168" t="s">
        <v>452</v>
      </c>
      <c r="AO3" s="168" t="s">
        <v>470</v>
      </c>
      <c r="AP3" s="168" t="s">
        <v>426</v>
      </c>
      <c r="AQ3" s="168" t="s">
        <v>453</v>
      </c>
      <c r="AR3" s="168" t="s">
        <v>59</v>
      </c>
      <c r="AS3" s="168" t="s">
        <v>60</v>
      </c>
      <c r="AT3" s="168" t="s">
        <v>61</v>
      </c>
      <c r="AU3" s="168" t="s">
        <v>62</v>
      </c>
      <c r="AV3" s="168" t="s">
        <v>63</v>
      </c>
      <c r="AW3" s="168" t="s">
        <v>64</v>
      </c>
      <c r="AX3" s="168" t="s">
        <v>65</v>
      </c>
      <c r="AY3" s="168" t="s">
        <v>66</v>
      </c>
      <c r="AZ3" s="168" t="s">
        <v>67</v>
      </c>
      <c r="BA3" s="168" t="s">
        <v>71</v>
      </c>
      <c r="BB3" s="168" t="s">
        <v>72</v>
      </c>
      <c r="BC3" s="168" t="s">
        <v>73</v>
      </c>
      <c r="BD3" s="168" t="s">
        <v>74</v>
      </c>
      <c r="BE3" s="168" t="s">
        <v>75</v>
      </c>
      <c r="BF3" s="168" t="s">
        <v>76</v>
      </c>
      <c r="BG3" s="168" t="s">
        <v>77</v>
      </c>
      <c r="BH3" s="168" t="s">
        <v>78</v>
      </c>
      <c r="BI3" s="168" t="s">
        <v>79</v>
      </c>
      <c r="BJ3" s="168" t="s">
        <v>80</v>
      </c>
      <c r="BK3" s="168" t="s">
        <v>81</v>
      </c>
      <c r="BL3" s="168" t="s">
        <v>82</v>
      </c>
      <c r="BM3" s="168" t="s">
        <v>87</v>
      </c>
    </row>
    <row r="4" spans="1:65" s="176" customFormat="1" x14ac:dyDescent="0.2">
      <c r="A4" s="173">
        <v>1</v>
      </c>
      <c r="B4" s="179" t="s">
        <v>479</v>
      </c>
      <c r="C4" s="174" t="s">
        <v>390</v>
      </c>
      <c r="D4" s="174" t="s">
        <v>480</v>
      </c>
      <c r="E4" s="174" t="s">
        <v>478</v>
      </c>
      <c r="F4" s="188" t="s">
        <v>94</v>
      </c>
      <c r="G4" s="174" t="s">
        <v>393</v>
      </c>
      <c r="H4" s="174" t="s">
        <v>420</v>
      </c>
      <c r="I4" s="174" t="s">
        <v>96</v>
      </c>
      <c r="J4" s="186" t="s">
        <v>315</v>
      </c>
      <c r="K4" s="174">
        <v>700</v>
      </c>
      <c r="L4" s="174"/>
      <c r="M4" s="174">
        <v>1600</v>
      </c>
      <c r="N4" s="174">
        <v>34</v>
      </c>
      <c r="O4" s="174" t="s">
        <v>400</v>
      </c>
      <c r="P4" s="192">
        <v>2</v>
      </c>
      <c r="Q4" s="175" t="s">
        <v>410</v>
      </c>
      <c r="R4" s="192">
        <v>3</v>
      </c>
      <c r="S4" s="174" t="s">
        <v>104</v>
      </c>
      <c r="T4" s="174">
        <v>4</v>
      </c>
      <c r="U4" s="174">
        <v>0</v>
      </c>
      <c r="V4" s="174" t="s">
        <v>107</v>
      </c>
      <c r="W4" s="174">
        <v>30</v>
      </c>
      <c r="X4" s="174">
        <v>50</v>
      </c>
      <c r="Y4" s="174">
        <v>24</v>
      </c>
      <c r="Z4" s="187" t="s">
        <v>421</v>
      </c>
      <c r="AA4" s="187">
        <v>36</v>
      </c>
      <c r="AB4" s="192">
        <v>55</v>
      </c>
      <c r="AC4" s="174">
        <v>0</v>
      </c>
      <c r="AD4" s="174" t="s">
        <v>421</v>
      </c>
      <c r="AE4" s="174">
        <v>8</v>
      </c>
      <c r="AF4" s="174">
        <v>9</v>
      </c>
      <c r="AG4" s="174" t="s">
        <v>423</v>
      </c>
      <c r="AH4" s="174">
        <v>200</v>
      </c>
      <c r="AI4" s="174">
        <v>300</v>
      </c>
      <c r="AJ4" s="174">
        <v>340</v>
      </c>
      <c r="AK4" s="174" t="s">
        <v>425</v>
      </c>
      <c r="AL4" s="174">
        <v>400</v>
      </c>
      <c r="AM4" s="174">
        <v>500</v>
      </c>
      <c r="AN4" s="174">
        <v>600</v>
      </c>
      <c r="AO4" s="186" t="s">
        <v>476</v>
      </c>
      <c r="AP4" s="186"/>
      <c r="AQ4" s="174"/>
      <c r="AR4" s="187"/>
      <c r="AS4" s="174"/>
      <c r="AT4" s="174"/>
      <c r="AU4" s="174"/>
      <c r="AV4" s="174"/>
      <c r="AW4" s="174"/>
      <c r="AX4" s="174"/>
      <c r="AY4" s="174"/>
      <c r="AZ4" s="174"/>
      <c r="BA4" s="174"/>
      <c r="BB4" s="174"/>
      <c r="BC4" s="174"/>
      <c r="BD4" s="174"/>
      <c r="BE4" s="174"/>
      <c r="BF4" s="174"/>
      <c r="BG4" s="174"/>
      <c r="BH4" s="174"/>
      <c r="BI4" s="174"/>
      <c r="BJ4" s="174"/>
      <c r="BK4" s="174"/>
      <c r="BL4" s="174"/>
      <c r="BM4" s="174"/>
    </row>
    <row r="5" spans="1:65" s="176" customFormat="1" x14ac:dyDescent="0.2">
      <c r="A5" s="173">
        <v>2</v>
      </c>
      <c r="B5" s="179" t="s">
        <v>479</v>
      </c>
      <c r="C5" s="174" t="s">
        <v>390</v>
      </c>
      <c r="D5" s="174" t="s">
        <v>481</v>
      </c>
      <c r="E5" s="174" t="s">
        <v>478</v>
      </c>
      <c r="F5" s="188" t="s">
        <v>94</v>
      </c>
      <c r="G5" s="174" t="s">
        <v>393</v>
      </c>
      <c r="H5" s="174" t="s">
        <v>420</v>
      </c>
      <c r="I5" s="174" t="s">
        <v>96</v>
      </c>
      <c r="J5" s="186" t="s">
        <v>315</v>
      </c>
      <c r="K5" s="174">
        <v>400</v>
      </c>
      <c r="L5" s="174">
        <v>600</v>
      </c>
      <c r="M5" s="174">
        <v>1600</v>
      </c>
      <c r="N5" s="174">
        <v>34</v>
      </c>
      <c r="O5" s="174" t="s">
        <v>400</v>
      </c>
      <c r="P5" s="192">
        <v>2</v>
      </c>
      <c r="Q5" s="175" t="s">
        <v>410</v>
      </c>
      <c r="R5" s="192">
        <v>3</v>
      </c>
      <c r="S5" s="174" t="s">
        <v>104</v>
      </c>
      <c r="T5" s="174">
        <v>4</v>
      </c>
      <c r="U5" s="174">
        <v>0</v>
      </c>
      <c r="V5" s="174" t="s">
        <v>107</v>
      </c>
      <c r="W5" s="174">
        <v>30</v>
      </c>
      <c r="X5" s="174">
        <v>50</v>
      </c>
      <c r="Y5" s="174">
        <v>24</v>
      </c>
      <c r="Z5" s="187" t="s">
        <v>421</v>
      </c>
      <c r="AA5" s="187">
        <v>36</v>
      </c>
      <c r="AB5" s="192">
        <v>55</v>
      </c>
      <c r="AC5" s="174">
        <v>0</v>
      </c>
      <c r="AD5" s="174" t="s">
        <v>421</v>
      </c>
      <c r="AE5" s="174">
        <v>8</v>
      </c>
      <c r="AF5" s="174">
        <v>9</v>
      </c>
      <c r="AG5" s="174" t="s">
        <v>423</v>
      </c>
      <c r="AH5" s="174">
        <v>200</v>
      </c>
      <c r="AI5" s="174">
        <v>300</v>
      </c>
      <c r="AJ5" s="174">
        <v>340</v>
      </c>
      <c r="AK5" s="174" t="s">
        <v>425</v>
      </c>
      <c r="AL5" s="174">
        <v>400</v>
      </c>
      <c r="AM5" s="174">
        <v>500</v>
      </c>
      <c r="AN5" s="174">
        <v>600</v>
      </c>
      <c r="AO5" s="186" t="s">
        <v>477</v>
      </c>
      <c r="AP5" s="186"/>
      <c r="AQ5" s="174"/>
      <c r="AR5" s="187"/>
      <c r="AS5" s="174"/>
      <c r="AT5" s="174"/>
      <c r="AU5" s="174"/>
      <c r="AV5" s="174"/>
      <c r="AW5" s="174"/>
      <c r="AX5" s="174"/>
      <c r="AY5" s="174"/>
      <c r="AZ5" s="174"/>
      <c r="BA5" s="174"/>
      <c r="BB5" s="174"/>
      <c r="BC5" s="174"/>
      <c r="BD5" s="174"/>
      <c r="BE5" s="174"/>
      <c r="BF5" s="174"/>
      <c r="BG5" s="174"/>
      <c r="BH5" s="174"/>
      <c r="BI5" s="174"/>
      <c r="BJ5" s="174"/>
      <c r="BK5" s="174"/>
      <c r="BL5" s="174"/>
      <c r="BM5" s="174"/>
    </row>
    <row r="6" spans="1:65" s="176" customFormat="1" x14ac:dyDescent="0.2">
      <c r="A6" s="173">
        <v>3</v>
      </c>
      <c r="B6" s="179" t="s">
        <v>479</v>
      </c>
      <c r="C6" s="174" t="s">
        <v>391</v>
      </c>
      <c r="D6" s="174" t="s">
        <v>486</v>
      </c>
      <c r="E6" s="174" t="s">
        <v>478</v>
      </c>
      <c r="F6" s="188" t="s">
        <v>94</v>
      </c>
      <c r="G6" s="174" t="s">
        <v>393</v>
      </c>
      <c r="H6" s="174" t="s">
        <v>420</v>
      </c>
      <c r="I6" s="174" t="s">
        <v>96</v>
      </c>
      <c r="J6" s="186" t="s">
        <v>315</v>
      </c>
      <c r="K6" s="174">
        <v>400</v>
      </c>
      <c r="L6" s="174">
        <v>600</v>
      </c>
      <c r="M6" s="174">
        <v>1600</v>
      </c>
      <c r="N6" s="174">
        <v>34</v>
      </c>
      <c r="O6" s="174" t="s">
        <v>400</v>
      </c>
      <c r="P6" s="192">
        <v>2</v>
      </c>
      <c r="Q6" s="175" t="s">
        <v>410</v>
      </c>
      <c r="R6" s="192">
        <v>3</v>
      </c>
      <c r="S6" s="174" t="s">
        <v>104</v>
      </c>
      <c r="T6" s="174">
        <v>4</v>
      </c>
      <c r="U6" s="174">
        <v>0</v>
      </c>
      <c r="V6" s="174" t="s">
        <v>107</v>
      </c>
      <c r="W6" s="174">
        <v>30</v>
      </c>
      <c r="X6" s="174">
        <v>50</v>
      </c>
      <c r="Y6" s="174">
        <v>24</v>
      </c>
      <c r="Z6" s="187" t="s">
        <v>421</v>
      </c>
      <c r="AA6" s="187">
        <v>36</v>
      </c>
      <c r="AB6" s="192">
        <v>55</v>
      </c>
      <c r="AC6" s="174">
        <v>0</v>
      </c>
      <c r="AD6" s="174" t="s">
        <v>421</v>
      </c>
      <c r="AE6" s="174">
        <v>8</v>
      </c>
      <c r="AF6" s="174">
        <v>9</v>
      </c>
      <c r="AG6" s="174" t="s">
        <v>423</v>
      </c>
      <c r="AH6" s="174">
        <v>200</v>
      </c>
      <c r="AI6" s="174">
        <v>300</v>
      </c>
      <c r="AJ6" s="174">
        <v>340</v>
      </c>
      <c r="AK6" s="174" t="s">
        <v>425</v>
      </c>
      <c r="AL6" s="174">
        <v>400</v>
      </c>
      <c r="AM6" s="174">
        <v>500</v>
      </c>
      <c r="AN6" s="174">
        <v>600</v>
      </c>
      <c r="AO6" s="186" t="s">
        <v>477</v>
      </c>
      <c r="AP6" s="186"/>
      <c r="AQ6" s="174"/>
      <c r="AR6" s="187"/>
      <c r="AS6" s="174"/>
      <c r="AT6" s="174"/>
      <c r="AU6" s="174"/>
      <c r="AV6" s="174"/>
      <c r="AW6" s="174"/>
      <c r="AX6" s="174"/>
      <c r="AY6" s="174"/>
      <c r="AZ6" s="174"/>
      <c r="BA6" s="174"/>
      <c r="BB6" s="174"/>
      <c r="BC6" s="174"/>
      <c r="BD6" s="174"/>
      <c r="BE6" s="174"/>
      <c r="BF6" s="174"/>
      <c r="BG6" s="174"/>
      <c r="BH6" s="174"/>
      <c r="BI6" s="174"/>
      <c r="BJ6" s="174"/>
      <c r="BK6" s="174"/>
      <c r="BL6" s="174"/>
      <c r="BM6" s="174"/>
    </row>
    <row r="7" spans="1:65" x14ac:dyDescent="0.2">
      <c r="A7" s="173">
        <v>4</v>
      </c>
      <c r="B7" s="179" t="s">
        <v>479</v>
      </c>
      <c r="C7" s="174" t="s">
        <v>390</v>
      </c>
      <c r="D7" s="174" t="s">
        <v>482</v>
      </c>
      <c r="E7" s="174" t="s">
        <v>478</v>
      </c>
      <c r="F7" s="188" t="s">
        <v>94</v>
      </c>
      <c r="G7" s="174" t="s">
        <v>393</v>
      </c>
      <c r="H7" s="174" t="s">
        <v>420</v>
      </c>
      <c r="I7" s="174" t="s">
        <v>96</v>
      </c>
      <c r="J7" s="186" t="s">
        <v>315</v>
      </c>
      <c r="K7" s="174">
        <v>400</v>
      </c>
      <c r="L7" s="174">
        <v>600</v>
      </c>
      <c r="M7" s="174">
        <v>1600</v>
      </c>
      <c r="N7" s="174">
        <v>34</v>
      </c>
      <c r="O7" s="174" t="s">
        <v>400</v>
      </c>
      <c r="P7" s="192">
        <v>2</v>
      </c>
      <c r="Q7" s="175" t="s">
        <v>410</v>
      </c>
      <c r="R7" s="192">
        <v>3</v>
      </c>
      <c r="S7" s="174" t="s">
        <v>104</v>
      </c>
      <c r="T7" s="174">
        <v>4</v>
      </c>
      <c r="U7" s="174">
        <v>0</v>
      </c>
      <c r="V7" s="174" t="s">
        <v>107</v>
      </c>
      <c r="W7" s="174">
        <v>30</v>
      </c>
      <c r="X7" s="174">
        <v>50</v>
      </c>
      <c r="Y7" s="174">
        <v>24</v>
      </c>
      <c r="Z7" s="187" t="s">
        <v>421</v>
      </c>
      <c r="AA7" s="187">
        <v>36</v>
      </c>
      <c r="AB7" s="192">
        <v>55</v>
      </c>
      <c r="AC7" s="174">
        <v>0</v>
      </c>
      <c r="AD7" s="174" t="s">
        <v>421</v>
      </c>
      <c r="AE7" s="174">
        <v>8</v>
      </c>
      <c r="AF7" s="174">
        <v>9</v>
      </c>
      <c r="AG7" s="174" t="s">
        <v>423</v>
      </c>
      <c r="AH7" s="174">
        <v>200</v>
      </c>
      <c r="AI7" s="174">
        <v>300</v>
      </c>
      <c r="AJ7" s="174">
        <v>340</v>
      </c>
      <c r="AK7" s="174" t="s">
        <v>425</v>
      </c>
      <c r="AL7" s="174">
        <v>400</v>
      </c>
      <c r="AM7" s="174">
        <v>500</v>
      </c>
      <c r="AN7" s="174">
        <v>600</v>
      </c>
      <c r="AO7" s="186" t="s">
        <v>477</v>
      </c>
      <c r="AP7" s="186"/>
      <c r="AQ7" s="174"/>
    </row>
    <row r="8" spans="1:65" x14ac:dyDescent="0.2">
      <c r="A8" s="173">
        <v>5</v>
      </c>
      <c r="B8" s="179" t="s">
        <v>479</v>
      </c>
      <c r="C8" s="174" t="s">
        <v>391</v>
      </c>
      <c r="D8" s="174" t="s">
        <v>486</v>
      </c>
      <c r="E8" s="174" t="s">
        <v>478</v>
      </c>
      <c r="F8" s="188" t="s">
        <v>94</v>
      </c>
      <c r="G8" s="174" t="s">
        <v>393</v>
      </c>
      <c r="H8" s="174" t="s">
        <v>420</v>
      </c>
      <c r="I8" s="174" t="s">
        <v>96</v>
      </c>
      <c r="J8" s="186" t="s">
        <v>315</v>
      </c>
      <c r="K8" s="174">
        <v>400</v>
      </c>
      <c r="L8" s="174">
        <v>600</v>
      </c>
      <c r="M8" s="174">
        <v>1600</v>
      </c>
      <c r="N8" s="174">
        <v>34</v>
      </c>
      <c r="O8" s="174" t="s">
        <v>400</v>
      </c>
      <c r="P8" s="192">
        <v>2</v>
      </c>
      <c r="Q8" s="175" t="s">
        <v>410</v>
      </c>
      <c r="R8" s="192">
        <v>3</v>
      </c>
      <c r="S8" s="174" t="s">
        <v>104</v>
      </c>
      <c r="T8" s="174">
        <v>4</v>
      </c>
      <c r="U8" s="174">
        <v>0</v>
      </c>
      <c r="V8" s="174" t="s">
        <v>107</v>
      </c>
      <c r="W8" s="174">
        <v>30</v>
      </c>
      <c r="X8" s="174">
        <v>50</v>
      </c>
      <c r="Y8" s="174">
        <v>24</v>
      </c>
      <c r="Z8" s="187" t="s">
        <v>421</v>
      </c>
      <c r="AA8" s="187">
        <v>36</v>
      </c>
      <c r="AB8" s="192">
        <v>55</v>
      </c>
      <c r="AC8" s="174">
        <v>0</v>
      </c>
      <c r="AD8" s="174" t="s">
        <v>421</v>
      </c>
      <c r="AE8" s="174">
        <v>8</v>
      </c>
      <c r="AF8" s="174">
        <v>9</v>
      </c>
      <c r="AG8" s="174" t="s">
        <v>423</v>
      </c>
      <c r="AH8" s="174">
        <v>200</v>
      </c>
      <c r="AI8" s="174">
        <v>300</v>
      </c>
      <c r="AJ8" s="174">
        <v>340</v>
      </c>
      <c r="AK8" s="174" t="s">
        <v>425</v>
      </c>
      <c r="AL8" s="174">
        <v>400</v>
      </c>
      <c r="AM8" s="174">
        <v>500</v>
      </c>
      <c r="AN8" s="174">
        <v>600</v>
      </c>
      <c r="AO8" s="186" t="s">
        <v>477</v>
      </c>
      <c r="AP8" s="186"/>
      <c r="AQ8" s="174"/>
    </row>
    <row r="9" spans="1:65" x14ac:dyDescent="0.2">
      <c r="A9" s="173">
        <v>6</v>
      </c>
      <c r="B9" s="179" t="s">
        <v>479</v>
      </c>
      <c r="C9" s="174" t="s">
        <v>390</v>
      </c>
      <c r="D9" s="174" t="s">
        <v>480</v>
      </c>
      <c r="E9" s="174" t="s">
        <v>478</v>
      </c>
      <c r="F9" s="188" t="s">
        <v>94</v>
      </c>
      <c r="G9" s="174" t="s">
        <v>393</v>
      </c>
      <c r="H9" s="174" t="s">
        <v>420</v>
      </c>
      <c r="I9" s="174" t="s">
        <v>96</v>
      </c>
      <c r="J9" s="186" t="s">
        <v>315</v>
      </c>
      <c r="K9" s="174">
        <v>400</v>
      </c>
      <c r="L9" s="174">
        <v>600</v>
      </c>
      <c r="M9" s="174">
        <v>1600</v>
      </c>
      <c r="N9" s="174">
        <v>34</v>
      </c>
      <c r="O9" s="174" t="s">
        <v>400</v>
      </c>
      <c r="P9" s="192">
        <v>2</v>
      </c>
      <c r="Q9" s="175" t="s">
        <v>410</v>
      </c>
      <c r="R9" s="192">
        <v>3</v>
      </c>
      <c r="S9" s="174" t="s">
        <v>104</v>
      </c>
      <c r="T9" s="174">
        <v>4</v>
      </c>
      <c r="U9" s="174">
        <v>0</v>
      </c>
      <c r="V9" s="174" t="s">
        <v>107</v>
      </c>
      <c r="W9" s="174">
        <v>30</v>
      </c>
      <c r="X9" s="174">
        <v>50</v>
      </c>
      <c r="Y9" s="174">
        <v>24</v>
      </c>
      <c r="Z9" s="187" t="s">
        <v>421</v>
      </c>
      <c r="AA9" s="187">
        <v>36</v>
      </c>
      <c r="AB9" s="192">
        <v>55</v>
      </c>
      <c r="AC9" s="174">
        <v>0</v>
      </c>
      <c r="AD9" s="174" t="s">
        <v>421</v>
      </c>
      <c r="AE9" s="174">
        <v>8</v>
      </c>
      <c r="AF9" s="174">
        <v>9</v>
      </c>
      <c r="AG9" s="174" t="s">
        <v>423</v>
      </c>
      <c r="AH9" s="174">
        <v>200</v>
      </c>
      <c r="AI9" s="174">
        <v>300</v>
      </c>
      <c r="AJ9" s="174">
        <v>340</v>
      </c>
      <c r="AK9" s="174" t="s">
        <v>425</v>
      </c>
      <c r="AL9" s="174">
        <v>400</v>
      </c>
      <c r="AM9" s="174">
        <v>500</v>
      </c>
      <c r="AN9" s="174">
        <v>600</v>
      </c>
      <c r="AO9" s="186" t="s">
        <v>477</v>
      </c>
      <c r="AP9" s="186"/>
      <c r="AQ9" s="174"/>
    </row>
    <row r="10" spans="1:65" x14ac:dyDescent="0.2">
      <c r="A10" s="173">
        <v>7</v>
      </c>
      <c r="B10" s="179" t="s">
        <v>479</v>
      </c>
      <c r="C10" s="174" t="s">
        <v>391</v>
      </c>
      <c r="D10" s="174" t="s">
        <v>486</v>
      </c>
      <c r="E10" s="174" t="s">
        <v>478</v>
      </c>
      <c r="F10" s="188" t="s">
        <v>94</v>
      </c>
      <c r="G10" s="174" t="s">
        <v>393</v>
      </c>
      <c r="H10" s="174" t="s">
        <v>420</v>
      </c>
      <c r="I10" s="174" t="s">
        <v>96</v>
      </c>
      <c r="J10" s="186" t="s">
        <v>315</v>
      </c>
      <c r="K10" s="174">
        <v>400</v>
      </c>
      <c r="L10" s="174">
        <v>600</v>
      </c>
      <c r="M10" s="174">
        <v>1600</v>
      </c>
      <c r="N10" s="174">
        <v>34</v>
      </c>
      <c r="O10" s="174" t="s">
        <v>400</v>
      </c>
      <c r="P10" s="192">
        <v>2</v>
      </c>
      <c r="Q10" s="175" t="s">
        <v>410</v>
      </c>
      <c r="R10" s="192">
        <v>3</v>
      </c>
      <c r="S10" s="174" t="s">
        <v>104</v>
      </c>
      <c r="T10" s="174">
        <v>4</v>
      </c>
      <c r="U10" s="174">
        <v>0</v>
      </c>
      <c r="V10" s="174" t="s">
        <v>107</v>
      </c>
      <c r="W10" s="174">
        <v>30</v>
      </c>
      <c r="X10" s="174">
        <v>50</v>
      </c>
      <c r="Y10" s="174">
        <v>24</v>
      </c>
      <c r="Z10" s="187" t="s">
        <v>421</v>
      </c>
      <c r="AA10" s="187">
        <v>36</v>
      </c>
      <c r="AB10" s="192">
        <v>55</v>
      </c>
      <c r="AC10" s="174">
        <v>0</v>
      </c>
      <c r="AD10" s="174" t="s">
        <v>421</v>
      </c>
      <c r="AE10" s="174">
        <v>8</v>
      </c>
      <c r="AF10" s="174">
        <v>9</v>
      </c>
      <c r="AG10" s="174" t="s">
        <v>423</v>
      </c>
      <c r="AH10" s="174">
        <v>200</v>
      </c>
      <c r="AI10" s="174">
        <v>300</v>
      </c>
      <c r="AJ10" s="174">
        <v>340</v>
      </c>
      <c r="AK10" s="174" t="s">
        <v>425</v>
      </c>
      <c r="AL10" s="174">
        <v>400</v>
      </c>
      <c r="AM10" s="174">
        <v>500</v>
      </c>
      <c r="AN10" s="174">
        <v>600</v>
      </c>
      <c r="AO10" s="186" t="s">
        <v>477</v>
      </c>
      <c r="AP10" s="186"/>
      <c r="AQ10" s="174"/>
    </row>
    <row r="11" spans="1:65" x14ac:dyDescent="0.2">
      <c r="A11" s="173">
        <v>8</v>
      </c>
      <c r="B11" s="179" t="s">
        <v>485</v>
      </c>
      <c r="C11" s="174"/>
      <c r="D11" s="174" t="s">
        <v>480</v>
      </c>
      <c r="E11" s="174" t="s">
        <v>478</v>
      </c>
      <c r="F11" s="188"/>
      <c r="G11" s="174"/>
      <c r="H11" s="174"/>
      <c r="I11" s="174"/>
      <c r="J11" s="186"/>
      <c r="K11" s="174"/>
      <c r="L11" s="174"/>
      <c r="M11" s="174"/>
      <c r="N11" s="174"/>
      <c r="O11" s="174"/>
      <c r="P11" s="192"/>
      <c r="Q11" s="175"/>
      <c r="R11" s="192"/>
      <c r="S11" s="174"/>
      <c r="T11" s="174"/>
      <c r="U11" s="174"/>
      <c r="V11" s="174"/>
      <c r="W11" s="174"/>
      <c r="X11" s="174"/>
      <c r="Y11" s="174"/>
      <c r="Z11" s="187"/>
      <c r="AA11" s="187"/>
      <c r="AB11" s="192"/>
      <c r="AC11" s="174"/>
      <c r="AD11" s="174"/>
      <c r="AE11" s="174"/>
      <c r="AF11" s="174"/>
      <c r="AG11" s="174"/>
      <c r="AH11" s="174"/>
      <c r="AI11" s="174"/>
      <c r="AJ11" s="174"/>
      <c r="AK11" s="174"/>
      <c r="AL11" s="174"/>
      <c r="AM11" s="174"/>
      <c r="AN11" s="174"/>
      <c r="AO11" s="186" t="s">
        <v>476</v>
      </c>
      <c r="AP11" s="186"/>
      <c r="AQ11" s="174"/>
    </row>
    <row r="17" spans="25:29" x14ac:dyDescent="0.2">
      <c r="Y17" s="164"/>
      <c r="Z17" s="164"/>
      <c r="AA17" s="164"/>
      <c r="AC17" s="164"/>
    </row>
    <row r="18" spans="25:29" x14ac:dyDescent="0.2">
      <c r="Y18" s="164"/>
      <c r="Z18" s="164"/>
      <c r="AA18" s="164"/>
      <c r="AC18" s="164"/>
    </row>
    <row r="19" spans="25:29" x14ac:dyDescent="0.2">
      <c r="Y19" s="164"/>
      <c r="Z19" s="164"/>
      <c r="AA19" s="164"/>
      <c r="AC19" s="164"/>
    </row>
    <row r="20" spans="25:29" x14ac:dyDescent="0.2">
      <c r="Y20" s="164"/>
      <c r="Z20" s="164"/>
      <c r="AA20" s="164"/>
      <c r="AC20" s="164"/>
    </row>
    <row r="21" spans="25:29" x14ac:dyDescent="0.2">
      <c r="Y21" s="164"/>
      <c r="Z21" s="164"/>
      <c r="AA21" s="164"/>
      <c r="AC21" s="164"/>
    </row>
    <row r="22" spans="25:29" x14ac:dyDescent="0.2">
      <c r="Y22" s="164"/>
      <c r="Z22" s="164"/>
      <c r="AA22" s="164"/>
      <c r="AC22" s="164"/>
    </row>
    <row r="23" spans="25:29" x14ac:dyDescent="0.2">
      <c r="Y23" s="164"/>
      <c r="Z23" s="164"/>
      <c r="AA23" s="164"/>
      <c r="AC23" s="164"/>
    </row>
    <row r="24" spans="25:29" x14ac:dyDescent="0.2">
      <c r="Y24" s="164"/>
      <c r="Z24" s="164"/>
      <c r="AA24" s="164"/>
      <c r="AC24" s="164"/>
    </row>
    <row r="25" spans="25:29" x14ac:dyDescent="0.2">
      <c r="Y25" s="164"/>
      <c r="Z25" s="164"/>
      <c r="AA25" s="164"/>
      <c r="AC25" s="164"/>
    </row>
    <row r="34" spans="1:65" x14ac:dyDescent="0.2">
      <c r="Y34" s="164"/>
      <c r="Z34" s="164"/>
      <c r="AA34" s="164"/>
      <c r="AC34" s="164"/>
    </row>
    <row r="35" spans="1:65" x14ac:dyDescent="0.2">
      <c r="Y35" s="164"/>
      <c r="Z35" s="164"/>
      <c r="AA35" s="164"/>
      <c r="AC35" s="164"/>
    </row>
    <row r="36" spans="1:65" x14ac:dyDescent="0.2">
      <c r="Y36" s="164"/>
      <c r="Z36" s="164"/>
      <c r="AA36" s="164"/>
      <c r="AC36" s="164"/>
    </row>
    <row r="37" spans="1:65" x14ac:dyDescent="0.2">
      <c r="Y37" s="164"/>
      <c r="Z37" s="164"/>
      <c r="AA37" s="164"/>
      <c r="AC37" s="164"/>
    </row>
    <row r="38" spans="1:65" x14ac:dyDescent="0.2">
      <c r="Y38" s="164"/>
      <c r="Z38" s="164"/>
      <c r="AA38" s="164"/>
      <c r="AC38" s="164"/>
    </row>
    <row r="39" spans="1:65" x14ac:dyDescent="0.2">
      <c r="Y39" s="164"/>
      <c r="Z39" s="164"/>
      <c r="AA39" s="164"/>
      <c r="AC39" s="164"/>
    </row>
    <row r="40" spans="1:65" x14ac:dyDescent="0.2">
      <c r="Y40" s="164"/>
      <c r="Z40" s="164"/>
      <c r="AA40" s="164"/>
      <c r="AC40" s="164"/>
    </row>
    <row r="41" spans="1:65" x14ac:dyDescent="0.2">
      <c r="Y41" s="164"/>
      <c r="Z41" s="164"/>
      <c r="AA41" s="164"/>
      <c r="AC41" s="164"/>
    </row>
    <row r="42" spans="1:65" x14ac:dyDescent="0.2">
      <c r="Y42" s="164"/>
      <c r="Z42" s="164"/>
      <c r="AA42" s="164"/>
      <c r="AC42" s="164"/>
    </row>
    <row r="43" spans="1:65" x14ac:dyDescent="0.2">
      <c r="Y43" s="164"/>
      <c r="Z43" s="164"/>
      <c r="AA43" s="164"/>
      <c r="AC43" s="164"/>
    </row>
    <row r="44" spans="1:65" s="159" customFormat="1" ht="204" x14ac:dyDescent="0.2">
      <c r="A44" s="170"/>
      <c r="B44" s="184" t="s">
        <v>349</v>
      </c>
      <c r="C44" s="183" t="s">
        <v>350</v>
      </c>
      <c r="D44" s="183" t="s">
        <v>392</v>
      </c>
      <c r="E44" s="184" t="s">
        <v>349</v>
      </c>
      <c r="F44" s="184" t="s">
        <v>351</v>
      </c>
      <c r="G44" s="184" t="s">
        <v>353</v>
      </c>
      <c r="H44" s="183" t="s">
        <v>352</v>
      </c>
      <c r="I44" s="183" t="s">
        <v>372</v>
      </c>
      <c r="J44" s="183" t="s">
        <v>358</v>
      </c>
      <c r="K44" s="183" t="s">
        <v>355</v>
      </c>
      <c r="L44" s="183" t="s">
        <v>354</v>
      </c>
      <c r="M44" s="183" t="s">
        <v>355</v>
      </c>
      <c r="N44" s="183" t="s">
        <v>355</v>
      </c>
      <c r="O44" s="183" t="s">
        <v>356</v>
      </c>
      <c r="P44" s="183" t="s">
        <v>357</v>
      </c>
      <c r="Q44" s="183" t="s">
        <v>359</v>
      </c>
      <c r="R44" s="183" t="s">
        <v>360</v>
      </c>
      <c r="S44" s="183" t="s">
        <v>387</v>
      </c>
      <c r="T44" s="183" t="s">
        <v>361</v>
      </c>
      <c r="U44" s="183" t="s">
        <v>362</v>
      </c>
      <c r="V44" s="183" t="s">
        <v>363</v>
      </c>
      <c r="W44" s="183" t="s">
        <v>355</v>
      </c>
      <c r="X44" s="183" t="s">
        <v>355</v>
      </c>
      <c r="Y44" s="183" t="s">
        <v>381</v>
      </c>
      <c r="Z44" s="183" t="s">
        <v>364</v>
      </c>
      <c r="AA44" s="183" t="s">
        <v>355</v>
      </c>
      <c r="AB44" s="183" t="s">
        <v>355</v>
      </c>
      <c r="AC44" s="183" t="s">
        <v>355</v>
      </c>
      <c r="AD44" s="183" t="s">
        <v>369</v>
      </c>
      <c r="AE44" s="183" t="s">
        <v>355</v>
      </c>
      <c r="AF44" s="183" t="s">
        <v>355</v>
      </c>
      <c r="AG44" s="183" t="s">
        <v>373</v>
      </c>
      <c r="AH44" s="183" t="s">
        <v>374</v>
      </c>
      <c r="AI44" s="183" t="s">
        <v>375</v>
      </c>
      <c r="AJ44" s="183" t="s">
        <v>376</v>
      </c>
      <c r="AK44" s="183" t="s">
        <v>373</v>
      </c>
      <c r="AL44" s="183" t="s">
        <v>378</v>
      </c>
      <c r="AM44" s="183" t="s">
        <v>379</v>
      </c>
      <c r="AN44" s="183" t="s">
        <v>380</v>
      </c>
      <c r="AO44" s="183" t="s">
        <v>469</v>
      </c>
      <c r="AP44" s="183"/>
      <c r="AQ44" s="183" t="s">
        <v>377</v>
      </c>
      <c r="AS44" s="183" t="s">
        <v>382</v>
      </c>
      <c r="AT44" s="183" t="s">
        <v>366</v>
      </c>
      <c r="AU44" s="183" t="s">
        <v>367</v>
      </c>
      <c r="AV44" s="183" t="s">
        <v>368</v>
      </c>
      <c r="AW44" s="183" t="s">
        <v>365</v>
      </c>
      <c r="AX44" s="183" t="s">
        <v>365</v>
      </c>
      <c r="AY44" s="183" t="s">
        <v>365</v>
      </c>
      <c r="AZ44" s="183" t="s">
        <v>365</v>
      </c>
      <c r="BA44" s="159" t="s">
        <v>371</v>
      </c>
      <c r="BB44" s="183" t="s">
        <v>370</v>
      </c>
      <c r="BC44" s="183" t="s">
        <v>370</v>
      </c>
      <c r="BD44" s="183" t="s">
        <v>370</v>
      </c>
      <c r="BE44" s="183" t="s">
        <v>370</v>
      </c>
      <c r="BF44" s="183" t="s">
        <v>370</v>
      </c>
      <c r="BG44" s="183" t="s">
        <v>370</v>
      </c>
      <c r="BI44" s="183" t="s">
        <v>383</v>
      </c>
      <c r="BJ44" s="183" t="s">
        <v>384</v>
      </c>
      <c r="BK44" s="183" t="s">
        <v>385</v>
      </c>
      <c r="BL44" s="183" t="s">
        <v>386</v>
      </c>
      <c r="BM44" s="183" t="s">
        <v>377</v>
      </c>
    </row>
    <row r="45" spans="1:65" x14ac:dyDescent="0.2">
      <c r="Y45" s="164"/>
      <c r="Z45" s="164"/>
      <c r="AA45" s="164"/>
      <c r="AC45" s="164"/>
    </row>
    <row r="46" spans="1:65" x14ac:dyDescent="0.2">
      <c r="Y46" s="164"/>
      <c r="Z46" s="164"/>
      <c r="AA46" s="164"/>
      <c r="AC46" s="164"/>
    </row>
    <row r="47" spans="1:65" x14ac:dyDescent="0.2">
      <c r="Y47" s="164"/>
      <c r="Z47" s="164"/>
      <c r="AA47" s="164"/>
      <c r="AC47" s="164"/>
    </row>
    <row r="48" spans="1:65" x14ac:dyDescent="0.2">
      <c r="Y48" s="164"/>
      <c r="Z48" s="164"/>
      <c r="AA48" s="164"/>
      <c r="AC48" s="164"/>
    </row>
    <row r="49" spans="25:29" x14ac:dyDescent="0.2">
      <c r="Y49" s="164"/>
      <c r="Z49" s="164"/>
      <c r="AA49" s="164"/>
      <c r="AC49" s="164"/>
    </row>
    <row r="50" spans="25:29" x14ac:dyDescent="0.2">
      <c r="Y50" s="164"/>
      <c r="Z50" s="164"/>
      <c r="AA50" s="164"/>
      <c r="AC50" s="164"/>
    </row>
    <row r="51" spans="25:29" x14ac:dyDescent="0.2">
      <c r="Y51" s="164"/>
      <c r="Z51" s="164"/>
      <c r="AA51" s="164"/>
      <c r="AC51" s="164"/>
    </row>
    <row r="52" spans="25:29" x14ac:dyDescent="0.2">
      <c r="Y52" s="164"/>
      <c r="Z52" s="164"/>
      <c r="AA52" s="164"/>
      <c r="AC52" s="164"/>
    </row>
    <row r="53" spans="25:29" x14ac:dyDescent="0.2">
      <c r="Y53" s="164"/>
      <c r="Z53" s="164"/>
      <c r="AA53" s="164"/>
      <c r="AC53" s="164"/>
    </row>
    <row r="54" spans="25:29" x14ac:dyDescent="0.2">
      <c r="Y54" s="164"/>
      <c r="Z54" s="164"/>
      <c r="AA54" s="164"/>
      <c r="AC54" s="164"/>
    </row>
    <row r="55" spans="25:29" x14ac:dyDescent="0.2">
      <c r="Y55" s="164"/>
      <c r="Z55" s="164"/>
      <c r="AA55" s="164"/>
      <c r="AC55" s="164"/>
    </row>
    <row r="56" spans="25:29" x14ac:dyDescent="0.2">
      <c r="Y56" s="164"/>
      <c r="Z56" s="164"/>
      <c r="AA56" s="164"/>
      <c r="AC56" s="164"/>
    </row>
    <row r="57" spans="25:29" x14ac:dyDescent="0.2">
      <c r="Y57" s="164"/>
      <c r="Z57" s="164"/>
      <c r="AA57" s="164"/>
      <c r="AC57" s="164"/>
    </row>
    <row r="58" spans="25:29" x14ac:dyDescent="0.2">
      <c r="Y58" s="164"/>
      <c r="Z58" s="164"/>
      <c r="AA58" s="164"/>
      <c r="AC58" s="164"/>
    </row>
    <row r="59" spans="25:29" x14ac:dyDescent="0.2">
      <c r="Y59" s="164"/>
      <c r="Z59" s="164"/>
      <c r="AA59" s="164"/>
      <c r="AC59" s="164"/>
    </row>
    <row r="60" spans="25:29" x14ac:dyDescent="0.2">
      <c r="Y60" s="164"/>
      <c r="Z60" s="164"/>
      <c r="AA60" s="164"/>
      <c r="AC60" s="164"/>
    </row>
    <row r="61" spans="25:29" x14ac:dyDescent="0.2">
      <c r="Y61" s="164"/>
      <c r="Z61" s="164"/>
      <c r="AA61" s="164"/>
      <c r="AC61" s="164"/>
    </row>
    <row r="62" spans="25:29" x14ac:dyDescent="0.2">
      <c r="Y62" s="164"/>
      <c r="Z62" s="164"/>
      <c r="AA62" s="164"/>
      <c r="AC62" s="164"/>
    </row>
    <row r="63" spans="25:29" x14ac:dyDescent="0.2">
      <c r="Y63" s="164"/>
      <c r="Z63" s="164"/>
      <c r="AA63" s="164"/>
      <c r="AC63" s="164"/>
    </row>
    <row r="64" spans="25:29" x14ac:dyDescent="0.2">
      <c r="Y64" s="164"/>
      <c r="Z64" s="164"/>
      <c r="AA64" s="164"/>
      <c r="AC64" s="164"/>
    </row>
    <row r="65" spans="25:29" x14ac:dyDescent="0.2">
      <c r="Y65" s="164"/>
      <c r="Z65" s="164"/>
      <c r="AA65" s="164"/>
      <c r="AC65" s="164"/>
    </row>
    <row r="66" spans="25:29" x14ac:dyDescent="0.2">
      <c r="Y66" s="164"/>
      <c r="Z66" s="164"/>
      <c r="AA66" s="164"/>
      <c r="AC66" s="164"/>
    </row>
    <row r="67" spans="25:29" x14ac:dyDescent="0.2">
      <c r="Y67" s="164"/>
      <c r="Z67" s="164"/>
      <c r="AA67" s="164"/>
      <c r="AC67" s="164"/>
    </row>
    <row r="68" spans="25:29" x14ac:dyDescent="0.2">
      <c r="Y68" s="164"/>
      <c r="Z68" s="164"/>
      <c r="AA68" s="164"/>
      <c r="AC68" s="164"/>
    </row>
    <row r="69" spans="25:29" x14ac:dyDescent="0.2">
      <c r="Y69" s="164"/>
      <c r="Z69" s="164"/>
      <c r="AA69" s="164"/>
      <c r="AC69" s="164"/>
    </row>
    <row r="70" spans="25:29" x14ac:dyDescent="0.2">
      <c r="Y70" s="164"/>
      <c r="Z70" s="164"/>
      <c r="AA70" s="164"/>
      <c r="AC70" s="164"/>
    </row>
    <row r="71" spans="25:29" x14ac:dyDescent="0.2">
      <c r="Y71" s="164"/>
      <c r="Z71" s="164"/>
      <c r="AA71" s="164"/>
      <c r="AC71" s="164"/>
    </row>
    <row r="72" spans="25:29" x14ac:dyDescent="0.2">
      <c r="Y72" s="164"/>
      <c r="Z72" s="164"/>
      <c r="AA72" s="164"/>
      <c r="AC72" s="164"/>
    </row>
    <row r="73" spans="25:29" x14ac:dyDescent="0.2">
      <c r="Y73" s="164"/>
      <c r="Z73" s="164"/>
      <c r="AA73" s="164"/>
      <c r="AC73" s="164"/>
    </row>
    <row r="74" spans="25:29" x14ac:dyDescent="0.2">
      <c r="Y74" s="164"/>
      <c r="Z74" s="164"/>
      <c r="AA74" s="164"/>
      <c r="AC74" s="164"/>
    </row>
    <row r="75" spans="25:29" x14ac:dyDescent="0.2">
      <c r="Y75" s="164"/>
      <c r="Z75" s="164"/>
      <c r="AA75" s="164"/>
      <c r="AC75" s="164"/>
    </row>
    <row r="76" spans="25:29" x14ac:dyDescent="0.2">
      <c r="Y76" s="164"/>
      <c r="Z76" s="164"/>
      <c r="AA76" s="164"/>
      <c r="AC76" s="164"/>
    </row>
    <row r="77" spans="25:29" x14ac:dyDescent="0.2">
      <c r="Y77" s="164"/>
      <c r="Z77" s="164"/>
      <c r="AA77" s="164"/>
      <c r="AC77" s="164"/>
    </row>
    <row r="78" spans="25:29" x14ac:dyDescent="0.2">
      <c r="Y78" s="164"/>
      <c r="Z78" s="164"/>
      <c r="AA78" s="164"/>
      <c r="AC78" s="164"/>
    </row>
    <row r="79" spans="25:29" x14ac:dyDescent="0.2">
      <c r="Y79" s="164"/>
      <c r="Z79" s="164"/>
      <c r="AA79" s="164"/>
      <c r="AC79" s="164"/>
    </row>
    <row r="80" spans="25:29" x14ac:dyDescent="0.2">
      <c r="Y80" s="164"/>
      <c r="Z80" s="164"/>
      <c r="AA80" s="164"/>
      <c r="AC80" s="164"/>
    </row>
    <row r="81" spans="25:29" x14ac:dyDescent="0.2">
      <c r="Y81" s="164"/>
      <c r="Z81" s="164"/>
      <c r="AA81" s="164"/>
      <c r="AC81" s="164"/>
    </row>
    <row r="82" spans="25:29" x14ac:dyDescent="0.2">
      <c r="Y82" s="164"/>
      <c r="Z82" s="164"/>
      <c r="AA82" s="164"/>
      <c r="AC82" s="164"/>
    </row>
    <row r="83" spans="25:29" x14ac:dyDescent="0.2">
      <c r="Y83" s="164"/>
      <c r="Z83" s="164"/>
      <c r="AA83" s="164"/>
      <c r="AC83" s="164"/>
    </row>
    <row r="84" spans="25:29" x14ac:dyDescent="0.2">
      <c r="Y84" s="164"/>
      <c r="Z84" s="164"/>
      <c r="AA84" s="164"/>
      <c r="AC84" s="164"/>
    </row>
    <row r="85" spans="25:29" x14ac:dyDescent="0.2">
      <c r="Y85" s="164"/>
      <c r="Z85" s="164"/>
      <c r="AA85" s="164"/>
      <c r="AC85" s="164"/>
    </row>
    <row r="86" spans="25:29" x14ac:dyDescent="0.2">
      <c r="Y86" s="164"/>
      <c r="Z86" s="164"/>
      <c r="AA86" s="164"/>
      <c r="AC86" s="164"/>
    </row>
    <row r="87" spans="25:29" x14ac:dyDescent="0.2">
      <c r="Y87" s="164"/>
      <c r="Z87" s="164"/>
      <c r="AA87" s="164"/>
      <c r="AC87" s="164"/>
    </row>
    <row r="88" spans="25:29" x14ac:dyDescent="0.2">
      <c r="Y88" s="164"/>
      <c r="Z88" s="164"/>
      <c r="AA88" s="164"/>
      <c r="AC88" s="164"/>
    </row>
    <row r="89" spans="25:29" x14ac:dyDescent="0.2">
      <c r="Y89" s="164"/>
      <c r="Z89" s="164"/>
      <c r="AA89" s="164"/>
      <c r="AC89" s="164"/>
    </row>
    <row r="90" spans="25:29" x14ac:dyDescent="0.2">
      <c r="Y90" s="164"/>
      <c r="Z90" s="164"/>
      <c r="AA90" s="164"/>
      <c r="AC90" s="164"/>
    </row>
    <row r="91" spans="25:29" x14ac:dyDescent="0.2">
      <c r="Y91" s="164"/>
      <c r="Z91" s="164"/>
      <c r="AA91" s="164"/>
      <c r="AC91" s="164"/>
    </row>
    <row r="92" spans="25:29" x14ac:dyDescent="0.2">
      <c r="Y92" s="164"/>
      <c r="Z92" s="164"/>
      <c r="AA92" s="164"/>
      <c r="AC92" s="164"/>
    </row>
    <row r="93" spans="25:29" x14ac:dyDescent="0.2">
      <c r="Y93" s="164"/>
      <c r="Z93" s="164"/>
      <c r="AA93" s="164"/>
      <c r="AC93" s="164"/>
    </row>
    <row r="94" spans="25:29" x14ac:dyDescent="0.2">
      <c r="Y94" s="164"/>
      <c r="Z94" s="164"/>
      <c r="AA94" s="164"/>
      <c r="AC94" s="164"/>
    </row>
    <row r="95" spans="25:29" x14ac:dyDescent="0.2">
      <c r="Y95" s="164"/>
      <c r="Z95" s="164"/>
      <c r="AA95" s="164"/>
      <c r="AC95" s="164"/>
    </row>
    <row r="96" spans="25:29" x14ac:dyDescent="0.2">
      <c r="Y96" s="164"/>
      <c r="Z96" s="164"/>
      <c r="AA96" s="164"/>
      <c r="AC96" s="164"/>
    </row>
    <row r="97" spans="25:29" x14ac:dyDescent="0.2">
      <c r="Y97" s="164"/>
      <c r="Z97" s="164"/>
      <c r="AA97" s="164"/>
      <c r="AC97" s="164"/>
    </row>
    <row r="98" spans="25:29" x14ac:dyDescent="0.2">
      <c r="Y98" s="164"/>
      <c r="Z98" s="164"/>
      <c r="AA98" s="164"/>
      <c r="AC98" s="164"/>
    </row>
    <row r="99" spans="25:29" x14ac:dyDescent="0.2">
      <c r="Y99" s="164"/>
      <c r="Z99" s="164"/>
      <c r="AA99" s="164"/>
      <c r="AC99" s="164"/>
    </row>
    <row r="100" spans="25:29" x14ac:dyDescent="0.2">
      <c r="Y100" s="164"/>
      <c r="Z100" s="164"/>
      <c r="AA100" s="164"/>
      <c r="AC100" s="164"/>
    </row>
    <row r="101" spans="25:29" x14ac:dyDescent="0.2">
      <c r="Y101" s="164"/>
      <c r="Z101" s="164"/>
      <c r="AA101" s="164"/>
      <c r="AC101" s="164"/>
    </row>
    <row r="102" spans="25:29" x14ac:dyDescent="0.2">
      <c r="Y102" s="164"/>
      <c r="Z102" s="164"/>
      <c r="AA102" s="164"/>
      <c r="AC102" s="164"/>
    </row>
    <row r="103" spans="25:29" x14ac:dyDescent="0.2">
      <c r="Y103" s="164"/>
      <c r="Z103" s="164"/>
      <c r="AA103" s="164"/>
      <c r="AC103" s="164"/>
    </row>
    <row r="104" spans="25:29" x14ac:dyDescent="0.2">
      <c r="Y104" s="164"/>
      <c r="Z104" s="164"/>
      <c r="AA104" s="164"/>
      <c r="AC104" s="164"/>
    </row>
    <row r="105" spans="25:29" x14ac:dyDescent="0.2">
      <c r="Y105" s="164"/>
      <c r="Z105" s="164"/>
      <c r="AA105" s="164"/>
      <c r="AC105" s="164"/>
    </row>
    <row r="106" spans="25:29" x14ac:dyDescent="0.2">
      <c r="Y106" s="164"/>
      <c r="Z106" s="164"/>
      <c r="AA106" s="164"/>
      <c r="AC106" s="164"/>
    </row>
    <row r="107" spans="25:29" x14ac:dyDescent="0.2">
      <c r="Y107" s="164"/>
      <c r="Z107" s="164"/>
      <c r="AA107" s="164"/>
      <c r="AC107" s="164"/>
    </row>
    <row r="108" spans="25:29" x14ac:dyDescent="0.2">
      <c r="Y108" s="164"/>
      <c r="Z108" s="164"/>
      <c r="AA108" s="164"/>
      <c r="AC108" s="164"/>
    </row>
    <row r="109" spans="25:29" x14ac:dyDescent="0.2">
      <c r="Y109" s="164"/>
      <c r="Z109" s="164"/>
      <c r="AA109" s="164"/>
      <c r="AC109" s="164"/>
    </row>
    <row r="110" spans="25:29" x14ac:dyDescent="0.2">
      <c r="Y110" s="164"/>
      <c r="Z110" s="164"/>
      <c r="AA110" s="164"/>
      <c r="AC110" s="164"/>
    </row>
    <row r="111" spans="25:29" x14ac:dyDescent="0.2">
      <c r="Y111" s="164"/>
      <c r="Z111" s="164"/>
      <c r="AA111" s="164"/>
      <c r="AC111" s="164"/>
    </row>
    <row r="112" spans="25:29" x14ac:dyDescent="0.2">
      <c r="Y112" s="164"/>
      <c r="Z112" s="164"/>
      <c r="AA112" s="164"/>
      <c r="AC112" s="164"/>
    </row>
    <row r="113" spans="25:29" x14ac:dyDescent="0.2">
      <c r="Y113" s="164"/>
      <c r="Z113" s="164"/>
      <c r="AA113" s="164"/>
      <c r="AC113" s="164"/>
    </row>
    <row r="114" spans="25:29" x14ac:dyDescent="0.2">
      <c r="Y114" s="164"/>
      <c r="Z114" s="164"/>
      <c r="AA114" s="164"/>
      <c r="AC114" s="164"/>
    </row>
    <row r="115" spans="25:29" x14ac:dyDescent="0.2">
      <c r="Y115" s="164"/>
      <c r="Z115" s="164"/>
      <c r="AA115" s="164"/>
      <c r="AC115" s="164"/>
    </row>
    <row r="116" spans="25:29" x14ac:dyDescent="0.2">
      <c r="Y116" s="164"/>
      <c r="Z116" s="164"/>
      <c r="AA116" s="164"/>
      <c r="AC116" s="164"/>
    </row>
    <row r="117" spans="25:29" x14ac:dyDescent="0.2">
      <c r="Y117" s="164"/>
      <c r="Z117" s="164"/>
      <c r="AA117" s="164"/>
      <c r="AC117" s="164"/>
    </row>
    <row r="118" spans="25:29" x14ac:dyDescent="0.2">
      <c r="Y118" s="164"/>
      <c r="Z118" s="164"/>
      <c r="AA118" s="164"/>
      <c r="AC118" s="164"/>
    </row>
    <row r="119" spans="25:29" x14ac:dyDescent="0.2">
      <c r="Y119" s="164"/>
      <c r="Z119" s="164"/>
      <c r="AA119" s="164"/>
      <c r="AC119" s="164"/>
    </row>
    <row r="120" spans="25:29" x14ac:dyDescent="0.2">
      <c r="Y120" s="164"/>
      <c r="Z120" s="164"/>
      <c r="AA120" s="164"/>
      <c r="AC120" s="164"/>
    </row>
    <row r="121" spans="25:29" x14ac:dyDescent="0.2">
      <c r="Y121" s="164"/>
      <c r="Z121" s="164"/>
      <c r="AA121" s="164"/>
      <c r="AC121" s="164"/>
    </row>
    <row r="122" spans="25:29" x14ac:dyDescent="0.2">
      <c r="Y122" s="164"/>
      <c r="Z122" s="164"/>
      <c r="AA122" s="164"/>
      <c r="AC122" s="164"/>
    </row>
    <row r="123" spans="25:29" x14ac:dyDescent="0.2">
      <c r="Y123" s="164"/>
      <c r="Z123" s="164"/>
      <c r="AA123" s="164"/>
      <c r="AC123" s="164"/>
    </row>
    <row r="124" spans="25:29" x14ac:dyDescent="0.2">
      <c r="Y124" s="164"/>
      <c r="Z124" s="164"/>
      <c r="AA124" s="164"/>
      <c r="AC124" s="164"/>
    </row>
    <row r="125" spans="25:29" x14ac:dyDescent="0.2">
      <c r="Y125" s="164"/>
      <c r="Z125" s="164"/>
      <c r="AA125" s="164"/>
      <c r="AC125" s="164"/>
    </row>
    <row r="126" spans="25:29" x14ac:dyDescent="0.2">
      <c r="Y126" s="164"/>
      <c r="Z126" s="164"/>
      <c r="AA126" s="164"/>
      <c r="AC126" s="164"/>
    </row>
    <row r="127" spans="25:29" x14ac:dyDescent="0.2">
      <c r="Y127" s="164"/>
      <c r="Z127" s="164"/>
      <c r="AA127" s="164"/>
      <c r="AC127" s="164"/>
    </row>
    <row r="128" spans="25:29" x14ac:dyDescent="0.2">
      <c r="Y128" s="164"/>
      <c r="Z128" s="164"/>
      <c r="AA128" s="164"/>
      <c r="AC128" s="164"/>
    </row>
    <row r="129" spans="25:29" x14ac:dyDescent="0.2">
      <c r="Y129" s="164"/>
      <c r="Z129" s="164"/>
      <c r="AA129" s="164"/>
      <c r="AC129" s="164"/>
    </row>
    <row r="130" spans="25:29" x14ac:dyDescent="0.2">
      <c r="Y130" s="164"/>
      <c r="Z130" s="164"/>
      <c r="AA130" s="164"/>
      <c r="AC130" s="164"/>
    </row>
    <row r="131" spans="25:29" x14ac:dyDescent="0.2">
      <c r="Y131" s="164"/>
      <c r="Z131" s="164"/>
      <c r="AA131" s="164"/>
    </row>
    <row r="132" spans="25:29" x14ac:dyDescent="0.2">
      <c r="Y132" s="164"/>
      <c r="Z132" s="164"/>
      <c r="AA132" s="164"/>
      <c r="AC132" s="164"/>
    </row>
    <row r="133" spans="25:29" x14ac:dyDescent="0.2">
      <c r="Y133" s="164"/>
      <c r="Z133" s="164"/>
      <c r="AA133" s="164"/>
      <c r="AC133" s="164"/>
    </row>
    <row r="134" spans="25:29" x14ac:dyDescent="0.2">
      <c r="Y134" s="164"/>
      <c r="Z134" s="164"/>
      <c r="AA134" s="164"/>
      <c r="AC134" s="164"/>
    </row>
    <row r="135" spans="25:29" x14ac:dyDescent="0.2">
      <c r="Y135" s="164"/>
      <c r="Z135" s="164"/>
      <c r="AA135" s="164"/>
      <c r="AC135" s="164"/>
    </row>
    <row r="136" spans="25:29" x14ac:dyDescent="0.2">
      <c r="Y136" s="164"/>
      <c r="Z136" s="164"/>
      <c r="AA136" s="164"/>
      <c r="AC136" s="164"/>
    </row>
    <row r="137" spans="25:29" x14ac:dyDescent="0.2">
      <c r="Y137" s="164"/>
      <c r="Z137" s="164"/>
      <c r="AA137" s="164"/>
      <c r="AC137" s="164"/>
    </row>
    <row r="138" spans="25:29" x14ac:dyDescent="0.2">
      <c r="Y138" s="164"/>
      <c r="Z138" s="164"/>
      <c r="AA138" s="164"/>
      <c r="AC138" s="164"/>
    </row>
    <row r="139" spans="25:29" x14ac:dyDescent="0.2">
      <c r="Y139" s="164"/>
      <c r="Z139" s="164"/>
      <c r="AA139" s="164"/>
      <c r="AC139" s="164"/>
    </row>
    <row r="140" spans="25:29" x14ac:dyDescent="0.2">
      <c r="Y140" s="164"/>
      <c r="Z140" s="164"/>
      <c r="AA140" s="164"/>
      <c r="AC140" s="164"/>
    </row>
    <row r="141" spans="25:29" x14ac:dyDescent="0.2">
      <c r="Y141" s="164"/>
      <c r="Z141" s="164"/>
      <c r="AA141" s="164"/>
      <c r="AC141" s="164"/>
    </row>
    <row r="142" spans="25:29" x14ac:dyDescent="0.2">
      <c r="Y142" s="164"/>
      <c r="Z142" s="164"/>
      <c r="AA142" s="164"/>
      <c r="AC142" s="164"/>
    </row>
    <row r="143" spans="25:29" x14ac:dyDescent="0.2">
      <c r="Y143" s="164"/>
      <c r="Z143" s="164"/>
      <c r="AA143" s="164"/>
      <c r="AC143" s="164"/>
    </row>
    <row r="144" spans="25:29" x14ac:dyDescent="0.2">
      <c r="Y144" s="164"/>
      <c r="Z144" s="164"/>
      <c r="AA144" s="164"/>
      <c r="AC144" s="164"/>
    </row>
    <row r="145" spans="25:29" x14ac:dyDescent="0.2">
      <c r="Y145" s="164"/>
      <c r="Z145" s="164"/>
      <c r="AA145" s="164"/>
      <c r="AC145" s="164"/>
    </row>
    <row r="146" spans="25:29" x14ac:dyDescent="0.2">
      <c r="Y146" s="164"/>
      <c r="Z146" s="164"/>
      <c r="AA146" s="164"/>
      <c r="AC146" s="164"/>
    </row>
    <row r="147" spans="25:29" x14ac:dyDescent="0.2">
      <c r="Y147" s="164"/>
      <c r="Z147" s="164"/>
      <c r="AA147" s="164"/>
      <c r="AC147" s="164"/>
    </row>
    <row r="148" spans="25:29" x14ac:dyDescent="0.2">
      <c r="Y148" s="164"/>
      <c r="Z148" s="164"/>
      <c r="AA148" s="164"/>
      <c r="AC148" s="164"/>
    </row>
    <row r="149" spans="25:29" x14ac:dyDescent="0.2">
      <c r="Y149" s="164"/>
      <c r="Z149" s="164"/>
      <c r="AA149" s="164"/>
      <c r="AC149" s="164"/>
    </row>
    <row r="150" spans="25:29" x14ac:dyDescent="0.2">
      <c r="Y150" s="164"/>
      <c r="Z150" s="164"/>
      <c r="AA150" s="164"/>
      <c r="AC150" s="164"/>
    </row>
    <row r="151" spans="25:29" x14ac:dyDescent="0.2">
      <c r="Y151" s="164"/>
      <c r="Z151" s="164"/>
      <c r="AA151" s="164"/>
      <c r="AC151" s="164"/>
    </row>
    <row r="152" spans="25:29" x14ac:dyDescent="0.2">
      <c r="Y152" s="164"/>
      <c r="Z152" s="164"/>
      <c r="AA152" s="164"/>
      <c r="AC152" s="164"/>
    </row>
    <row r="153" spans="25:29" x14ac:dyDescent="0.2">
      <c r="Y153" s="164"/>
      <c r="Z153" s="164"/>
      <c r="AA153" s="164"/>
      <c r="AC153" s="164"/>
    </row>
    <row r="154" spans="25:29" x14ac:dyDescent="0.2">
      <c r="Y154" s="164"/>
      <c r="Z154" s="164"/>
      <c r="AA154" s="164"/>
      <c r="AC154" s="164"/>
    </row>
    <row r="155" spans="25:29" x14ac:dyDescent="0.2">
      <c r="Y155" s="164"/>
      <c r="Z155" s="164"/>
      <c r="AA155" s="164"/>
      <c r="AC155" s="164"/>
    </row>
    <row r="156" spans="25:29" x14ac:dyDescent="0.2">
      <c r="Y156" s="164"/>
      <c r="Z156" s="164"/>
      <c r="AA156" s="164"/>
      <c r="AC156" s="164"/>
    </row>
    <row r="157" spans="25:29" x14ac:dyDescent="0.2">
      <c r="Y157" s="164"/>
      <c r="Z157" s="164"/>
      <c r="AA157" s="164"/>
      <c r="AC157" s="164"/>
    </row>
    <row r="158" spans="25:29" x14ac:dyDescent="0.2">
      <c r="Y158" s="164"/>
      <c r="Z158" s="164"/>
      <c r="AA158" s="164"/>
      <c r="AC158" s="164"/>
    </row>
    <row r="159" spans="25:29" x14ac:dyDescent="0.2">
      <c r="Y159" s="164"/>
      <c r="Z159" s="164"/>
      <c r="AA159" s="164"/>
      <c r="AC159" s="164"/>
    </row>
    <row r="160" spans="25:29" x14ac:dyDescent="0.2">
      <c r="Y160" s="164"/>
      <c r="Z160" s="164"/>
      <c r="AA160" s="164"/>
      <c r="AC160" s="164"/>
    </row>
    <row r="161" spans="25:29" x14ac:dyDescent="0.2">
      <c r="Y161" s="164"/>
      <c r="Z161" s="164"/>
      <c r="AA161" s="164"/>
      <c r="AC161" s="164"/>
    </row>
    <row r="162" spans="25:29" x14ac:dyDescent="0.2">
      <c r="Y162" s="164"/>
      <c r="Z162" s="164"/>
      <c r="AA162" s="164"/>
      <c r="AC162" s="164"/>
    </row>
    <row r="163" spans="25:29" x14ac:dyDescent="0.2">
      <c r="Y163" s="164"/>
      <c r="Z163" s="164"/>
      <c r="AA163" s="164"/>
      <c r="AC163" s="164"/>
    </row>
    <row r="164" spans="25:29" x14ac:dyDescent="0.2">
      <c r="Y164" s="164"/>
      <c r="Z164" s="164"/>
      <c r="AA164" s="164"/>
      <c r="AC164" s="164"/>
    </row>
    <row r="165" spans="25:29" x14ac:dyDescent="0.2">
      <c r="Y165" s="164"/>
      <c r="Z165" s="164"/>
      <c r="AA165" s="164"/>
      <c r="AC165" s="164"/>
    </row>
    <row r="166" spans="25:29" x14ac:dyDescent="0.2">
      <c r="Y166" s="164"/>
      <c r="Z166" s="164"/>
      <c r="AA166" s="164"/>
      <c r="AC166" s="164"/>
    </row>
    <row r="167" spans="25:29" x14ac:dyDescent="0.2">
      <c r="Y167" s="164"/>
      <c r="Z167" s="164"/>
      <c r="AA167" s="164"/>
      <c r="AC167" s="164"/>
    </row>
    <row r="168" spans="25:29" x14ac:dyDescent="0.2">
      <c r="Y168" s="164"/>
      <c r="Z168" s="164"/>
      <c r="AA168" s="164"/>
      <c r="AC168" s="164"/>
    </row>
    <row r="169" spans="25:29" x14ac:dyDescent="0.2">
      <c r="Y169" s="164"/>
      <c r="Z169" s="164"/>
      <c r="AA169" s="164"/>
      <c r="AC169" s="164"/>
    </row>
    <row r="170" spans="25:29" x14ac:dyDescent="0.2">
      <c r="Y170" s="164"/>
      <c r="Z170" s="164"/>
      <c r="AA170" s="164"/>
      <c r="AC170" s="164"/>
    </row>
    <row r="171" spans="25:29" x14ac:dyDescent="0.2">
      <c r="Y171" s="164"/>
      <c r="Z171" s="164"/>
      <c r="AA171" s="164"/>
      <c r="AC171" s="164"/>
    </row>
    <row r="172" spans="25:29" x14ac:dyDescent="0.2">
      <c r="Y172" s="164"/>
      <c r="Z172" s="164"/>
      <c r="AA172" s="164"/>
      <c r="AC172" s="164"/>
    </row>
    <row r="173" spans="25:29" x14ac:dyDescent="0.2">
      <c r="Y173" s="164"/>
      <c r="Z173" s="164"/>
      <c r="AA173" s="164"/>
      <c r="AC173" s="164"/>
    </row>
    <row r="174" spans="25:29" x14ac:dyDescent="0.2">
      <c r="Y174" s="164"/>
      <c r="Z174" s="164"/>
      <c r="AA174" s="164"/>
      <c r="AC174" s="164"/>
    </row>
    <row r="175" spans="25:29" x14ac:dyDescent="0.2">
      <c r="Y175" s="164"/>
      <c r="Z175" s="164"/>
      <c r="AA175" s="164"/>
      <c r="AC175" s="164"/>
    </row>
    <row r="176" spans="25:29" x14ac:dyDescent="0.2">
      <c r="Y176" s="164"/>
      <c r="Z176" s="164"/>
      <c r="AA176" s="164"/>
      <c r="AC176" s="164"/>
    </row>
    <row r="177" spans="25:29" x14ac:dyDescent="0.2">
      <c r="Y177" s="164"/>
      <c r="Z177" s="164"/>
      <c r="AA177" s="164"/>
      <c r="AC177" s="164"/>
    </row>
    <row r="178" spans="25:29" x14ac:dyDescent="0.2">
      <c r="Y178" s="164"/>
      <c r="Z178" s="164"/>
      <c r="AA178" s="164"/>
      <c r="AC178" s="164"/>
    </row>
    <row r="179" spans="25:29" x14ac:dyDescent="0.2">
      <c r="Y179" s="164"/>
      <c r="Z179" s="164"/>
      <c r="AA179" s="164"/>
      <c r="AC179" s="164"/>
    </row>
    <row r="180" spans="25:29" x14ac:dyDescent="0.2">
      <c r="Y180" s="164"/>
      <c r="Z180" s="164"/>
      <c r="AA180" s="164"/>
      <c r="AC180" s="164"/>
    </row>
    <row r="181" spans="25:29" x14ac:dyDescent="0.2">
      <c r="Y181" s="164"/>
      <c r="Z181" s="164"/>
      <c r="AA181" s="164"/>
      <c r="AC181" s="164"/>
    </row>
    <row r="182" spans="25:29" x14ac:dyDescent="0.2">
      <c r="Y182" s="164"/>
      <c r="Z182" s="164"/>
      <c r="AA182" s="164"/>
      <c r="AC182" s="164"/>
    </row>
    <row r="183" spans="25:29" x14ac:dyDescent="0.2">
      <c r="Y183" s="164"/>
      <c r="Z183" s="164"/>
      <c r="AA183" s="164"/>
      <c r="AC183" s="164"/>
    </row>
    <row r="184" spans="25:29" x14ac:dyDescent="0.2">
      <c r="Y184" s="164"/>
      <c r="Z184" s="164"/>
      <c r="AA184" s="164"/>
      <c r="AC184" s="164"/>
    </row>
    <row r="185" spans="25:29" x14ac:dyDescent="0.2">
      <c r="Y185" s="164"/>
      <c r="Z185" s="164"/>
      <c r="AA185" s="164"/>
      <c r="AC185" s="164"/>
    </row>
    <row r="186" spans="25:29" x14ac:dyDescent="0.2">
      <c r="Y186" s="164"/>
      <c r="Z186" s="164"/>
      <c r="AA186" s="164"/>
      <c r="AC186" s="164"/>
    </row>
    <row r="187" spans="25:29" x14ac:dyDescent="0.2">
      <c r="Y187" s="164"/>
      <c r="Z187" s="164"/>
      <c r="AA187" s="164"/>
      <c r="AC187" s="164"/>
    </row>
    <row r="188" spans="25:29" x14ac:dyDescent="0.2">
      <c r="Y188" s="164"/>
      <c r="Z188" s="164"/>
      <c r="AA188" s="164"/>
      <c r="AC188" s="164"/>
    </row>
    <row r="189" spans="25:29" x14ac:dyDescent="0.2">
      <c r="Y189" s="164"/>
      <c r="Z189" s="164"/>
      <c r="AA189" s="164"/>
      <c r="AC189" s="164"/>
    </row>
    <row r="190" spans="25:29" x14ac:dyDescent="0.2">
      <c r="Y190" s="164"/>
      <c r="Z190" s="164"/>
      <c r="AA190" s="164"/>
      <c r="AC190" s="164"/>
    </row>
    <row r="191" spans="25:29" x14ac:dyDescent="0.2">
      <c r="Y191" s="164"/>
      <c r="Z191" s="164"/>
      <c r="AA191" s="164"/>
      <c r="AC191" s="164"/>
    </row>
    <row r="192" spans="25:29" x14ac:dyDescent="0.2">
      <c r="Y192" s="164"/>
      <c r="Z192" s="164"/>
      <c r="AA192" s="164"/>
    </row>
    <row r="193" spans="25:29" x14ac:dyDescent="0.2">
      <c r="Y193" s="164"/>
      <c r="Z193" s="164"/>
      <c r="AA193" s="164"/>
      <c r="AC193" s="164"/>
    </row>
    <row r="194" spans="25:29" x14ac:dyDescent="0.2">
      <c r="Y194" s="164"/>
      <c r="Z194" s="164"/>
      <c r="AA194" s="164"/>
      <c r="AC194" s="164"/>
    </row>
    <row r="195" spans="25:29" x14ac:dyDescent="0.2">
      <c r="Y195" s="164"/>
      <c r="Z195" s="164"/>
      <c r="AA195" s="164"/>
      <c r="AC195" s="164"/>
    </row>
    <row r="196" spans="25:29" x14ac:dyDescent="0.2">
      <c r="Y196" s="164"/>
      <c r="Z196" s="164"/>
      <c r="AA196" s="164"/>
      <c r="AC196" s="164"/>
    </row>
    <row r="197" spans="25:29" x14ac:dyDescent="0.2">
      <c r="Y197" s="164"/>
      <c r="Z197" s="164"/>
      <c r="AA197" s="164"/>
      <c r="AC197" s="164"/>
    </row>
    <row r="198" spans="25:29" x14ac:dyDescent="0.2">
      <c r="Y198" s="164"/>
      <c r="Z198" s="164"/>
      <c r="AA198" s="164"/>
      <c r="AC198" s="164"/>
    </row>
    <row r="199" spans="25:29" x14ac:dyDescent="0.2">
      <c r="Y199" s="164"/>
      <c r="Z199" s="164"/>
      <c r="AA199" s="164"/>
      <c r="AC199" s="164"/>
    </row>
    <row r="200" spans="25:29" x14ac:dyDescent="0.2">
      <c r="Y200" s="164"/>
      <c r="Z200" s="164"/>
      <c r="AA200" s="164"/>
      <c r="AC200" s="164"/>
    </row>
    <row r="201" spans="25:29" x14ac:dyDescent="0.2">
      <c r="Y201" s="164"/>
      <c r="Z201" s="164"/>
      <c r="AA201" s="164"/>
      <c r="AC201" s="164"/>
    </row>
    <row r="202" spans="25:29" x14ac:dyDescent="0.2">
      <c r="Y202" s="164"/>
      <c r="Z202" s="164"/>
      <c r="AA202" s="164"/>
      <c r="AC202" s="164"/>
    </row>
    <row r="203" spans="25:29" x14ac:dyDescent="0.2">
      <c r="Y203" s="164"/>
      <c r="Z203" s="164"/>
      <c r="AA203" s="164"/>
      <c r="AC203" s="164"/>
    </row>
    <row r="204" spans="25:29" x14ac:dyDescent="0.2">
      <c r="Y204" s="164"/>
      <c r="Z204" s="164"/>
      <c r="AA204" s="164"/>
      <c r="AC204" s="164"/>
    </row>
    <row r="205" spans="25:29" x14ac:dyDescent="0.2">
      <c r="Y205" s="164"/>
      <c r="Z205" s="164"/>
      <c r="AA205" s="164"/>
      <c r="AC205" s="164"/>
    </row>
    <row r="206" spans="25:29" x14ac:dyDescent="0.2">
      <c r="Y206" s="164"/>
      <c r="Z206" s="164"/>
      <c r="AA206" s="164"/>
      <c r="AC206" s="164"/>
    </row>
    <row r="207" spans="25:29" x14ac:dyDescent="0.2">
      <c r="Y207" s="164"/>
      <c r="Z207" s="164"/>
      <c r="AA207" s="164"/>
      <c r="AC207" s="164"/>
    </row>
    <row r="208" spans="25:29" x14ac:dyDescent="0.2">
      <c r="Y208" s="164"/>
      <c r="Z208" s="164"/>
      <c r="AA208" s="164"/>
      <c r="AC208" s="164"/>
    </row>
    <row r="209" spans="25:29" x14ac:dyDescent="0.2">
      <c r="Y209" s="164"/>
      <c r="Z209" s="164"/>
      <c r="AA209" s="164"/>
      <c r="AC209" s="164"/>
    </row>
    <row r="210" spans="25:29" x14ac:dyDescent="0.2">
      <c r="Y210" s="164"/>
      <c r="Z210" s="164"/>
      <c r="AA210" s="164"/>
      <c r="AC210" s="164"/>
    </row>
    <row r="211" spans="25:29" x14ac:dyDescent="0.2">
      <c r="Y211" s="164"/>
      <c r="Z211" s="164"/>
      <c r="AA211" s="164"/>
      <c r="AC211" s="164"/>
    </row>
    <row r="212" spans="25:29" x14ac:dyDescent="0.2">
      <c r="Y212" s="164"/>
      <c r="Z212" s="164"/>
      <c r="AA212" s="164"/>
      <c r="AC212" s="164"/>
    </row>
    <row r="213" spans="25:29" x14ac:dyDescent="0.2">
      <c r="Y213" s="164"/>
      <c r="Z213" s="164"/>
      <c r="AA213" s="164"/>
      <c r="AC213" s="164"/>
    </row>
    <row r="214" spans="25:29" x14ac:dyDescent="0.2">
      <c r="Y214" s="164"/>
      <c r="Z214" s="164"/>
      <c r="AA214" s="164"/>
      <c r="AC214" s="164"/>
    </row>
    <row r="215" spans="25:29" x14ac:dyDescent="0.2">
      <c r="Y215" s="164"/>
      <c r="Z215" s="164"/>
      <c r="AA215" s="164"/>
      <c r="AC215" s="164"/>
    </row>
    <row r="216" spans="25:29" x14ac:dyDescent="0.2">
      <c r="Y216" s="164"/>
      <c r="Z216" s="164"/>
      <c r="AA216" s="164"/>
      <c r="AC216" s="164"/>
    </row>
    <row r="217" spans="25:29" x14ac:dyDescent="0.2">
      <c r="Y217" s="164"/>
      <c r="Z217" s="164"/>
      <c r="AA217" s="164"/>
      <c r="AC217" s="164"/>
    </row>
    <row r="218" spans="25:29" x14ac:dyDescent="0.2">
      <c r="Y218" s="164"/>
      <c r="Z218" s="164"/>
      <c r="AA218" s="164"/>
      <c r="AC218" s="164"/>
    </row>
    <row r="219" spans="25:29" x14ac:dyDescent="0.2">
      <c r="Y219" s="164"/>
      <c r="Z219" s="164"/>
      <c r="AA219" s="164"/>
      <c r="AC219" s="164"/>
    </row>
    <row r="220" spans="25:29" x14ac:dyDescent="0.2">
      <c r="Y220" s="164"/>
      <c r="Z220" s="164"/>
      <c r="AA220" s="164"/>
      <c r="AC220" s="164"/>
    </row>
    <row r="221" spans="25:29" x14ac:dyDescent="0.2">
      <c r="Y221" s="164"/>
      <c r="Z221" s="164"/>
      <c r="AA221" s="164"/>
      <c r="AC221" s="164"/>
    </row>
    <row r="222" spans="25:29" x14ac:dyDescent="0.2">
      <c r="Y222" s="164"/>
      <c r="Z222" s="164"/>
      <c r="AA222" s="164"/>
      <c r="AC222" s="164"/>
    </row>
    <row r="223" spans="25:29" x14ac:dyDescent="0.2">
      <c r="Y223" s="164"/>
      <c r="Z223" s="164"/>
      <c r="AA223" s="164"/>
      <c r="AC223" s="164"/>
    </row>
    <row r="224" spans="25:29" x14ac:dyDescent="0.2">
      <c r="Y224" s="164"/>
      <c r="Z224" s="164"/>
      <c r="AA224" s="164"/>
      <c r="AC224" s="164"/>
    </row>
    <row r="225" spans="25:29" x14ac:dyDescent="0.2">
      <c r="Y225" s="164"/>
      <c r="Z225" s="164"/>
      <c r="AA225" s="164"/>
      <c r="AC225" s="164"/>
    </row>
    <row r="226" spans="25:29" x14ac:dyDescent="0.2">
      <c r="Y226" s="164"/>
      <c r="Z226" s="164"/>
      <c r="AA226" s="164"/>
      <c r="AC226" s="164"/>
    </row>
    <row r="227" spans="25:29" x14ac:dyDescent="0.2">
      <c r="Y227" s="164"/>
      <c r="Z227" s="164"/>
      <c r="AA227" s="164"/>
      <c r="AC227" s="164"/>
    </row>
    <row r="228" spans="25:29" x14ac:dyDescent="0.2">
      <c r="Y228" s="164"/>
      <c r="Z228" s="164"/>
      <c r="AA228" s="164"/>
      <c r="AC228" s="164"/>
    </row>
    <row r="229" spans="25:29" x14ac:dyDescent="0.2">
      <c r="Y229" s="164"/>
      <c r="Z229" s="164"/>
      <c r="AA229" s="164"/>
      <c r="AC229" s="164"/>
    </row>
    <row r="230" spans="25:29" x14ac:dyDescent="0.2">
      <c r="Y230" s="164"/>
      <c r="Z230" s="164"/>
      <c r="AA230" s="164"/>
      <c r="AC230" s="164"/>
    </row>
    <row r="231" spans="25:29" x14ac:dyDescent="0.2">
      <c r="Y231" s="164"/>
      <c r="Z231" s="164"/>
      <c r="AA231" s="164"/>
      <c r="AC231" s="164"/>
    </row>
    <row r="232" spans="25:29" x14ac:dyDescent="0.2">
      <c r="Y232" s="164"/>
      <c r="Z232" s="164"/>
      <c r="AA232" s="164"/>
      <c r="AC232" s="164"/>
    </row>
    <row r="233" spans="25:29" x14ac:dyDescent="0.2">
      <c r="Y233" s="164"/>
      <c r="Z233" s="164"/>
      <c r="AA233" s="164"/>
      <c r="AC233" s="164"/>
    </row>
    <row r="234" spans="25:29" x14ac:dyDescent="0.2">
      <c r="Y234" s="164"/>
      <c r="Z234" s="164"/>
      <c r="AA234" s="164"/>
      <c r="AC234" s="164"/>
    </row>
    <row r="235" spans="25:29" x14ac:dyDescent="0.2">
      <c r="Y235" s="164"/>
      <c r="Z235" s="164"/>
      <c r="AA235" s="164"/>
      <c r="AC235" s="164"/>
    </row>
    <row r="236" spans="25:29" x14ac:dyDescent="0.2">
      <c r="Y236" s="164"/>
      <c r="Z236" s="164"/>
      <c r="AA236" s="164"/>
      <c r="AC236" s="164"/>
    </row>
    <row r="237" spans="25:29" x14ac:dyDescent="0.2">
      <c r="Y237" s="164"/>
      <c r="Z237" s="164"/>
      <c r="AA237" s="164"/>
      <c r="AC237" s="164"/>
    </row>
    <row r="238" spans="25:29" x14ac:dyDescent="0.2">
      <c r="Y238" s="164"/>
      <c r="Z238" s="164"/>
      <c r="AA238" s="164"/>
      <c r="AC238" s="164"/>
    </row>
    <row r="239" spans="25:29" x14ac:dyDescent="0.2">
      <c r="Y239" s="164"/>
      <c r="Z239" s="164"/>
      <c r="AA239" s="164"/>
      <c r="AC239" s="164"/>
    </row>
    <row r="240" spans="25:29" x14ac:dyDescent="0.2">
      <c r="Y240" s="164"/>
      <c r="Z240" s="164"/>
      <c r="AA240" s="164"/>
      <c r="AC240" s="164"/>
    </row>
    <row r="241" spans="25:29" x14ac:dyDescent="0.2">
      <c r="Y241" s="164"/>
      <c r="Z241" s="164"/>
      <c r="AA241" s="164"/>
      <c r="AC241" s="164"/>
    </row>
    <row r="242" spans="25:29" x14ac:dyDescent="0.2">
      <c r="Y242" s="164"/>
      <c r="Z242" s="164"/>
      <c r="AA242" s="164"/>
      <c r="AC242" s="164"/>
    </row>
    <row r="243" spans="25:29" x14ac:dyDescent="0.2">
      <c r="Y243" s="164"/>
      <c r="Z243" s="164"/>
      <c r="AA243" s="164"/>
      <c r="AC243" s="164"/>
    </row>
    <row r="244" spans="25:29" x14ac:dyDescent="0.2">
      <c r="Y244" s="164"/>
      <c r="Z244" s="164"/>
      <c r="AA244" s="164"/>
      <c r="AC244" s="164"/>
    </row>
    <row r="245" spans="25:29" x14ac:dyDescent="0.2">
      <c r="Y245" s="164"/>
      <c r="Z245" s="164"/>
      <c r="AA245" s="164"/>
      <c r="AC245" s="164"/>
    </row>
    <row r="246" spans="25:29" x14ac:dyDescent="0.2">
      <c r="Y246" s="164"/>
      <c r="Z246" s="164"/>
      <c r="AA246" s="164"/>
      <c r="AC246" s="164"/>
    </row>
    <row r="247" spans="25:29" x14ac:dyDescent="0.2">
      <c r="Y247" s="164"/>
      <c r="Z247" s="164"/>
      <c r="AA247" s="164"/>
      <c r="AC247" s="164"/>
    </row>
    <row r="248" spans="25:29" x14ac:dyDescent="0.2">
      <c r="Y248" s="164"/>
      <c r="Z248" s="164"/>
      <c r="AA248" s="164"/>
      <c r="AC248" s="164"/>
    </row>
    <row r="249" spans="25:29" x14ac:dyDescent="0.2">
      <c r="Y249" s="164"/>
      <c r="Z249" s="164"/>
      <c r="AA249" s="164"/>
      <c r="AC249" s="164"/>
    </row>
    <row r="250" spans="25:29" x14ac:dyDescent="0.2">
      <c r="Y250" s="164"/>
      <c r="Z250" s="164"/>
      <c r="AA250" s="164"/>
      <c r="AC250" s="164"/>
    </row>
    <row r="251" spans="25:29" x14ac:dyDescent="0.2">
      <c r="Y251" s="164"/>
      <c r="Z251" s="164"/>
      <c r="AA251" s="164"/>
      <c r="AC251" s="164"/>
    </row>
    <row r="252" spans="25:29" x14ac:dyDescent="0.2">
      <c r="Y252" s="164"/>
      <c r="Z252" s="164"/>
      <c r="AA252" s="164"/>
      <c r="AC252" s="164"/>
    </row>
    <row r="253" spans="25:29" x14ac:dyDescent="0.2">
      <c r="Y253" s="164"/>
      <c r="Z253" s="164"/>
      <c r="AA253" s="164"/>
      <c r="AC253" s="164"/>
    </row>
    <row r="254" spans="25:29" x14ac:dyDescent="0.2">
      <c r="Y254" s="164"/>
      <c r="Z254" s="164"/>
      <c r="AA254" s="164"/>
      <c r="AC254" s="164"/>
    </row>
    <row r="255" spans="25:29" x14ac:dyDescent="0.2">
      <c r="Y255" s="164"/>
      <c r="Z255" s="164"/>
      <c r="AA255" s="164"/>
      <c r="AC255" s="164"/>
    </row>
    <row r="256" spans="25:29" x14ac:dyDescent="0.2">
      <c r="Y256" s="164"/>
      <c r="Z256" s="164"/>
      <c r="AA256" s="164"/>
      <c r="AC256" s="164"/>
    </row>
    <row r="257" spans="25:29" x14ac:dyDescent="0.2">
      <c r="Y257" s="164"/>
      <c r="Z257" s="164"/>
      <c r="AA257" s="164"/>
      <c r="AC257" s="164"/>
    </row>
    <row r="258" spans="25:29" x14ac:dyDescent="0.2">
      <c r="Y258" s="164"/>
      <c r="Z258" s="164"/>
      <c r="AA258" s="164"/>
      <c r="AC258" s="164"/>
    </row>
    <row r="259" spans="25:29" x14ac:dyDescent="0.2">
      <c r="Y259" s="164"/>
      <c r="Z259" s="164"/>
      <c r="AA259" s="164"/>
      <c r="AC259" s="164"/>
    </row>
    <row r="260" spans="25:29" x14ac:dyDescent="0.2">
      <c r="Y260" s="164"/>
      <c r="Z260" s="164"/>
      <c r="AA260" s="164"/>
      <c r="AC260" s="164"/>
    </row>
    <row r="261" spans="25:29" x14ac:dyDescent="0.2">
      <c r="Y261" s="164"/>
      <c r="Z261" s="164"/>
      <c r="AA261" s="164"/>
      <c r="AC261" s="164"/>
    </row>
    <row r="262" spans="25:29" x14ac:dyDescent="0.2">
      <c r="Y262" s="164"/>
      <c r="Z262" s="164"/>
      <c r="AA262" s="164"/>
      <c r="AC262" s="164"/>
    </row>
    <row r="263" spans="25:29" x14ac:dyDescent="0.2">
      <c r="Y263" s="164"/>
      <c r="Z263" s="164"/>
      <c r="AA263" s="164"/>
      <c r="AC263" s="164"/>
    </row>
    <row r="264" spans="25:29" x14ac:dyDescent="0.2">
      <c r="Y264" s="164"/>
      <c r="Z264" s="164"/>
      <c r="AA264" s="164"/>
      <c r="AC264" s="164"/>
    </row>
    <row r="265" spans="25:29" x14ac:dyDescent="0.2">
      <c r="Y265" s="164"/>
      <c r="Z265" s="164"/>
      <c r="AA265" s="164"/>
      <c r="AC265" s="164"/>
    </row>
    <row r="266" spans="25:29" x14ac:dyDescent="0.2">
      <c r="Y266" s="164"/>
      <c r="Z266" s="164"/>
      <c r="AA266" s="164"/>
      <c r="AC266" s="164"/>
    </row>
    <row r="267" spans="25:29" x14ac:dyDescent="0.2">
      <c r="Y267" s="164"/>
      <c r="Z267" s="164"/>
      <c r="AA267" s="164"/>
      <c r="AC267" s="164"/>
    </row>
    <row r="268" spans="25:29" x14ac:dyDescent="0.2">
      <c r="Y268" s="164"/>
      <c r="Z268" s="164"/>
      <c r="AA268" s="164"/>
      <c r="AC268" s="164"/>
    </row>
    <row r="269" spans="25:29" x14ac:dyDescent="0.2">
      <c r="Y269" s="164"/>
      <c r="Z269" s="164"/>
      <c r="AA269" s="164"/>
      <c r="AC269" s="164"/>
    </row>
    <row r="270" spans="25:29" x14ac:dyDescent="0.2">
      <c r="Y270" s="164"/>
      <c r="Z270" s="164"/>
      <c r="AA270" s="164"/>
      <c r="AC270" s="164"/>
    </row>
    <row r="271" spans="25:29" x14ac:dyDescent="0.2">
      <c r="Y271" s="164"/>
      <c r="Z271" s="164"/>
      <c r="AA271" s="164"/>
      <c r="AC271" s="164"/>
    </row>
    <row r="272" spans="25:29" x14ac:dyDescent="0.2">
      <c r="Y272" s="164"/>
      <c r="Z272" s="164"/>
      <c r="AA272" s="164"/>
      <c r="AC272" s="164"/>
    </row>
    <row r="273" spans="25:29" x14ac:dyDescent="0.2">
      <c r="Y273" s="164"/>
      <c r="Z273" s="164"/>
      <c r="AA273" s="164"/>
      <c r="AC273" s="164"/>
    </row>
    <row r="274" spans="25:29" x14ac:dyDescent="0.2">
      <c r="Y274" s="164"/>
      <c r="Z274" s="164"/>
      <c r="AA274" s="164"/>
      <c r="AC274" s="164"/>
    </row>
    <row r="275" spans="25:29" x14ac:dyDescent="0.2">
      <c r="Y275" s="164"/>
      <c r="Z275" s="164"/>
      <c r="AA275" s="164"/>
      <c r="AC275" s="164"/>
    </row>
    <row r="276" spans="25:29" x14ac:dyDescent="0.2">
      <c r="Y276" s="164"/>
      <c r="Z276" s="164"/>
      <c r="AA276" s="164"/>
      <c r="AC276" s="164"/>
    </row>
    <row r="277" spans="25:29" x14ac:dyDescent="0.2">
      <c r="Y277" s="164"/>
      <c r="Z277" s="164"/>
      <c r="AA277" s="164"/>
      <c r="AC277" s="164"/>
    </row>
    <row r="278" spans="25:29" x14ac:dyDescent="0.2">
      <c r="Y278" s="164"/>
      <c r="Z278" s="164"/>
      <c r="AA278" s="164"/>
      <c r="AC278" s="164"/>
    </row>
    <row r="279" spans="25:29" x14ac:dyDescent="0.2">
      <c r="Y279" s="164"/>
      <c r="Z279" s="164"/>
      <c r="AA279" s="164"/>
      <c r="AC279" s="164"/>
    </row>
    <row r="280" spans="25:29" x14ac:dyDescent="0.2">
      <c r="Y280" s="164"/>
      <c r="Z280" s="164"/>
      <c r="AA280" s="164"/>
      <c r="AC280" s="164"/>
    </row>
    <row r="281" spans="25:29" x14ac:dyDescent="0.2">
      <c r="Y281" s="164"/>
      <c r="Z281" s="164"/>
      <c r="AA281" s="164"/>
      <c r="AC281" s="164"/>
    </row>
    <row r="282" spans="25:29" x14ac:dyDescent="0.2">
      <c r="Y282" s="164"/>
      <c r="Z282" s="164"/>
      <c r="AA282" s="164"/>
      <c r="AC282" s="164"/>
    </row>
    <row r="283" spans="25:29" x14ac:dyDescent="0.2">
      <c r="Y283" s="164"/>
      <c r="Z283" s="164"/>
      <c r="AA283" s="164"/>
      <c r="AC283" s="164"/>
    </row>
    <row r="284" spans="25:29" x14ac:dyDescent="0.2">
      <c r="Y284" s="164"/>
      <c r="Z284" s="164"/>
      <c r="AA284" s="164"/>
      <c r="AC284" s="164"/>
    </row>
    <row r="285" spans="25:29" x14ac:dyDescent="0.2">
      <c r="Y285" s="164"/>
      <c r="Z285" s="164"/>
      <c r="AA285" s="164"/>
      <c r="AC285" s="164"/>
    </row>
    <row r="286" spans="25:29" x14ac:dyDescent="0.2">
      <c r="Y286" s="164"/>
      <c r="Z286" s="164"/>
      <c r="AA286" s="164"/>
      <c r="AC286" s="164"/>
    </row>
    <row r="287" spans="25:29" x14ac:dyDescent="0.2">
      <c r="Y287" s="164"/>
      <c r="Z287" s="164"/>
      <c r="AA287" s="164"/>
      <c r="AC287" s="164"/>
    </row>
    <row r="288" spans="25:29" x14ac:dyDescent="0.2">
      <c r="Y288" s="164"/>
      <c r="Z288" s="164"/>
      <c r="AA288" s="164"/>
      <c r="AC288" s="164"/>
    </row>
    <row r="289" spans="25:29" x14ac:dyDescent="0.2">
      <c r="Y289" s="164"/>
      <c r="Z289" s="164"/>
      <c r="AA289" s="164"/>
      <c r="AC289" s="164"/>
    </row>
    <row r="290" spans="25:29" x14ac:dyDescent="0.2">
      <c r="Y290" s="164"/>
      <c r="Z290" s="164"/>
      <c r="AA290" s="164"/>
      <c r="AC290" s="164"/>
    </row>
    <row r="291" spans="25:29" x14ac:dyDescent="0.2">
      <c r="Y291" s="164"/>
      <c r="Z291" s="164"/>
      <c r="AA291" s="164"/>
      <c r="AC291" s="164"/>
    </row>
    <row r="292" spans="25:29" x14ac:dyDescent="0.2">
      <c r="Y292" s="164"/>
      <c r="Z292" s="164"/>
      <c r="AA292" s="164"/>
      <c r="AC292" s="164"/>
    </row>
    <row r="293" spans="25:29" x14ac:dyDescent="0.2">
      <c r="Y293" s="164"/>
      <c r="Z293" s="164"/>
      <c r="AA293" s="164"/>
      <c r="AC293" s="164"/>
    </row>
    <row r="294" spans="25:29" x14ac:dyDescent="0.2">
      <c r="Y294" s="164"/>
      <c r="Z294" s="164"/>
      <c r="AA294" s="164"/>
      <c r="AC294" s="164"/>
    </row>
    <row r="295" spans="25:29" x14ac:dyDescent="0.2">
      <c r="Y295" s="164"/>
      <c r="Z295" s="164"/>
      <c r="AA295" s="164"/>
      <c r="AC295" s="164"/>
    </row>
    <row r="296" spans="25:29" x14ac:dyDescent="0.2">
      <c r="Y296" s="164"/>
      <c r="Z296" s="164"/>
      <c r="AA296" s="164"/>
      <c r="AC296" s="164"/>
    </row>
    <row r="297" spans="25:29" x14ac:dyDescent="0.2">
      <c r="Y297" s="164"/>
      <c r="Z297" s="164"/>
      <c r="AA297" s="164"/>
      <c r="AC297" s="164"/>
    </row>
    <row r="298" spans="25:29" x14ac:dyDescent="0.2">
      <c r="Y298" s="164"/>
      <c r="Z298" s="164"/>
      <c r="AA298" s="164"/>
      <c r="AC298" s="164"/>
    </row>
    <row r="299" spans="25:29" x14ac:dyDescent="0.2">
      <c r="Y299" s="164"/>
      <c r="Z299" s="164"/>
      <c r="AA299" s="164"/>
      <c r="AC299" s="164"/>
    </row>
    <row r="300" spans="25:29" x14ac:dyDescent="0.2">
      <c r="Y300" s="164"/>
      <c r="Z300" s="164"/>
      <c r="AA300" s="164"/>
      <c r="AC300" s="164"/>
    </row>
    <row r="301" spans="25:29" x14ac:dyDescent="0.2">
      <c r="Y301" s="164"/>
      <c r="Z301" s="164"/>
      <c r="AA301" s="164"/>
      <c r="AC301" s="164"/>
    </row>
    <row r="302" spans="25:29" x14ac:dyDescent="0.2">
      <c r="Y302" s="164"/>
      <c r="Z302" s="164"/>
      <c r="AA302" s="164"/>
      <c r="AC302" s="164"/>
    </row>
    <row r="303" spans="25:29" x14ac:dyDescent="0.2">
      <c r="Y303" s="164"/>
      <c r="Z303" s="164"/>
      <c r="AA303" s="164"/>
      <c r="AC303" s="164"/>
    </row>
    <row r="304" spans="25:29" x14ac:dyDescent="0.2">
      <c r="Y304" s="164"/>
      <c r="Z304" s="164"/>
      <c r="AA304" s="164"/>
      <c r="AC304" s="164"/>
    </row>
    <row r="305" spans="25:29" x14ac:dyDescent="0.2">
      <c r="Y305" s="164"/>
      <c r="Z305" s="164"/>
      <c r="AA305" s="164"/>
      <c r="AC305" s="164"/>
    </row>
    <row r="306" spans="25:29" x14ac:dyDescent="0.2">
      <c r="Y306" s="164"/>
      <c r="Z306" s="164"/>
      <c r="AA306" s="164"/>
      <c r="AC306" s="164"/>
    </row>
    <row r="307" spans="25:29" x14ac:dyDescent="0.2">
      <c r="Y307" s="164"/>
      <c r="Z307" s="164"/>
      <c r="AA307" s="164"/>
      <c r="AC307" s="164"/>
    </row>
    <row r="308" spans="25:29" x14ac:dyDescent="0.2">
      <c r="Y308" s="164"/>
      <c r="Z308" s="164"/>
      <c r="AA308" s="164"/>
      <c r="AC308" s="164"/>
    </row>
    <row r="309" spans="25:29" x14ac:dyDescent="0.2">
      <c r="Y309" s="164"/>
      <c r="Z309" s="164"/>
      <c r="AA309" s="164"/>
      <c r="AC309" s="164"/>
    </row>
    <row r="310" spans="25:29" x14ac:dyDescent="0.2">
      <c r="Y310" s="164"/>
      <c r="Z310" s="164"/>
      <c r="AA310" s="164"/>
      <c r="AC310" s="164"/>
    </row>
    <row r="311" spans="25:29" x14ac:dyDescent="0.2">
      <c r="Y311" s="164"/>
      <c r="Z311" s="164"/>
      <c r="AA311" s="164"/>
      <c r="AC311" s="164"/>
    </row>
    <row r="312" spans="25:29" x14ac:dyDescent="0.2">
      <c r="Y312" s="164"/>
      <c r="Z312" s="164"/>
      <c r="AA312" s="164"/>
      <c r="AC312" s="164"/>
    </row>
    <row r="313" spans="25:29" x14ac:dyDescent="0.2">
      <c r="Y313" s="164"/>
      <c r="Z313" s="164"/>
      <c r="AA313" s="164"/>
      <c r="AC313" s="164"/>
    </row>
    <row r="314" spans="25:29" x14ac:dyDescent="0.2">
      <c r="Y314" s="164"/>
      <c r="Z314" s="164"/>
      <c r="AA314" s="164"/>
      <c r="AC314" s="164"/>
    </row>
    <row r="315" spans="25:29" x14ac:dyDescent="0.2">
      <c r="Y315" s="164"/>
      <c r="Z315" s="164"/>
      <c r="AA315" s="164"/>
      <c r="AC315" s="164"/>
    </row>
    <row r="316" spans="25:29" x14ac:dyDescent="0.2">
      <c r="Y316" s="164"/>
      <c r="Z316" s="164"/>
      <c r="AA316" s="164"/>
      <c r="AC316" s="164"/>
    </row>
    <row r="317" spans="25:29" x14ac:dyDescent="0.2">
      <c r="Y317" s="164"/>
      <c r="Z317" s="164"/>
      <c r="AA317" s="164"/>
      <c r="AC317" s="164"/>
    </row>
    <row r="318" spans="25:29" x14ac:dyDescent="0.2">
      <c r="Y318" s="164"/>
      <c r="Z318" s="164"/>
      <c r="AA318" s="164"/>
      <c r="AC318" s="164"/>
    </row>
    <row r="319" spans="25:29" x14ac:dyDescent="0.2">
      <c r="Y319" s="164"/>
      <c r="Z319" s="164"/>
      <c r="AA319" s="164"/>
      <c r="AC319" s="164"/>
    </row>
    <row r="320" spans="25:29" x14ac:dyDescent="0.2">
      <c r="Y320" s="164"/>
      <c r="Z320" s="164"/>
      <c r="AA320" s="164"/>
      <c r="AC320" s="164"/>
    </row>
    <row r="321" spans="25:29" x14ac:dyDescent="0.2">
      <c r="Y321" s="164"/>
      <c r="Z321" s="164"/>
      <c r="AA321" s="164"/>
      <c r="AC321" s="164"/>
    </row>
    <row r="322" spans="25:29" x14ac:dyDescent="0.2">
      <c r="Y322" s="164"/>
      <c r="Z322" s="164"/>
      <c r="AA322" s="164"/>
      <c r="AC322" s="164"/>
    </row>
    <row r="323" spans="25:29" x14ac:dyDescent="0.2">
      <c r="Y323" s="164"/>
      <c r="Z323" s="164"/>
      <c r="AA323" s="164"/>
      <c r="AC323" s="164"/>
    </row>
    <row r="324" spans="25:29" x14ac:dyDescent="0.2">
      <c r="Y324" s="164"/>
      <c r="Z324" s="164"/>
      <c r="AA324" s="164"/>
      <c r="AC324" s="164"/>
    </row>
    <row r="325" spans="25:29" x14ac:dyDescent="0.2">
      <c r="Y325" s="164"/>
      <c r="Z325" s="164"/>
      <c r="AA325" s="164"/>
      <c r="AC325" s="164"/>
    </row>
    <row r="326" spans="25:29" x14ac:dyDescent="0.2">
      <c r="Y326" s="164"/>
      <c r="Z326" s="164"/>
      <c r="AA326" s="164"/>
      <c r="AC326" s="164"/>
    </row>
    <row r="327" spans="25:29" x14ac:dyDescent="0.2">
      <c r="Y327" s="164"/>
      <c r="Z327" s="164"/>
      <c r="AA327" s="164"/>
      <c r="AC327" s="164"/>
    </row>
    <row r="328" spans="25:29" x14ac:dyDescent="0.2">
      <c r="Y328" s="164"/>
      <c r="Z328" s="164"/>
      <c r="AA328" s="164"/>
      <c r="AC328" s="164"/>
    </row>
    <row r="329" spans="25:29" x14ac:dyDescent="0.2">
      <c r="Y329" s="164"/>
      <c r="Z329" s="164"/>
      <c r="AA329" s="164"/>
      <c r="AC329" s="164"/>
    </row>
    <row r="330" spans="25:29" x14ac:dyDescent="0.2">
      <c r="Y330" s="164"/>
      <c r="Z330" s="164"/>
      <c r="AA330" s="164"/>
      <c r="AC330" s="164"/>
    </row>
    <row r="331" spans="25:29" x14ac:dyDescent="0.2">
      <c r="Y331" s="164"/>
      <c r="Z331" s="164"/>
      <c r="AA331" s="164"/>
      <c r="AC331" s="164"/>
    </row>
    <row r="332" spans="25:29" x14ac:dyDescent="0.2">
      <c r="Y332" s="164"/>
      <c r="Z332" s="164"/>
      <c r="AA332" s="164"/>
      <c r="AC332" s="164"/>
    </row>
    <row r="333" spans="25:29" x14ac:dyDescent="0.2">
      <c r="Y333" s="164"/>
      <c r="Z333" s="164"/>
      <c r="AA333" s="164"/>
      <c r="AC333" s="164"/>
    </row>
    <row r="334" spans="25:29" x14ac:dyDescent="0.2">
      <c r="Y334" s="164"/>
      <c r="Z334" s="164"/>
      <c r="AA334" s="164"/>
      <c r="AC334" s="164"/>
    </row>
    <row r="335" spans="25:29" x14ac:dyDescent="0.2">
      <c r="Y335" s="164"/>
      <c r="Z335" s="164"/>
      <c r="AA335" s="164"/>
      <c r="AC335" s="164"/>
    </row>
    <row r="336" spans="25:29" x14ac:dyDescent="0.2">
      <c r="Y336" s="164"/>
      <c r="Z336" s="164"/>
      <c r="AA336" s="164"/>
      <c r="AC336" s="164"/>
    </row>
    <row r="337" spans="25:29" x14ac:dyDescent="0.2">
      <c r="Y337" s="164"/>
      <c r="Z337" s="164"/>
      <c r="AA337" s="164"/>
      <c r="AC337" s="164"/>
    </row>
    <row r="338" spans="25:29" x14ac:dyDescent="0.2">
      <c r="Y338" s="164"/>
      <c r="Z338" s="164"/>
      <c r="AA338" s="164"/>
      <c r="AC338" s="164"/>
    </row>
    <row r="339" spans="25:29" x14ac:dyDescent="0.2">
      <c r="Y339" s="164"/>
      <c r="Z339" s="164"/>
      <c r="AA339" s="164"/>
      <c r="AC339" s="164"/>
    </row>
    <row r="340" spans="25:29" x14ac:dyDescent="0.2">
      <c r="Y340" s="164"/>
      <c r="Z340" s="164"/>
      <c r="AA340" s="164"/>
      <c r="AC340" s="164"/>
    </row>
    <row r="341" spans="25:29" x14ac:dyDescent="0.2">
      <c r="Y341" s="164"/>
      <c r="Z341" s="164"/>
      <c r="AA341" s="164"/>
    </row>
    <row r="342" spans="25:29" x14ac:dyDescent="0.2">
      <c r="Y342" s="164"/>
      <c r="Z342" s="164"/>
      <c r="AA342" s="164"/>
    </row>
    <row r="343" spans="25:29" x14ac:dyDescent="0.2">
      <c r="Y343" s="164"/>
      <c r="Z343" s="164"/>
      <c r="AA343" s="164"/>
    </row>
    <row r="344" spans="25:29" x14ac:dyDescent="0.2">
      <c r="Y344" s="164"/>
      <c r="Z344" s="164"/>
      <c r="AA344" s="164"/>
    </row>
    <row r="345" spans="25:29" x14ac:dyDescent="0.2">
      <c r="Y345" s="164"/>
      <c r="Z345" s="164"/>
      <c r="AA345" s="164"/>
    </row>
    <row r="346" spans="25:29" x14ac:dyDescent="0.2">
      <c r="Y346" s="164"/>
      <c r="Z346" s="164"/>
      <c r="AA346" s="164"/>
    </row>
    <row r="347" spans="25:29" x14ac:dyDescent="0.2">
      <c r="Y347" s="164"/>
      <c r="Z347" s="164"/>
      <c r="AA347" s="164"/>
    </row>
    <row r="348" spans="25:29" x14ac:dyDescent="0.2">
      <c r="Y348" s="164"/>
      <c r="Z348" s="164"/>
      <c r="AA348" s="164"/>
    </row>
    <row r="349" spans="25:29" x14ac:dyDescent="0.2">
      <c r="Y349" s="164"/>
      <c r="Z349" s="164"/>
      <c r="AA349" s="164"/>
      <c r="AC349" s="164"/>
    </row>
    <row r="350" spans="25:29" x14ac:dyDescent="0.2">
      <c r="Y350" s="164"/>
      <c r="Z350" s="164"/>
      <c r="AA350" s="164"/>
      <c r="AC350" s="164"/>
    </row>
    <row r="351" spans="25:29" x14ac:dyDescent="0.2">
      <c r="Y351" s="164"/>
      <c r="Z351" s="164"/>
      <c r="AA351" s="164"/>
      <c r="AC351" s="164"/>
    </row>
    <row r="352" spans="25:29" x14ac:dyDescent="0.2">
      <c r="Y352" s="164"/>
      <c r="Z352" s="164"/>
      <c r="AA352" s="164"/>
      <c r="AC352" s="164"/>
    </row>
    <row r="353" spans="25:29" x14ac:dyDescent="0.2">
      <c r="Y353" s="164"/>
      <c r="Z353" s="164"/>
      <c r="AA353" s="164"/>
      <c r="AC353" s="164"/>
    </row>
    <row r="354" spans="25:29" x14ac:dyDescent="0.2">
      <c r="Y354" s="164"/>
      <c r="Z354" s="164"/>
      <c r="AA354" s="164"/>
      <c r="AC354" s="164"/>
    </row>
    <row r="355" spans="25:29" x14ac:dyDescent="0.2">
      <c r="Y355" s="164"/>
      <c r="Z355" s="164"/>
      <c r="AA355" s="164"/>
      <c r="AC355" s="164"/>
    </row>
    <row r="356" spans="25:29" x14ac:dyDescent="0.2">
      <c r="Y356" s="164"/>
      <c r="Z356" s="164"/>
      <c r="AA356" s="164"/>
      <c r="AC356" s="164"/>
    </row>
    <row r="357" spans="25:29" x14ac:dyDescent="0.2">
      <c r="Y357" s="164"/>
      <c r="Z357" s="164"/>
      <c r="AA357" s="164"/>
      <c r="AC357" s="164"/>
    </row>
    <row r="358" spans="25:29" x14ac:dyDescent="0.2">
      <c r="Y358" s="164"/>
      <c r="Z358" s="164"/>
      <c r="AA358" s="164"/>
      <c r="AC358" s="164"/>
    </row>
    <row r="359" spans="25:29" x14ac:dyDescent="0.2">
      <c r="Y359" s="164"/>
      <c r="Z359" s="164"/>
      <c r="AA359" s="164"/>
      <c r="AC359" s="164"/>
    </row>
    <row r="360" spans="25:29" x14ac:dyDescent="0.2">
      <c r="Y360" s="164"/>
      <c r="Z360" s="164"/>
      <c r="AA360" s="164"/>
      <c r="AC360" s="164"/>
    </row>
    <row r="361" spans="25:29" x14ac:dyDescent="0.2">
      <c r="Y361" s="164"/>
      <c r="Z361" s="164"/>
      <c r="AA361" s="164"/>
      <c r="AC361" s="164"/>
    </row>
    <row r="362" spans="25:29" x14ac:dyDescent="0.2">
      <c r="Y362" s="164"/>
      <c r="Z362" s="164"/>
      <c r="AA362" s="164"/>
      <c r="AC362" s="164"/>
    </row>
    <row r="363" spans="25:29" x14ac:dyDescent="0.2">
      <c r="Y363" s="164"/>
      <c r="Z363" s="164"/>
      <c r="AA363" s="164"/>
      <c r="AC363" s="164"/>
    </row>
    <row r="364" spans="25:29" x14ac:dyDescent="0.2">
      <c r="Y364" s="164"/>
      <c r="Z364" s="164"/>
      <c r="AA364" s="164"/>
      <c r="AC364" s="164"/>
    </row>
    <row r="365" spans="25:29" x14ac:dyDescent="0.2">
      <c r="Y365" s="164"/>
      <c r="Z365" s="164"/>
      <c r="AA365" s="164"/>
      <c r="AC365" s="164"/>
    </row>
    <row r="366" spans="25:29" x14ac:dyDescent="0.2">
      <c r="Y366" s="164"/>
      <c r="Z366" s="164"/>
      <c r="AA366" s="164"/>
      <c r="AC366" s="164"/>
    </row>
    <row r="367" spans="25:29" x14ac:dyDescent="0.2">
      <c r="Y367" s="164"/>
      <c r="Z367" s="164"/>
      <c r="AA367" s="164"/>
      <c r="AC367" s="164"/>
    </row>
    <row r="368" spans="25:29" x14ac:dyDescent="0.2">
      <c r="Y368" s="164"/>
      <c r="Z368" s="164"/>
      <c r="AA368" s="164"/>
      <c r="AC368" s="164"/>
    </row>
    <row r="369" spans="25:29" x14ac:dyDescent="0.2">
      <c r="Y369" s="164"/>
      <c r="Z369" s="164"/>
      <c r="AA369" s="164"/>
      <c r="AC369" s="164"/>
    </row>
    <row r="370" spans="25:29" x14ac:dyDescent="0.2">
      <c r="Y370" s="164"/>
      <c r="Z370" s="164"/>
      <c r="AA370" s="164"/>
      <c r="AC370" s="164"/>
    </row>
    <row r="371" spans="25:29" x14ac:dyDescent="0.2">
      <c r="Y371" s="164"/>
      <c r="Z371" s="164"/>
      <c r="AA371" s="164"/>
      <c r="AC371" s="164"/>
    </row>
    <row r="372" spans="25:29" x14ac:dyDescent="0.2">
      <c r="Y372" s="164"/>
      <c r="Z372" s="164"/>
      <c r="AA372" s="164"/>
      <c r="AC372" s="164"/>
    </row>
    <row r="373" spans="25:29" x14ac:dyDescent="0.2">
      <c r="Y373" s="164"/>
      <c r="Z373" s="164"/>
      <c r="AA373" s="164"/>
      <c r="AC373" s="164"/>
    </row>
    <row r="374" spans="25:29" x14ac:dyDescent="0.2">
      <c r="Y374" s="164"/>
      <c r="Z374" s="164"/>
      <c r="AA374" s="164"/>
      <c r="AC374" s="164"/>
    </row>
    <row r="375" spans="25:29" x14ac:dyDescent="0.2">
      <c r="Y375" s="164"/>
      <c r="Z375" s="164"/>
      <c r="AA375" s="164"/>
      <c r="AC375" s="164"/>
    </row>
    <row r="376" spans="25:29" x14ac:dyDescent="0.2">
      <c r="Y376" s="164"/>
      <c r="Z376" s="164"/>
      <c r="AA376" s="164"/>
      <c r="AC376" s="164"/>
    </row>
    <row r="377" spans="25:29" x14ac:dyDescent="0.2">
      <c r="Y377" s="164"/>
      <c r="Z377" s="164"/>
      <c r="AA377" s="164"/>
      <c r="AC377" s="164"/>
    </row>
    <row r="378" spans="25:29" x14ac:dyDescent="0.2">
      <c r="Y378" s="164"/>
      <c r="Z378" s="164"/>
      <c r="AA378" s="164"/>
      <c r="AC378" s="164"/>
    </row>
    <row r="379" spans="25:29" x14ac:dyDescent="0.2">
      <c r="Y379" s="164"/>
      <c r="Z379" s="164"/>
      <c r="AA379" s="164"/>
      <c r="AC379" s="164"/>
    </row>
    <row r="380" spans="25:29" x14ac:dyDescent="0.2">
      <c r="Y380" s="164"/>
      <c r="Z380" s="164"/>
      <c r="AA380" s="164"/>
      <c r="AC380" s="164"/>
    </row>
    <row r="381" spans="25:29" x14ac:dyDescent="0.2">
      <c r="Y381" s="164"/>
      <c r="Z381" s="164"/>
      <c r="AA381" s="164"/>
      <c r="AC381" s="164"/>
    </row>
    <row r="382" spans="25:29" x14ac:dyDescent="0.2">
      <c r="Y382" s="164"/>
      <c r="Z382" s="164"/>
      <c r="AA382" s="164"/>
      <c r="AC382" s="164"/>
    </row>
    <row r="383" spans="25:29" x14ac:dyDescent="0.2">
      <c r="Y383" s="164"/>
      <c r="Z383" s="164"/>
      <c r="AA383" s="164"/>
      <c r="AC383" s="164"/>
    </row>
    <row r="384" spans="25:29" x14ac:dyDescent="0.2">
      <c r="Y384" s="164"/>
      <c r="Z384" s="164"/>
      <c r="AA384" s="164"/>
      <c r="AC384" s="164"/>
    </row>
    <row r="385" spans="25:29" x14ac:dyDescent="0.2">
      <c r="Y385" s="164"/>
      <c r="Z385" s="164"/>
      <c r="AA385" s="164"/>
      <c r="AC385" s="164"/>
    </row>
    <row r="386" spans="25:29" x14ac:dyDescent="0.2">
      <c r="Y386" s="164"/>
      <c r="Z386" s="164"/>
      <c r="AA386" s="164"/>
      <c r="AC386" s="164"/>
    </row>
    <row r="387" spans="25:29" x14ac:dyDescent="0.2">
      <c r="Y387" s="164"/>
      <c r="Z387" s="164"/>
      <c r="AA387" s="164"/>
      <c r="AC387" s="164"/>
    </row>
    <row r="388" spans="25:29" x14ac:dyDescent="0.2">
      <c r="Y388" s="164"/>
      <c r="Z388" s="164"/>
      <c r="AA388" s="164"/>
      <c r="AC388" s="164"/>
    </row>
    <row r="389" spans="25:29" x14ac:dyDescent="0.2">
      <c r="Y389" s="164"/>
      <c r="Z389" s="164"/>
      <c r="AA389" s="164"/>
      <c r="AC389" s="164"/>
    </row>
    <row r="390" spans="25:29" x14ac:dyDescent="0.2">
      <c r="Y390" s="164"/>
      <c r="Z390" s="164"/>
      <c r="AA390" s="164"/>
      <c r="AC390" s="164"/>
    </row>
    <row r="391" spans="25:29" x14ac:dyDescent="0.2">
      <c r="Y391" s="164"/>
      <c r="Z391" s="164"/>
      <c r="AA391" s="164"/>
      <c r="AC391" s="164"/>
    </row>
    <row r="392" spans="25:29" x14ac:dyDescent="0.2">
      <c r="Y392" s="164"/>
      <c r="Z392" s="164"/>
      <c r="AA392" s="164"/>
      <c r="AC392" s="164"/>
    </row>
    <row r="393" spans="25:29" x14ac:dyDescent="0.2">
      <c r="Y393" s="164"/>
      <c r="Z393" s="164"/>
      <c r="AA393" s="164"/>
      <c r="AC393" s="164"/>
    </row>
    <row r="394" spans="25:29" x14ac:dyDescent="0.2">
      <c r="Y394" s="164"/>
      <c r="Z394" s="164"/>
      <c r="AA394" s="164"/>
      <c r="AC394" s="164"/>
    </row>
    <row r="395" spans="25:29" x14ac:dyDescent="0.2">
      <c r="Y395" s="164"/>
      <c r="Z395" s="164"/>
      <c r="AA395" s="164"/>
      <c r="AC395" s="164"/>
    </row>
    <row r="396" spans="25:29" x14ac:dyDescent="0.2">
      <c r="Y396" s="164"/>
      <c r="Z396" s="164"/>
      <c r="AA396" s="164"/>
      <c r="AC396" s="164"/>
    </row>
    <row r="397" spans="25:29" x14ac:dyDescent="0.2">
      <c r="Y397" s="164"/>
      <c r="Z397" s="164"/>
      <c r="AA397" s="164"/>
      <c r="AC397" s="164"/>
    </row>
    <row r="398" spans="25:29" x14ac:dyDescent="0.2">
      <c r="Y398" s="164"/>
      <c r="Z398" s="164"/>
      <c r="AA398" s="164"/>
      <c r="AC398" s="164"/>
    </row>
    <row r="399" spans="25:29" x14ac:dyDescent="0.2">
      <c r="Y399" s="164"/>
      <c r="Z399" s="164"/>
      <c r="AA399" s="164"/>
      <c r="AC399" s="164"/>
    </row>
    <row r="400" spans="25:29" x14ac:dyDescent="0.2">
      <c r="Y400" s="164"/>
      <c r="Z400" s="164"/>
      <c r="AA400" s="164"/>
      <c r="AC400" s="164"/>
    </row>
    <row r="401" spans="25:29" x14ac:dyDescent="0.2">
      <c r="Y401" s="164"/>
      <c r="Z401" s="164"/>
      <c r="AA401" s="164"/>
      <c r="AC401" s="164"/>
    </row>
    <row r="402" spans="25:29" x14ac:dyDescent="0.2">
      <c r="Y402" s="164"/>
      <c r="Z402" s="164"/>
      <c r="AA402" s="164"/>
      <c r="AC402" s="164"/>
    </row>
    <row r="403" spans="25:29" x14ac:dyDescent="0.2">
      <c r="Y403" s="164"/>
      <c r="Z403" s="164"/>
      <c r="AA403" s="164"/>
      <c r="AC403" s="164"/>
    </row>
    <row r="404" spans="25:29" x14ac:dyDescent="0.2">
      <c r="Y404" s="164"/>
      <c r="Z404" s="164"/>
      <c r="AA404" s="164"/>
      <c r="AC404" s="164"/>
    </row>
    <row r="405" spans="25:29" x14ac:dyDescent="0.2">
      <c r="Y405" s="164"/>
      <c r="Z405" s="164"/>
      <c r="AA405" s="164"/>
      <c r="AC405" s="164"/>
    </row>
    <row r="406" spans="25:29" x14ac:dyDescent="0.2">
      <c r="Y406" s="164"/>
      <c r="Z406" s="164"/>
      <c r="AA406" s="164"/>
      <c r="AC406" s="164"/>
    </row>
    <row r="407" spans="25:29" x14ac:dyDescent="0.2">
      <c r="Y407" s="164"/>
      <c r="Z407" s="164"/>
      <c r="AA407" s="164"/>
      <c r="AC407" s="164"/>
    </row>
    <row r="408" spans="25:29" x14ac:dyDescent="0.2">
      <c r="Y408" s="164"/>
      <c r="Z408" s="164"/>
      <c r="AA408" s="164"/>
      <c r="AC408" s="164"/>
    </row>
    <row r="409" spans="25:29" x14ac:dyDescent="0.2">
      <c r="Y409" s="164"/>
      <c r="Z409" s="164"/>
      <c r="AA409" s="164"/>
      <c r="AC409" s="164"/>
    </row>
    <row r="410" spans="25:29" x14ac:dyDescent="0.2">
      <c r="Y410" s="164"/>
      <c r="Z410" s="164"/>
      <c r="AA410" s="164"/>
      <c r="AC410" s="164"/>
    </row>
    <row r="411" spans="25:29" x14ac:dyDescent="0.2">
      <c r="Y411" s="164"/>
      <c r="Z411" s="164"/>
      <c r="AA411" s="164"/>
      <c r="AC411" s="164"/>
    </row>
    <row r="412" spans="25:29" x14ac:dyDescent="0.2">
      <c r="Y412" s="164"/>
      <c r="Z412" s="164"/>
      <c r="AA412" s="164"/>
      <c r="AC412" s="164"/>
    </row>
    <row r="413" spans="25:29" x14ac:dyDescent="0.2">
      <c r="Y413" s="164"/>
      <c r="Z413" s="164"/>
      <c r="AA413" s="164"/>
      <c r="AC413" s="164"/>
    </row>
    <row r="414" spans="25:29" x14ac:dyDescent="0.2">
      <c r="Y414" s="164"/>
      <c r="Z414" s="164"/>
      <c r="AA414" s="164"/>
      <c r="AC414" s="164"/>
    </row>
    <row r="415" spans="25:29" x14ac:dyDescent="0.2">
      <c r="Y415" s="164"/>
      <c r="Z415" s="164"/>
      <c r="AA415" s="164"/>
      <c r="AC415" s="164"/>
    </row>
    <row r="416" spans="25:29" x14ac:dyDescent="0.2">
      <c r="Y416" s="164"/>
      <c r="Z416" s="164"/>
      <c r="AA416" s="164"/>
      <c r="AC416" s="164"/>
    </row>
    <row r="417" spans="25:29" x14ac:dyDescent="0.2">
      <c r="Y417" s="164"/>
      <c r="Z417" s="164"/>
      <c r="AA417" s="164"/>
    </row>
    <row r="418" spans="25:29" x14ac:dyDescent="0.2">
      <c r="Y418" s="164"/>
      <c r="Z418" s="164"/>
      <c r="AA418" s="164"/>
      <c r="AC418" s="164"/>
    </row>
    <row r="419" spans="25:29" x14ac:dyDescent="0.2">
      <c r="Y419" s="164"/>
      <c r="Z419" s="164"/>
      <c r="AA419" s="164"/>
      <c r="AC419" s="164"/>
    </row>
    <row r="420" spans="25:29" x14ac:dyDescent="0.2">
      <c r="Y420" s="164"/>
      <c r="Z420" s="164"/>
      <c r="AA420" s="164"/>
      <c r="AC420" s="164"/>
    </row>
    <row r="421" spans="25:29" x14ac:dyDescent="0.2">
      <c r="Y421" s="164"/>
      <c r="Z421" s="164"/>
      <c r="AA421" s="164"/>
    </row>
    <row r="422" spans="25:29" x14ac:dyDescent="0.2">
      <c r="Y422" s="164"/>
      <c r="Z422" s="164"/>
      <c r="AA422" s="164"/>
    </row>
    <row r="423" spans="25:29" x14ac:dyDescent="0.2">
      <c r="Y423" s="164"/>
      <c r="Z423" s="164"/>
      <c r="AA423" s="164"/>
    </row>
    <row r="424" spans="25:29" x14ac:dyDescent="0.2">
      <c r="Y424" s="164"/>
      <c r="Z424" s="164"/>
      <c r="AA424" s="164"/>
      <c r="AC424" s="164"/>
    </row>
    <row r="425" spans="25:29" x14ac:dyDescent="0.2">
      <c r="Y425" s="164"/>
      <c r="Z425" s="164"/>
      <c r="AA425" s="164"/>
    </row>
    <row r="426" spans="25:29" x14ac:dyDescent="0.2">
      <c r="Y426" s="164"/>
      <c r="Z426" s="164"/>
      <c r="AA426" s="164"/>
      <c r="AC426" s="164"/>
    </row>
    <row r="427" spans="25:29" x14ac:dyDescent="0.2">
      <c r="Y427" s="164"/>
      <c r="Z427" s="164"/>
      <c r="AA427" s="164"/>
      <c r="AC427" s="164"/>
    </row>
    <row r="428" spans="25:29" x14ac:dyDescent="0.2">
      <c r="Y428" s="164"/>
      <c r="Z428" s="164"/>
      <c r="AA428" s="164"/>
      <c r="AC428" s="164"/>
    </row>
    <row r="429" spans="25:29" x14ac:dyDescent="0.2">
      <c r="Y429" s="164"/>
      <c r="Z429" s="164"/>
      <c r="AA429" s="164"/>
      <c r="AC429" s="164"/>
    </row>
    <row r="430" spans="25:29" x14ac:dyDescent="0.2">
      <c r="Y430" s="164"/>
      <c r="Z430" s="164"/>
      <c r="AA430" s="164"/>
      <c r="AC430" s="164"/>
    </row>
    <row r="431" spans="25:29" x14ac:dyDescent="0.2">
      <c r="Y431" s="164"/>
      <c r="Z431" s="164"/>
      <c r="AA431" s="164"/>
      <c r="AC431" s="164"/>
    </row>
    <row r="432" spans="25:29" x14ac:dyDescent="0.2">
      <c r="Y432" s="164"/>
      <c r="Z432" s="164"/>
      <c r="AA432" s="164"/>
      <c r="AC432" s="164"/>
    </row>
    <row r="433" spans="25:29" x14ac:dyDescent="0.2">
      <c r="Y433" s="164"/>
      <c r="Z433" s="164"/>
      <c r="AA433" s="164"/>
      <c r="AC433" s="164"/>
    </row>
    <row r="434" spans="25:29" x14ac:dyDescent="0.2">
      <c r="Y434" s="164"/>
      <c r="Z434" s="164"/>
      <c r="AA434" s="164"/>
      <c r="AC434" s="164"/>
    </row>
    <row r="435" spans="25:29" x14ac:dyDescent="0.2">
      <c r="Y435" s="164"/>
      <c r="Z435" s="164"/>
      <c r="AA435" s="164"/>
      <c r="AC435" s="164"/>
    </row>
    <row r="436" spans="25:29" x14ac:dyDescent="0.2">
      <c r="Y436" s="164"/>
      <c r="Z436" s="164"/>
      <c r="AA436" s="164"/>
      <c r="AC436" s="164"/>
    </row>
    <row r="437" spans="25:29" x14ac:dyDescent="0.2">
      <c r="Y437" s="164"/>
      <c r="Z437" s="164"/>
      <c r="AA437" s="164"/>
      <c r="AC437" s="164"/>
    </row>
    <row r="438" spans="25:29" x14ac:dyDescent="0.2">
      <c r="Y438" s="164"/>
      <c r="Z438" s="164"/>
      <c r="AA438" s="164"/>
      <c r="AC438" s="164"/>
    </row>
    <row r="439" spans="25:29" x14ac:dyDescent="0.2">
      <c r="Y439" s="164"/>
      <c r="Z439" s="164"/>
      <c r="AA439" s="164"/>
      <c r="AC439" s="164"/>
    </row>
    <row r="440" spans="25:29" x14ac:dyDescent="0.2">
      <c r="Y440" s="164"/>
      <c r="Z440" s="164"/>
      <c r="AA440" s="164"/>
      <c r="AC440" s="164"/>
    </row>
    <row r="441" spans="25:29" x14ac:dyDescent="0.2">
      <c r="Y441" s="164"/>
      <c r="Z441" s="164"/>
      <c r="AA441" s="164"/>
      <c r="AC441" s="164"/>
    </row>
    <row r="442" spans="25:29" x14ac:dyDescent="0.2">
      <c r="Y442" s="164"/>
      <c r="Z442" s="164"/>
      <c r="AA442" s="164"/>
      <c r="AC442" s="164"/>
    </row>
    <row r="443" spans="25:29" x14ac:dyDescent="0.2">
      <c r="Y443" s="164"/>
      <c r="Z443" s="164"/>
      <c r="AA443" s="164"/>
      <c r="AC443" s="164"/>
    </row>
    <row r="444" spans="25:29" x14ac:dyDescent="0.2">
      <c r="Y444" s="164"/>
      <c r="Z444" s="164"/>
      <c r="AA444" s="164"/>
      <c r="AC444" s="164"/>
    </row>
    <row r="445" spans="25:29" x14ac:dyDescent="0.2">
      <c r="Y445" s="164"/>
      <c r="Z445" s="164"/>
      <c r="AA445" s="164"/>
      <c r="AC445" s="164"/>
    </row>
    <row r="446" spans="25:29" x14ac:dyDescent="0.2">
      <c r="Y446" s="164"/>
      <c r="Z446" s="164"/>
      <c r="AA446" s="164"/>
      <c r="AC446" s="164"/>
    </row>
    <row r="447" spans="25:29" x14ac:dyDescent="0.2">
      <c r="Y447" s="164"/>
      <c r="Z447" s="164"/>
      <c r="AA447" s="164"/>
      <c r="AC447" s="164"/>
    </row>
    <row r="448" spans="25:29" x14ac:dyDescent="0.2">
      <c r="Y448" s="164"/>
      <c r="Z448" s="164"/>
      <c r="AA448" s="164"/>
      <c r="AC448" s="164"/>
    </row>
    <row r="449" spans="25:29" x14ac:dyDescent="0.2">
      <c r="Y449" s="164"/>
      <c r="Z449" s="164"/>
      <c r="AA449" s="164"/>
      <c r="AC449" s="164"/>
    </row>
    <row r="450" spans="25:29" x14ac:dyDescent="0.2">
      <c r="Y450" s="164"/>
      <c r="Z450" s="164"/>
      <c r="AA450" s="164"/>
      <c r="AC450" s="164"/>
    </row>
    <row r="451" spans="25:29" x14ac:dyDescent="0.2">
      <c r="Y451" s="164"/>
      <c r="Z451" s="164"/>
      <c r="AA451" s="164"/>
      <c r="AC451" s="164"/>
    </row>
    <row r="452" spans="25:29" x14ac:dyDescent="0.2">
      <c r="Y452" s="164"/>
      <c r="Z452" s="164"/>
      <c r="AA452" s="164"/>
      <c r="AC452" s="164"/>
    </row>
    <row r="453" spans="25:29" x14ac:dyDescent="0.2">
      <c r="Y453" s="164"/>
      <c r="Z453" s="164"/>
      <c r="AA453" s="164"/>
      <c r="AC453" s="164"/>
    </row>
    <row r="454" spans="25:29" x14ac:dyDescent="0.2">
      <c r="Y454" s="164"/>
      <c r="Z454" s="164"/>
      <c r="AA454" s="164"/>
      <c r="AC454" s="164"/>
    </row>
    <row r="455" spans="25:29" x14ac:dyDescent="0.2">
      <c r="Y455" s="164"/>
      <c r="Z455" s="164"/>
      <c r="AA455" s="164"/>
      <c r="AC455" s="164"/>
    </row>
    <row r="456" spans="25:29" x14ac:dyDescent="0.2">
      <c r="Y456" s="164"/>
      <c r="Z456" s="164"/>
      <c r="AA456" s="164"/>
      <c r="AC456" s="164"/>
    </row>
    <row r="457" spans="25:29" x14ac:dyDescent="0.2">
      <c r="Y457" s="164"/>
      <c r="Z457" s="164"/>
      <c r="AA457" s="164"/>
      <c r="AC457" s="164"/>
    </row>
    <row r="458" spans="25:29" x14ac:dyDescent="0.2">
      <c r="Y458" s="164"/>
      <c r="Z458" s="164"/>
      <c r="AA458" s="164"/>
      <c r="AC458" s="164"/>
    </row>
    <row r="459" spans="25:29" x14ac:dyDescent="0.2">
      <c r="Y459" s="164"/>
      <c r="Z459" s="164"/>
      <c r="AA459" s="164"/>
      <c r="AC459" s="164"/>
    </row>
    <row r="460" spans="25:29" x14ac:dyDescent="0.2">
      <c r="Y460" s="164"/>
      <c r="Z460" s="164"/>
      <c r="AA460" s="164"/>
      <c r="AC460" s="164"/>
    </row>
    <row r="461" spans="25:29" x14ac:dyDescent="0.2">
      <c r="Y461" s="164"/>
      <c r="Z461" s="164"/>
      <c r="AA461" s="164"/>
      <c r="AC461" s="164"/>
    </row>
    <row r="462" spans="25:29" x14ac:dyDescent="0.2">
      <c r="Y462" s="164"/>
      <c r="Z462" s="164"/>
      <c r="AA462" s="164"/>
      <c r="AC462" s="164"/>
    </row>
    <row r="463" spans="25:29" x14ac:dyDescent="0.2">
      <c r="Y463" s="164"/>
      <c r="Z463" s="164"/>
      <c r="AA463" s="164"/>
      <c r="AC463" s="164"/>
    </row>
    <row r="464" spans="25:29" x14ac:dyDescent="0.2">
      <c r="Y464" s="164"/>
      <c r="Z464" s="164"/>
      <c r="AA464" s="164"/>
      <c r="AC464" s="164"/>
    </row>
    <row r="465" spans="25:29" x14ac:dyDescent="0.2">
      <c r="Y465" s="164"/>
      <c r="Z465" s="164"/>
      <c r="AA465" s="164"/>
      <c r="AC465" s="164"/>
    </row>
    <row r="466" spans="25:29" x14ac:dyDescent="0.2">
      <c r="Y466" s="164"/>
      <c r="Z466" s="164"/>
      <c r="AA466" s="164"/>
      <c r="AC466" s="164"/>
    </row>
    <row r="467" spans="25:29" x14ac:dyDescent="0.2">
      <c r="Y467" s="164"/>
      <c r="Z467" s="164"/>
      <c r="AA467" s="164"/>
      <c r="AC467" s="164"/>
    </row>
    <row r="468" spans="25:29" x14ac:dyDescent="0.2">
      <c r="Y468" s="164"/>
      <c r="Z468" s="164"/>
      <c r="AA468" s="164"/>
      <c r="AC468" s="164"/>
    </row>
    <row r="469" spans="25:29" x14ac:dyDescent="0.2">
      <c r="Y469" s="164"/>
      <c r="Z469" s="164"/>
      <c r="AA469" s="164"/>
      <c r="AC469" s="164"/>
    </row>
    <row r="470" spans="25:29" x14ac:dyDescent="0.2">
      <c r="Y470" s="164"/>
      <c r="Z470" s="164"/>
      <c r="AA470" s="164"/>
      <c r="AC470" s="164"/>
    </row>
    <row r="471" spans="25:29" x14ac:dyDescent="0.2">
      <c r="Y471" s="164"/>
      <c r="Z471" s="164"/>
      <c r="AA471" s="164"/>
      <c r="AC471" s="164"/>
    </row>
    <row r="472" spans="25:29" x14ac:dyDescent="0.2">
      <c r="Y472" s="164"/>
      <c r="Z472" s="164"/>
      <c r="AA472" s="164"/>
      <c r="AC472" s="164"/>
    </row>
    <row r="473" spans="25:29" x14ac:dyDescent="0.2">
      <c r="Y473" s="164"/>
      <c r="Z473" s="164"/>
      <c r="AA473" s="164"/>
      <c r="AC473" s="164"/>
    </row>
    <row r="474" spans="25:29" x14ac:dyDescent="0.2">
      <c r="Y474" s="164"/>
      <c r="Z474" s="164"/>
      <c r="AA474" s="164"/>
      <c r="AC474" s="164"/>
    </row>
    <row r="475" spans="25:29" x14ac:dyDescent="0.2">
      <c r="Y475" s="164"/>
      <c r="Z475" s="164"/>
      <c r="AA475" s="164"/>
      <c r="AC475" s="164"/>
    </row>
    <row r="476" spans="25:29" x14ac:dyDescent="0.2">
      <c r="Y476" s="164"/>
      <c r="Z476" s="164"/>
      <c r="AA476" s="164"/>
      <c r="AC476" s="164"/>
    </row>
    <row r="477" spans="25:29" x14ac:dyDescent="0.2">
      <c r="Y477" s="164"/>
      <c r="Z477" s="164"/>
      <c r="AA477" s="164"/>
    </row>
    <row r="478" spans="25:29" x14ac:dyDescent="0.2">
      <c r="Y478" s="164"/>
      <c r="Z478" s="164"/>
      <c r="AA478" s="164"/>
      <c r="AC478" s="164"/>
    </row>
    <row r="479" spans="25:29" x14ac:dyDescent="0.2">
      <c r="Y479" s="164"/>
      <c r="Z479" s="164"/>
      <c r="AA479" s="164"/>
      <c r="AC479" s="164"/>
    </row>
    <row r="480" spans="25:29" x14ac:dyDescent="0.2">
      <c r="Y480" s="164"/>
      <c r="Z480" s="164"/>
      <c r="AA480" s="164"/>
    </row>
    <row r="481" spans="25:50" x14ac:dyDescent="0.2">
      <c r="Y481" s="164"/>
      <c r="Z481" s="164"/>
      <c r="AA481" s="164"/>
      <c r="AC481" s="164"/>
    </row>
    <row r="482" spans="25:50" x14ac:dyDescent="0.2">
      <c r="Y482" s="164"/>
      <c r="Z482" s="164"/>
      <c r="AA482" s="164"/>
      <c r="AC482" s="164"/>
    </row>
    <row r="483" spans="25:50" x14ac:dyDescent="0.2">
      <c r="Y483" s="164"/>
      <c r="Z483" s="164"/>
      <c r="AA483" s="164"/>
      <c r="AC483" s="164"/>
    </row>
    <row r="484" spans="25:50" x14ac:dyDescent="0.2">
      <c r="Y484" s="164"/>
      <c r="Z484" s="164"/>
      <c r="AA484" s="164"/>
      <c r="AC484" s="164"/>
    </row>
    <row r="485" spans="25:50" x14ac:dyDescent="0.2">
      <c r="Y485" s="164"/>
      <c r="Z485" s="164"/>
      <c r="AA485" s="164"/>
      <c r="AC485" s="164"/>
    </row>
    <row r="486" spans="25:50" x14ac:dyDescent="0.2">
      <c r="Y486" s="164"/>
      <c r="Z486" s="164"/>
      <c r="AA486" s="164"/>
      <c r="AC486" s="164"/>
    </row>
    <row r="487" spans="25:50" x14ac:dyDescent="0.2">
      <c r="Y487" s="164"/>
      <c r="Z487" s="164"/>
      <c r="AA487" s="164"/>
      <c r="AC487" s="164"/>
    </row>
    <row r="488" spans="25:50" x14ac:dyDescent="0.2">
      <c r="Y488" s="164"/>
      <c r="Z488" s="164"/>
      <c r="AA488" s="164"/>
      <c r="AC488" s="164"/>
    </row>
    <row r="489" spans="25:50" x14ac:dyDescent="0.2">
      <c r="Y489" s="164"/>
      <c r="Z489" s="164"/>
      <c r="AA489" s="164"/>
      <c r="AC489" s="164"/>
    </row>
    <row r="490" spans="25:50" x14ac:dyDescent="0.2">
      <c r="Y490" s="164"/>
      <c r="Z490" s="164"/>
      <c r="AA490" s="164"/>
      <c r="AC490" s="164"/>
    </row>
    <row r="491" spans="25:50" x14ac:dyDescent="0.2">
      <c r="Y491" s="164"/>
      <c r="Z491" s="164"/>
      <c r="AA491" s="164"/>
      <c r="AC491" s="164"/>
    </row>
    <row r="492" spans="25:50" x14ac:dyDescent="0.2">
      <c r="Y492" s="164"/>
      <c r="Z492" s="164"/>
      <c r="AA492" s="164"/>
      <c r="AC492" s="164"/>
    </row>
    <row r="493" spans="25:50" x14ac:dyDescent="0.2">
      <c r="Y493" s="164"/>
      <c r="Z493" s="164"/>
      <c r="AA493" s="164"/>
      <c r="AC493" s="164"/>
    </row>
    <row r="494" spans="25:50" x14ac:dyDescent="0.2">
      <c r="Y494" s="164"/>
      <c r="Z494" s="164"/>
      <c r="AA494" s="164"/>
      <c r="AC494" s="164"/>
    </row>
    <row r="495" spans="25:50" x14ac:dyDescent="0.2">
      <c r="Y495" s="164"/>
      <c r="Z495" s="164"/>
      <c r="AA495" s="164"/>
      <c r="AC495" s="164"/>
    </row>
    <row r="496" spans="25:50" x14ac:dyDescent="0.2">
      <c r="Y496" s="164"/>
      <c r="Z496" s="164"/>
      <c r="AA496" s="164"/>
      <c r="AC496" s="164"/>
      <c r="AR496" s="162" t="s">
        <v>182</v>
      </c>
      <c r="AS496" s="162">
        <v>875</v>
      </c>
      <c r="AT496" s="162" t="s">
        <v>138</v>
      </c>
      <c r="AV496" s="162" t="s">
        <v>129</v>
      </c>
      <c r="AW496" s="162">
        <v>6703.88</v>
      </c>
      <c r="AX496" s="162">
        <v>6703.88</v>
      </c>
    </row>
    <row r="497" spans="25:50" x14ac:dyDescent="0.2">
      <c r="Y497" s="164"/>
      <c r="Z497" s="164"/>
      <c r="AA497" s="164"/>
      <c r="AC497" s="164"/>
      <c r="AR497" s="162" t="s">
        <v>180</v>
      </c>
      <c r="AS497" s="162">
        <v>875</v>
      </c>
      <c r="AT497" s="162" t="s">
        <v>138</v>
      </c>
      <c r="AV497" s="162" t="s">
        <v>129</v>
      </c>
      <c r="AW497" s="162">
        <v>4020.19</v>
      </c>
      <c r="AX497" s="162">
        <v>4020.19</v>
      </c>
    </row>
    <row r="498" spans="25:50" x14ac:dyDescent="0.2">
      <c r="Y498" s="164"/>
      <c r="Z498" s="164"/>
      <c r="AA498" s="164"/>
      <c r="AC498" s="164"/>
      <c r="AR498" s="162" t="s">
        <v>179</v>
      </c>
      <c r="AS498" s="162">
        <v>875</v>
      </c>
      <c r="AT498" s="162" t="s">
        <v>138</v>
      </c>
      <c r="AV498" s="162" t="s">
        <v>129</v>
      </c>
      <c r="AW498" s="162">
        <v>548.21</v>
      </c>
      <c r="AX498" s="162">
        <v>548.21</v>
      </c>
    </row>
    <row r="499" spans="25:50" x14ac:dyDescent="0.2">
      <c r="Y499" s="164"/>
      <c r="Z499" s="164"/>
      <c r="AA499" s="164"/>
      <c r="AR499" s="162" t="s">
        <v>145</v>
      </c>
      <c r="AS499" s="162">
        <v>875</v>
      </c>
      <c r="AT499" s="162" t="s">
        <v>138</v>
      </c>
      <c r="AV499" s="162" t="s">
        <v>129</v>
      </c>
      <c r="AW499" s="162">
        <v>31218.75</v>
      </c>
      <c r="AX499" s="162">
        <v>31218.75</v>
      </c>
    </row>
    <row r="500" spans="25:50" x14ac:dyDescent="0.2">
      <c r="Y500" s="164"/>
      <c r="Z500" s="164"/>
      <c r="AA500" s="164"/>
      <c r="AC500" s="164"/>
      <c r="AR500" s="162" t="s">
        <v>165</v>
      </c>
      <c r="AS500" s="162">
        <v>875</v>
      </c>
      <c r="AT500" s="162" t="s">
        <v>138</v>
      </c>
      <c r="AV500" s="162" t="s">
        <v>129</v>
      </c>
      <c r="AW500" s="162">
        <v>1149.9100000000001</v>
      </c>
      <c r="AX500" s="162">
        <v>1149.9100000000001</v>
      </c>
    </row>
    <row r="501" spans="25:50" x14ac:dyDescent="0.2">
      <c r="Y501" s="164"/>
      <c r="Z501" s="164"/>
      <c r="AA501" s="164"/>
      <c r="AC501" s="164"/>
      <c r="AR501" s="162" t="s">
        <v>195</v>
      </c>
      <c r="AS501" s="162">
        <v>875</v>
      </c>
      <c r="AT501" s="162" t="s">
        <v>138</v>
      </c>
      <c r="AV501" s="162" t="s">
        <v>129</v>
      </c>
      <c r="AW501" s="162">
        <v>10614.37</v>
      </c>
      <c r="AX501" s="162">
        <v>10614.37</v>
      </c>
    </row>
    <row r="502" spans="25:50" x14ac:dyDescent="0.2">
      <c r="Y502" s="164"/>
      <c r="Z502" s="164"/>
      <c r="AA502" s="164"/>
      <c r="AC502" s="164"/>
      <c r="AR502" s="162" t="s">
        <v>191</v>
      </c>
      <c r="AS502" s="162">
        <v>875</v>
      </c>
      <c r="AT502" s="162" t="s">
        <v>138</v>
      </c>
      <c r="AV502" s="162" t="s">
        <v>129</v>
      </c>
      <c r="AW502" s="162">
        <v>10518.75</v>
      </c>
      <c r="AX502" s="162">
        <v>10518.75</v>
      </c>
    </row>
    <row r="503" spans="25:50" x14ac:dyDescent="0.2">
      <c r="Y503" s="164"/>
      <c r="Z503" s="164"/>
      <c r="AA503" s="164"/>
      <c r="AC503" s="164"/>
      <c r="AR503" s="162" t="s">
        <v>193</v>
      </c>
      <c r="AS503" s="162">
        <v>875</v>
      </c>
      <c r="AT503" s="162" t="s">
        <v>138</v>
      </c>
      <c r="AV503" s="162" t="s">
        <v>129</v>
      </c>
      <c r="AW503" s="162">
        <v>10040.620000000001</v>
      </c>
      <c r="AX503" s="162">
        <v>10040.620000000001</v>
      </c>
    </row>
    <row r="504" spans="25:50" x14ac:dyDescent="0.2">
      <c r="Y504" s="164"/>
      <c r="Z504" s="164"/>
      <c r="AA504" s="164"/>
      <c r="AC504" s="164"/>
      <c r="AR504" s="162" t="s">
        <v>155</v>
      </c>
      <c r="AS504" s="162">
        <v>875</v>
      </c>
      <c r="AT504" s="162" t="s">
        <v>138</v>
      </c>
      <c r="AV504" s="162" t="s">
        <v>129</v>
      </c>
      <c r="AW504" s="162">
        <v>16098.75</v>
      </c>
      <c r="AX504" s="162">
        <v>16098.75</v>
      </c>
    </row>
    <row r="505" spans="25:50" x14ac:dyDescent="0.2">
      <c r="Y505" s="164"/>
      <c r="Z505" s="164"/>
      <c r="AA505" s="164"/>
      <c r="AC505" s="164"/>
      <c r="AR505" s="162" t="s">
        <v>158</v>
      </c>
      <c r="AS505" s="162">
        <v>875</v>
      </c>
      <c r="AT505" s="162" t="s">
        <v>138</v>
      </c>
      <c r="AV505" s="162" t="s">
        <v>129</v>
      </c>
      <c r="AW505" s="162">
        <v>18044.349999999999</v>
      </c>
      <c r="AX505" s="162">
        <v>18044.349999999999</v>
      </c>
    </row>
    <row r="506" spans="25:50" x14ac:dyDescent="0.2">
      <c r="Y506" s="164"/>
      <c r="Z506" s="164"/>
      <c r="AA506" s="164"/>
      <c r="AC506" s="164"/>
      <c r="AR506" s="162" t="s">
        <v>166</v>
      </c>
      <c r="AS506" s="162">
        <v>875</v>
      </c>
      <c r="AT506" s="162" t="s">
        <v>138</v>
      </c>
      <c r="AV506" s="162" t="s">
        <v>129</v>
      </c>
      <c r="AW506" s="162">
        <v>14765.62</v>
      </c>
      <c r="AX506" s="162">
        <v>14765.62</v>
      </c>
    </row>
    <row r="507" spans="25:50" x14ac:dyDescent="0.2">
      <c r="Y507" s="164"/>
      <c r="Z507" s="164"/>
      <c r="AA507" s="164"/>
      <c r="AC507" s="164"/>
      <c r="AR507" s="162" t="s">
        <v>212</v>
      </c>
      <c r="AS507" s="162">
        <v>875</v>
      </c>
      <c r="AT507" s="162" t="s">
        <v>138</v>
      </c>
      <c r="AV507" s="162" t="s">
        <v>129</v>
      </c>
      <c r="AW507" s="162">
        <v>788.16</v>
      </c>
      <c r="AX507" s="162">
        <v>788.16</v>
      </c>
    </row>
    <row r="508" spans="25:50" x14ac:dyDescent="0.2">
      <c r="Y508" s="164"/>
      <c r="Z508" s="164"/>
      <c r="AA508" s="164"/>
      <c r="AC508" s="164"/>
      <c r="AR508" s="162" t="s">
        <v>215</v>
      </c>
      <c r="AS508" s="162">
        <v>875</v>
      </c>
      <c r="AT508" s="162" t="s">
        <v>138</v>
      </c>
      <c r="AV508" s="162" t="s">
        <v>129</v>
      </c>
      <c r="AW508" s="162">
        <v>8280</v>
      </c>
      <c r="AX508" s="162">
        <v>8280</v>
      </c>
    </row>
    <row r="509" spans="25:50" x14ac:dyDescent="0.2">
      <c r="Y509" s="164"/>
      <c r="Z509" s="164"/>
      <c r="AA509" s="164"/>
      <c r="AC509" s="164"/>
      <c r="AR509" s="162" t="s">
        <v>217</v>
      </c>
      <c r="AS509" s="162">
        <v>875</v>
      </c>
      <c r="AT509" s="162" t="s">
        <v>138</v>
      </c>
      <c r="AV509" s="162" t="s">
        <v>129</v>
      </c>
      <c r="AW509" s="162">
        <v>457.68</v>
      </c>
      <c r="AX509" s="162">
        <v>457.68</v>
      </c>
    </row>
    <row r="510" spans="25:50" x14ac:dyDescent="0.2">
      <c r="Y510" s="164"/>
      <c r="Z510" s="164"/>
      <c r="AA510" s="164"/>
      <c r="AC510" s="164"/>
      <c r="AR510" s="162" t="s">
        <v>167</v>
      </c>
      <c r="AS510" s="162">
        <v>875</v>
      </c>
      <c r="AT510" s="162" t="s">
        <v>138</v>
      </c>
      <c r="AV510" s="162" t="s">
        <v>129</v>
      </c>
      <c r="AW510" s="162">
        <v>4098.08</v>
      </c>
      <c r="AX510" s="162">
        <v>4098.08</v>
      </c>
    </row>
    <row r="511" spans="25:50" x14ac:dyDescent="0.2">
      <c r="Y511" s="164"/>
      <c r="Z511" s="164"/>
      <c r="AA511" s="164"/>
      <c r="AC511" s="164"/>
      <c r="AR511" s="162" t="s">
        <v>168</v>
      </c>
      <c r="AS511" s="162">
        <v>875</v>
      </c>
      <c r="AT511" s="162" t="s">
        <v>138</v>
      </c>
      <c r="AV511" s="162" t="s">
        <v>129</v>
      </c>
      <c r="AW511" s="162">
        <v>5479.55</v>
      </c>
      <c r="AX511" s="162">
        <v>5479.55</v>
      </c>
    </row>
    <row r="512" spans="25:50" x14ac:dyDescent="0.2">
      <c r="Y512" s="164"/>
      <c r="Z512" s="164"/>
      <c r="AA512" s="164"/>
      <c r="AC512" s="164"/>
      <c r="AR512" s="162" t="s">
        <v>221</v>
      </c>
      <c r="AS512" s="162">
        <v>875</v>
      </c>
      <c r="AT512" s="162" t="s">
        <v>138</v>
      </c>
      <c r="AV512" s="162" t="s">
        <v>129</v>
      </c>
      <c r="AW512" s="162">
        <v>109283.94</v>
      </c>
      <c r="AX512" s="162">
        <v>109283.94</v>
      </c>
    </row>
    <row r="513" spans="1:50" x14ac:dyDescent="0.2">
      <c r="Y513" s="164"/>
      <c r="Z513" s="164"/>
      <c r="AA513" s="164"/>
      <c r="AC513" s="164"/>
      <c r="AR513" s="162" t="s">
        <v>223</v>
      </c>
      <c r="AS513" s="162">
        <v>875</v>
      </c>
      <c r="AT513" s="162" t="s">
        <v>138</v>
      </c>
      <c r="AV513" s="162" t="s">
        <v>129</v>
      </c>
      <c r="AW513" s="162">
        <v>19306.62</v>
      </c>
      <c r="AX513" s="162">
        <v>19306.62</v>
      </c>
    </row>
    <row r="514" spans="1:50" x14ac:dyDescent="0.2">
      <c r="Y514" s="164"/>
      <c r="Z514" s="164"/>
      <c r="AA514" s="164"/>
      <c r="AC514" s="164"/>
      <c r="AR514" s="162" t="s">
        <v>196</v>
      </c>
      <c r="AS514" s="162">
        <v>875</v>
      </c>
      <c r="AT514" s="162" t="s">
        <v>138</v>
      </c>
      <c r="AV514" s="162" t="s">
        <v>129</v>
      </c>
      <c r="AW514" s="162">
        <v>27888.52</v>
      </c>
      <c r="AX514" s="162">
        <v>27888.52</v>
      </c>
    </row>
    <row r="515" spans="1:50" x14ac:dyDescent="0.2">
      <c r="Y515" s="164"/>
      <c r="Z515" s="164"/>
      <c r="AA515" s="164"/>
      <c r="AC515" s="164"/>
      <c r="AR515" s="162" t="s">
        <v>226</v>
      </c>
      <c r="AS515" s="162">
        <v>875</v>
      </c>
      <c r="AT515" s="162" t="s">
        <v>138</v>
      </c>
      <c r="AV515" s="162" t="s">
        <v>129</v>
      </c>
      <c r="AW515" s="162">
        <v>1886.52</v>
      </c>
      <c r="AX515" s="162">
        <v>1886.52</v>
      </c>
    </row>
    <row r="516" spans="1:50" x14ac:dyDescent="0.2">
      <c r="Y516" s="164"/>
      <c r="Z516" s="164"/>
      <c r="AA516" s="164"/>
      <c r="AC516" s="164"/>
      <c r="AR516" s="162" t="s">
        <v>162</v>
      </c>
      <c r="AS516" s="162">
        <v>875</v>
      </c>
      <c r="AT516" s="162" t="s">
        <v>138</v>
      </c>
      <c r="AV516" s="162" t="s">
        <v>129</v>
      </c>
      <c r="AW516" s="162">
        <v>21778.12</v>
      </c>
      <c r="AX516" s="162">
        <v>21778.12</v>
      </c>
    </row>
    <row r="517" spans="1:50" x14ac:dyDescent="0.2">
      <c r="Y517" s="164"/>
      <c r="Z517" s="164"/>
      <c r="AA517" s="164"/>
      <c r="AC517" s="164"/>
      <c r="AR517" s="162" t="s">
        <v>161</v>
      </c>
      <c r="AS517" s="162">
        <v>875</v>
      </c>
      <c r="AT517" s="162" t="s">
        <v>138</v>
      </c>
      <c r="AV517" s="162" t="s">
        <v>129</v>
      </c>
      <c r="AW517" s="162">
        <v>28758.29</v>
      </c>
      <c r="AX517" s="162">
        <v>28758.29</v>
      </c>
    </row>
    <row r="518" spans="1:50" x14ac:dyDescent="0.2">
      <c r="Y518" s="164"/>
      <c r="Z518" s="164"/>
      <c r="AA518" s="164"/>
      <c r="AC518" s="164"/>
      <c r="AR518" s="162" t="s">
        <v>188</v>
      </c>
      <c r="AS518" s="162">
        <v>875</v>
      </c>
      <c r="AT518" s="162" t="s">
        <v>138</v>
      </c>
      <c r="AV518" s="162" t="s">
        <v>129</v>
      </c>
      <c r="AW518" s="162">
        <v>914.17</v>
      </c>
      <c r="AX518" s="162">
        <v>914.17</v>
      </c>
    </row>
    <row r="519" spans="1:50" x14ac:dyDescent="0.2">
      <c r="Y519" s="164"/>
      <c r="Z519" s="164"/>
      <c r="AA519" s="164"/>
      <c r="AC519" s="164"/>
      <c r="AR519" s="162" t="s">
        <v>164</v>
      </c>
      <c r="AS519" s="162">
        <v>875</v>
      </c>
      <c r="AT519" s="162" t="s">
        <v>138</v>
      </c>
      <c r="AV519" s="162" t="s">
        <v>129</v>
      </c>
      <c r="AW519" s="162">
        <v>19.53</v>
      </c>
      <c r="AX519" s="162">
        <v>19.53</v>
      </c>
    </row>
    <row r="520" spans="1:50" x14ac:dyDescent="0.2">
      <c r="Y520" s="164"/>
      <c r="Z520" s="164"/>
      <c r="AA520" s="164"/>
      <c r="AC520" s="164"/>
      <c r="AR520" s="162" t="s">
        <v>181</v>
      </c>
      <c r="AS520" s="162">
        <v>875</v>
      </c>
      <c r="AT520" s="162" t="s">
        <v>138</v>
      </c>
      <c r="AV520" s="162" t="s">
        <v>129</v>
      </c>
      <c r="AW520" s="162">
        <v>4374</v>
      </c>
      <c r="AX520" s="162">
        <v>4374</v>
      </c>
    </row>
    <row r="521" spans="1:50" x14ac:dyDescent="0.2">
      <c r="Y521" s="164"/>
      <c r="Z521" s="164"/>
      <c r="AA521" s="164"/>
      <c r="AC521" s="164"/>
      <c r="AR521" s="162" t="s">
        <v>199</v>
      </c>
      <c r="AS521" s="162">
        <v>875</v>
      </c>
      <c r="AT521" s="162" t="s">
        <v>138</v>
      </c>
      <c r="AV521" s="162" t="s">
        <v>129</v>
      </c>
      <c r="AW521" s="162">
        <v>5422.41</v>
      </c>
      <c r="AX521" s="162">
        <v>5422.41</v>
      </c>
    </row>
    <row r="522" spans="1:50" x14ac:dyDescent="0.2">
      <c r="A522" s="172">
        <v>44013</v>
      </c>
      <c r="B522" s="180" t="s">
        <v>130</v>
      </c>
      <c r="C522" s="162" t="s">
        <v>131</v>
      </c>
      <c r="D522" s="162">
        <v>2353342020</v>
      </c>
      <c r="E522" s="162" t="s">
        <v>132</v>
      </c>
      <c r="F522" s="162">
        <v>875</v>
      </c>
      <c r="G522" s="162" t="s">
        <v>178</v>
      </c>
      <c r="H522" s="162" t="s">
        <v>144</v>
      </c>
      <c r="I522" s="162" t="s">
        <v>197</v>
      </c>
      <c r="J522" s="163">
        <v>6703.88</v>
      </c>
      <c r="K522" s="162" t="s">
        <v>198</v>
      </c>
      <c r="L522" s="162" t="s">
        <v>135</v>
      </c>
      <c r="M522" s="162" t="s">
        <v>200</v>
      </c>
      <c r="N522" s="162" t="s">
        <v>125</v>
      </c>
      <c r="O522" s="163">
        <v>6703.88</v>
      </c>
      <c r="P522" s="162" t="s">
        <v>136</v>
      </c>
      <c r="Q522" s="162" t="s">
        <v>136</v>
      </c>
      <c r="R522" s="162" t="s">
        <v>126</v>
      </c>
      <c r="S522" s="162" t="s">
        <v>2</v>
      </c>
      <c r="T522" s="162" t="s">
        <v>2</v>
      </c>
      <c r="U522" s="162" t="s">
        <v>127</v>
      </c>
      <c r="V522" s="162" t="s">
        <v>198</v>
      </c>
      <c r="W522" s="162" t="s">
        <v>198</v>
      </c>
      <c r="X522" s="162" t="s">
        <v>127</v>
      </c>
      <c r="Y522" s="164">
        <v>44013</v>
      </c>
      <c r="Z522" s="164">
        <v>44008</v>
      </c>
      <c r="AA522" s="164">
        <v>44008</v>
      </c>
      <c r="AB522" s="162" t="s">
        <v>137</v>
      </c>
      <c r="AC522" s="164">
        <v>44013</v>
      </c>
      <c r="AR522" s="162" t="s">
        <v>234</v>
      </c>
      <c r="AS522" s="162">
        <v>875</v>
      </c>
      <c r="AT522" s="162" t="s">
        <v>138</v>
      </c>
      <c r="AV522" s="162" t="s">
        <v>129</v>
      </c>
      <c r="AW522" s="162">
        <v>4761.1400000000003</v>
      </c>
      <c r="AX522" s="162">
        <v>4761.1400000000003</v>
      </c>
    </row>
    <row r="523" spans="1:50" x14ac:dyDescent="0.2">
      <c r="A523" s="172">
        <v>44013</v>
      </c>
      <c r="B523" s="180" t="s">
        <v>130</v>
      </c>
      <c r="C523" s="162" t="s">
        <v>131</v>
      </c>
      <c r="D523" s="162">
        <v>2353352020</v>
      </c>
      <c r="E523" s="162" t="s">
        <v>132</v>
      </c>
      <c r="F523" s="162">
        <v>875</v>
      </c>
      <c r="G523" s="162" t="s">
        <v>178</v>
      </c>
      <c r="H523" s="162" t="s">
        <v>144</v>
      </c>
      <c r="I523" s="162" t="s">
        <v>197</v>
      </c>
      <c r="J523" s="163">
        <v>4020.19</v>
      </c>
      <c r="K523" s="162" t="s">
        <v>198</v>
      </c>
      <c r="L523" s="162" t="s">
        <v>135</v>
      </c>
      <c r="M523" s="162" t="s">
        <v>201</v>
      </c>
      <c r="N523" s="162" t="s">
        <v>125</v>
      </c>
      <c r="O523" s="163">
        <v>4020.19</v>
      </c>
      <c r="P523" s="162" t="s">
        <v>136</v>
      </c>
      <c r="Q523" s="162" t="s">
        <v>136</v>
      </c>
      <c r="R523" s="162" t="s">
        <v>126</v>
      </c>
      <c r="S523" s="162" t="s">
        <v>2</v>
      </c>
      <c r="T523" s="162" t="s">
        <v>2</v>
      </c>
      <c r="U523" s="162" t="s">
        <v>127</v>
      </c>
      <c r="V523" s="162" t="s">
        <v>198</v>
      </c>
      <c r="W523" s="162" t="s">
        <v>198</v>
      </c>
      <c r="X523" s="162" t="s">
        <v>127</v>
      </c>
      <c r="Y523" s="164">
        <v>44013</v>
      </c>
      <c r="Z523" s="164">
        <v>44008</v>
      </c>
      <c r="AA523" s="164">
        <v>44008</v>
      </c>
      <c r="AB523" s="162" t="s">
        <v>137</v>
      </c>
      <c r="AC523" s="164">
        <v>44013</v>
      </c>
      <c r="AR523" s="162" t="s">
        <v>236</v>
      </c>
      <c r="AS523" s="162">
        <v>875</v>
      </c>
      <c r="AT523" s="162" t="s">
        <v>138</v>
      </c>
      <c r="AV523" s="162" t="s">
        <v>129</v>
      </c>
      <c r="AW523" s="162">
        <v>111.97</v>
      </c>
      <c r="AX523" s="162">
        <v>111.97</v>
      </c>
    </row>
    <row r="524" spans="1:50" x14ac:dyDescent="0.2">
      <c r="A524" s="172">
        <v>44013</v>
      </c>
      <c r="B524" s="180" t="s">
        <v>130</v>
      </c>
      <c r="C524" s="162" t="s">
        <v>131</v>
      </c>
      <c r="D524" s="162">
        <v>2353352020</v>
      </c>
      <c r="E524" s="162" t="s">
        <v>132</v>
      </c>
      <c r="F524" s="162">
        <v>875</v>
      </c>
      <c r="G524" s="162" t="s">
        <v>178</v>
      </c>
      <c r="H524" s="162" t="s">
        <v>144</v>
      </c>
      <c r="I524" s="162" t="s">
        <v>197</v>
      </c>
      <c r="J524" s="163">
        <v>548.21</v>
      </c>
      <c r="K524" s="162" t="s">
        <v>198</v>
      </c>
      <c r="L524" s="162" t="s">
        <v>135</v>
      </c>
      <c r="M524" s="162" t="s">
        <v>202</v>
      </c>
      <c r="N524" s="162" t="s">
        <v>125</v>
      </c>
      <c r="O524" s="163">
        <v>548.21</v>
      </c>
      <c r="P524" s="162" t="s">
        <v>136</v>
      </c>
      <c r="Q524" s="162" t="s">
        <v>136</v>
      </c>
      <c r="R524" s="162" t="s">
        <v>126</v>
      </c>
      <c r="S524" s="162" t="s">
        <v>2</v>
      </c>
      <c r="T524" s="162" t="s">
        <v>2</v>
      </c>
      <c r="U524" s="162" t="s">
        <v>127</v>
      </c>
      <c r="V524" s="162" t="s">
        <v>198</v>
      </c>
      <c r="W524" s="162" t="s">
        <v>198</v>
      </c>
      <c r="X524" s="162" t="s">
        <v>127</v>
      </c>
      <c r="Y524" s="164">
        <v>44013</v>
      </c>
      <c r="Z524" s="164">
        <v>44008</v>
      </c>
      <c r="AA524" s="164">
        <v>44008</v>
      </c>
      <c r="AB524" s="162" t="s">
        <v>137</v>
      </c>
      <c r="AC524" s="164">
        <v>44013</v>
      </c>
      <c r="AR524" s="162" t="s">
        <v>238</v>
      </c>
      <c r="AS524" s="162">
        <v>875</v>
      </c>
      <c r="AT524" s="162" t="s">
        <v>138</v>
      </c>
      <c r="AV524" s="162" t="s">
        <v>129</v>
      </c>
      <c r="AW524" s="162">
        <v>573.84</v>
      </c>
      <c r="AX524" s="162">
        <v>573.84</v>
      </c>
    </row>
    <row r="525" spans="1:50" x14ac:dyDescent="0.2">
      <c r="A525" s="172">
        <v>44013</v>
      </c>
      <c r="B525" s="180" t="s">
        <v>130</v>
      </c>
      <c r="C525" s="162" t="s">
        <v>131</v>
      </c>
      <c r="D525" s="162">
        <v>2746112020</v>
      </c>
      <c r="E525" s="162" t="s">
        <v>132</v>
      </c>
      <c r="F525" s="162">
        <v>875</v>
      </c>
      <c r="G525" s="162" t="s">
        <v>143</v>
      </c>
      <c r="H525" s="162" t="s">
        <v>144</v>
      </c>
      <c r="I525" s="162" t="s">
        <v>197</v>
      </c>
      <c r="J525" s="163">
        <v>31218.75</v>
      </c>
      <c r="K525" s="162" t="s">
        <v>198</v>
      </c>
      <c r="L525" s="162" t="s">
        <v>135</v>
      </c>
      <c r="M525" s="162" t="s">
        <v>203</v>
      </c>
      <c r="N525" s="162" t="s">
        <v>125</v>
      </c>
      <c r="O525" s="163">
        <v>31218.75</v>
      </c>
      <c r="P525" s="162" t="s">
        <v>136</v>
      </c>
      <c r="Q525" s="162" t="s">
        <v>136</v>
      </c>
      <c r="R525" s="162" t="s">
        <v>126</v>
      </c>
      <c r="S525" s="162" t="s">
        <v>2</v>
      </c>
      <c r="T525" s="162" t="s">
        <v>2</v>
      </c>
      <c r="U525" s="162" t="s">
        <v>127</v>
      </c>
      <c r="V525" s="162" t="s">
        <v>198</v>
      </c>
      <c r="W525" s="162" t="s">
        <v>198</v>
      </c>
      <c r="X525" s="162" t="s">
        <v>127</v>
      </c>
      <c r="Y525" s="164">
        <v>44013</v>
      </c>
      <c r="Z525" s="164">
        <v>44008</v>
      </c>
      <c r="AA525" s="164">
        <v>44008</v>
      </c>
      <c r="AB525" s="162" t="s">
        <v>137</v>
      </c>
      <c r="AC525" s="164">
        <v>44013</v>
      </c>
      <c r="AR525" s="162" t="s">
        <v>240</v>
      </c>
      <c r="AS525" s="162">
        <v>875</v>
      </c>
      <c r="AT525" s="162" t="s">
        <v>138</v>
      </c>
      <c r="AV525" s="162" t="s">
        <v>129</v>
      </c>
      <c r="AW525" s="162">
        <v>1421.73</v>
      </c>
      <c r="AX525" s="162">
        <v>1421.73</v>
      </c>
    </row>
    <row r="526" spans="1:50" x14ac:dyDescent="0.2">
      <c r="A526" s="172">
        <v>44013</v>
      </c>
      <c r="B526" s="180" t="s">
        <v>130</v>
      </c>
      <c r="C526" s="162" t="s">
        <v>131</v>
      </c>
      <c r="D526" s="162">
        <v>3013772020</v>
      </c>
      <c r="E526" s="162" t="s">
        <v>132</v>
      </c>
      <c r="F526" s="162">
        <v>875</v>
      </c>
      <c r="G526" s="162" t="s">
        <v>163</v>
      </c>
      <c r="H526" s="162" t="s">
        <v>144</v>
      </c>
      <c r="I526" s="162" t="s">
        <v>197</v>
      </c>
      <c r="J526" s="163">
        <v>1149.9100000000001</v>
      </c>
      <c r="K526" s="162" t="s">
        <v>198</v>
      </c>
      <c r="L526" s="162" t="s">
        <v>135</v>
      </c>
      <c r="M526" s="162" t="s">
        <v>204</v>
      </c>
      <c r="N526" s="162" t="s">
        <v>125</v>
      </c>
      <c r="O526" s="163">
        <v>1149.9100000000001</v>
      </c>
      <c r="P526" s="162" t="s">
        <v>136</v>
      </c>
      <c r="Q526" s="162" t="s">
        <v>136</v>
      </c>
      <c r="R526" s="162" t="s">
        <v>126</v>
      </c>
      <c r="S526" s="162" t="s">
        <v>2</v>
      </c>
      <c r="T526" s="162" t="s">
        <v>2</v>
      </c>
      <c r="U526" s="162" t="s">
        <v>127</v>
      </c>
      <c r="V526" s="162" t="s">
        <v>198</v>
      </c>
      <c r="W526" s="162" t="s">
        <v>198</v>
      </c>
      <c r="X526" s="162" t="s">
        <v>127</v>
      </c>
      <c r="Y526" s="164">
        <v>44013</v>
      </c>
      <c r="Z526" s="164">
        <v>44008</v>
      </c>
      <c r="AA526" s="164">
        <v>44008</v>
      </c>
      <c r="AB526" s="162" t="s">
        <v>137</v>
      </c>
      <c r="AC526" s="164">
        <v>44013</v>
      </c>
      <c r="AR526" s="162" t="s">
        <v>184</v>
      </c>
      <c r="AS526" s="162">
        <v>875</v>
      </c>
      <c r="AT526" s="162" t="s">
        <v>138</v>
      </c>
      <c r="AV526" s="162" t="s">
        <v>129</v>
      </c>
      <c r="AW526" s="162">
        <v>231.66</v>
      </c>
      <c r="AX526" s="162">
        <v>231.66</v>
      </c>
    </row>
    <row r="527" spans="1:50" x14ac:dyDescent="0.2">
      <c r="A527" s="172">
        <v>44013</v>
      </c>
      <c r="B527" s="180" t="s">
        <v>130</v>
      </c>
      <c r="C527" s="162" t="s">
        <v>131</v>
      </c>
      <c r="D527" s="162">
        <v>2964962020</v>
      </c>
      <c r="E527" s="162" t="s">
        <v>132</v>
      </c>
      <c r="F527" s="162">
        <v>875</v>
      </c>
      <c r="G527" s="162" t="s">
        <v>194</v>
      </c>
      <c r="H527" s="162" t="s">
        <v>144</v>
      </c>
      <c r="I527" s="162" t="s">
        <v>197</v>
      </c>
      <c r="J527" s="163">
        <v>10614.37</v>
      </c>
      <c r="K527" s="162" t="s">
        <v>198</v>
      </c>
      <c r="L527" s="162" t="s">
        <v>135</v>
      </c>
      <c r="M527" s="162" t="s">
        <v>205</v>
      </c>
      <c r="N527" s="162" t="s">
        <v>125</v>
      </c>
      <c r="O527" s="163">
        <v>10614.37</v>
      </c>
      <c r="P527" s="162" t="s">
        <v>136</v>
      </c>
      <c r="Q527" s="162" t="s">
        <v>136</v>
      </c>
      <c r="R527" s="162" t="s">
        <v>126</v>
      </c>
      <c r="S527" s="162" t="s">
        <v>2</v>
      </c>
      <c r="T527" s="162" t="s">
        <v>2</v>
      </c>
      <c r="U527" s="162" t="s">
        <v>127</v>
      </c>
      <c r="V527" s="162" t="s">
        <v>198</v>
      </c>
      <c r="W527" s="162" t="s">
        <v>198</v>
      </c>
      <c r="X527" s="162" t="s">
        <v>127</v>
      </c>
      <c r="Y527" s="164">
        <v>44013</v>
      </c>
      <c r="Z527" s="164">
        <v>44008</v>
      </c>
      <c r="AA527" s="164">
        <v>44008</v>
      </c>
      <c r="AB527" s="162" t="s">
        <v>137</v>
      </c>
      <c r="AC527" s="164">
        <v>44013</v>
      </c>
      <c r="AR527" s="162" t="s">
        <v>243</v>
      </c>
      <c r="AS527" s="162">
        <v>875</v>
      </c>
      <c r="AT527" s="162" t="s">
        <v>138</v>
      </c>
      <c r="AV527" s="162" t="s">
        <v>129</v>
      </c>
      <c r="AW527" s="162">
        <v>177.86</v>
      </c>
      <c r="AX527" s="162">
        <v>177.86</v>
      </c>
    </row>
    <row r="528" spans="1:50" x14ac:dyDescent="0.2">
      <c r="A528" s="172">
        <v>44013</v>
      </c>
      <c r="B528" s="180" t="s">
        <v>130</v>
      </c>
      <c r="C528" s="162" t="s">
        <v>131</v>
      </c>
      <c r="D528" s="162">
        <v>2964952020</v>
      </c>
      <c r="E528" s="162" t="s">
        <v>132</v>
      </c>
      <c r="F528" s="162">
        <v>875</v>
      </c>
      <c r="G528" s="162" t="s">
        <v>190</v>
      </c>
      <c r="H528" s="162" t="s">
        <v>144</v>
      </c>
      <c r="I528" s="162" t="s">
        <v>197</v>
      </c>
      <c r="J528" s="163">
        <v>10518.75</v>
      </c>
      <c r="K528" s="162" t="s">
        <v>198</v>
      </c>
      <c r="L528" s="162" t="s">
        <v>135</v>
      </c>
      <c r="M528" s="162" t="s">
        <v>206</v>
      </c>
      <c r="N528" s="162" t="s">
        <v>125</v>
      </c>
      <c r="O528" s="163">
        <v>10518.75</v>
      </c>
      <c r="P528" s="162" t="s">
        <v>136</v>
      </c>
      <c r="Q528" s="162" t="s">
        <v>136</v>
      </c>
      <c r="R528" s="162" t="s">
        <v>126</v>
      </c>
      <c r="S528" s="162" t="s">
        <v>2</v>
      </c>
      <c r="T528" s="162" t="s">
        <v>2</v>
      </c>
      <c r="U528" s="162" t="s">
        <v>127</v>
      </c>
      <c r="V528" s="162" t="s">
        <v>198</v>
      </c>
      <c r="W528" s="162" t="s">
        <v>198</v>
      </c>
      <c r="X528" s="162" t="s">
        <v>127</v>
      </c>
      <c r="Y528" s="164">
        <v>44013</v>
      </c>
      <c r="Z528" s="164">
        <v>44008</v>
      </c>
      <c r="AA528" s="164">
        <v>44008</v>
      </c>
      <c r="AB528" s="162" t="s">
        <v>137</v>
      </c>
      <c r="AC528" s="164">
        <v>44013</v>
      </c>
      <c r="AR528" s="162" t="s">
        <v>177</v>
      </c>
      <c r="AS528" s="162">
        <v>875</v>
      </c>
      <c r="AT528" s="162" t="s">
        <v>138</v>
      </c>
      <c r="AV528" s="162" t="s">
        <v>129</v>
      </c>
      <c r="AW528" s="162">
        <v>9112.5</v>
      </c>
      <c r="AX528" s="162">
        <v>9112.5</v>
      </c>
    </row>
    <row r="529" spans="1:50" x14ac:dyDescent="0.2">
      <c r="A529" s="172">
        <v>44013</v>
      </c>
      <c r="B529" s="180" t="s">
        <v>130</v>
      </c>
      <c r="C529" s="162" t="s">
        <v>131</v>
      </c>
      <c r="D529" s="162">
        <v>2964972020</v>
      </c>
      <c r="E529" s="162" t="s">
        <v>132</v>
      </c>
      <c r="F529" s="162">
        <v>875</v>
      </c>
      <c r="G529" s="162" t="s">
        <v>192</v>
      </c>
      <c r="H529" s="162" t="s">
        <v>144</v>
      </c>
      <c r="I529" s="162" t="s">
        <v>197</v>
      </c>
      <c r="J529" s="163">
        <v>10040.620000000001</v>
      </c>
      <c r="K529" s="162" t="s">
        <v>198</v>
      </c>
      <c r="L529" s="162" t="s">
        <v>135</v>
      </c>
      <c r="M529" s="162" t="s">
        <v>207</v>
      </c>
      <c r="N529" s="162" t="s">
        <v>125</v>
      </c>
      <c r="O529" s="163">
        <v>10040.620000000001</v>
      </c>
      <c r="P529" s="162" t="s">
        <v>136</v>
      </c>
      <c r="Q529" s="162" t="s">
        <v>136</v>
      </c>
      <c r="R529" s="162" t="s">
        <v>126</v>
      </c>
      <c r="S529" s="162" t="s">
        <v>2</v>
      </c>
      <c r="T529" s="162" t="s">
        <v>2</v>
      </c>
      <c r="U529" s="162" t="s">
        <v>127</v>
      </c>
      <c r="V529" s="162" t="s">
        <v>198</v>
      </c>
      <c r="W529" s="162" t="s">
        <v>198</v>
      </c>
      <c r="X529" s="162" t="s">
        <v>127</v>
      </c>
      <c r="Y529" s="164">
        <v>44013</v>
      </c>
      <c r="Z529" s="164">
        <v>44008</v>
      </c>
      <c r="AA529" s="164">
        <v>44008</v>
      </c>
      <c r="AB529" s="162" t="s">
        <v>137</v>
      </c>
      <c r="AC529" s="164">
        <v>44013</v>
      </c>
      <c r="AR529" s="162" t="s">
        <v>189</v>
      </c>
      <c r="AS529" s="162">
        <v>875</v>
      </c>
      <c r="AT529" s="162" t="s">
        <v>138</v>
      </c>
      <c r="AV529" s="162" t="s">
        <v>129</v>
      </c>
      <c r="AW529" s="162">
        <v>9720</v>
      </c>
      <c r="AX529" s="162">
        <v>9720</v>
      </c>
    </row>
    <row r="530" spans="1:50" x14ac:dyDescent="0.2">
      <c r="A530" s="172">
        <v>44013</v>
      </c>
      <c r="B530" s="180" t="s">
        <v>130</v>
      </c>
      <c r="C530" s="162" t="s">
        <v>131</v>
      </c>
      <c r="D530" s="162">
        <v>2751312020</v>
      </c>
      <c r="E530" s="162" t="s">
        <v>132</v>
      </c>
      <c r="F530" s="162">
        <v>875</v>
      </c>
      <c r="G530" s="162" t="s">
        <v>154</v>
      </c>
      <c r="H530" s="162" t="s">
        <v>144</v>
      </c>
      <c r="I530" s="162" t="s">
        <v>197</v>
      </c>
      <c r="J530" s="163">
        <v>16098.75</v>
      </c>
      <c r="K530" s="162" t="s">
        <v>198</v>
      </c>
      <c r="L530" s="162" t="s">
        <v>135</v>
      </c>
      <c r="M530" s="162" t="s">
        <v>208</v>
      </c>
      <c r="N530" s="162" t="s">
        <v>125</v>
      </c>
      <c r="O530" s="163">
        <v>16098.75</v>
      </c>
      <c r="P530" s="162" t="s">
        <v>136</v>
      </c>
      <c r="Q530" s="162" t="s">
        <v>136</v>
      </c>
      <c r="R530" s="162" t="s">
        <v>126</v>
      </c>
      <c r="S530" s="162" t="s">
        <v>2</v>
      </c>
      <c r="T530" s="162" t="s">
        <v>2</v>
      </c>
      <c r="U530" s="162" t="s">
        <v>127</v>
      </c>
      <c r="V530" s="162" t="s">
        <v>198</v>
      </c>
      <c r="W530" s="162" t="s">
        <v>198</v>
      </c>
      <c r="X530" s="162" t="s">
        <v>127</v>
      </c>
      <c r="Y530" s="164">
        <v>44013</v>
      </c>
      <c r="Z530" s="164">
        <v>44008</v>
      </c>
      <c r="AA530" s="164">
        <v>44008</v>
      </c>
      <c r="AB530" s="162" t="s">
        <v>137</v>
      </c>
      <c r="AC530" s="164">
        <v>44013</v>
      </c>
      <c r="AR530" s="162" t="s">
        <v>247</v>
      </c>
      <c r="AS530" s="162">
        <v>875</v>
      </c>
      <c r="AT530" s="162" t="s">
        <v>138</v>
      </c>
      <c r="AV530" s="162" t="s">
        <v>129</v>
      </c>
      <c r="AW530" s="162">
        <v>1058.03</v>
      </c>
      <c r="AX530" s="162">
        <v>1058.03</v>
      </c>
    </row>
    <row r="531" spans="1:50" x14ac:dyDescent="0.2">
      <c r="A531" s="172">
        <v>44013</v>
      </c>
      <c r="B531" s="180" t="s">
        <v>130</v>
      </c>
      <c r="C531" s="162" t="s">
        <v>131</v>
      </c>
      <c r="D531" s="162">
        <v>2298942020</v>
      </c>
      <c r="E531" s="162" t="s">
        <v>132</v>
      </c>
      <c r="F531" s="162">
        <v>875</v>
      </c>
      <c r="G531" s="162" t="s">
        <v>157</v>
      </c>
      <c r="H531" s="162" t="s">
        <v>144</v>
      </c>
      <c r="I531" s="162" t="s">
        <v>197</v>
      </c>
      <c r="J531" s="163">
        <v>18044.349999999999</v>
      </c>
      <c r="K531" s="162" t="s">
        <v>198</v>
      </c>
      <c r="L531" s="162" t="s">
        <v>135</v>
      </c>
      <c r="M531" s="162" t="s">
        <v>209</v>
      </c>
      <c r="N531" s="162" t="s">
        <v>125</v>
      </c>
      <c r="O531" s="163">
        <v>18044.349999999999</v>
      </c>
      <c r="P531" s="162" t="s">
        <v>136</v>
      </c>
      <c r="Q531" s="162" t="s">
        <v>136</v>
      </c>
      <c r="R531" s="162" t="s">
        <v>126</v>
      </c>
      <c r="S531" s="162" t="s">
        <v>2</v>
      </c>
      <c r="T531" s="162" t="s">
        <v>2</v>
      </c>
      <c r="U531" s="162" t="s">
        <v>127</v>
      </c>
      <c r="V531" s="162" t="s">
        <v>198</v>
      </c>
      <c r="W531" s="162" t="s">
        <v>198</v>
      </c>
      <c r="X531" s="162" t="s">
        <v>127</v>
      </c>
      <c r="Y531" s="164">
        <v>44013</v>
      </c>
      <c r="Z531" s="164">
        <v>44008</v>
      </c>
      <c r="AA531" s="164">
        <v>44008</v>
      </c>
      <c r="AB531" s="162" t="s">
        <v>137</v>
      </c>
      <c r="AC531" s="164">
        <v>44013</v>
      </c>
      <c r="AR531" s="162" t="s">
        <v>187</v>
      </c>
      <c r="AS531" s="162">
        <v>875</v>
      </c>
      <c r="AT531" s="162" t="s">
        <v>138</v>
      </c>
      <c r="AV531" s="162" t="s">
        <v>129</v>
      </c>
      <c r="AW531" s="162">
        <v>6561</v>
      </c>
      <c r="AX531" s="162">
        <v>6561</v>
      </c>
    </row>
    <row r="532" spans="1:50" x14ac:dyDescent="0.2">
      <c r="A532" s="172">
        <v>44013</v>
      </c>
      <c r="B532" s="180" t="s">
        <v>130</v>
      </c>
      <c r="C532" s="162" t="s">
        <v>131</v>
      </c>
      <c r="D532" s="162">
        <v>2964882020</v>
      </c>
      <c r="E532" s="162" t="s">
        <v>132</v>
      </c>
      <c r="F532" s="162">
        <v>875</v>
      </c>
      <c r="G532" s="162" t="s">
        <v>156</v>
      </c>
      <c r="H532" s="162" t="s">
        <v>144</v>
      </c>
      <c r="I532" s="162" t="s">
        <v>197</v>
      </c>
      <c r="J532" s="163">
        <v>14765.62</v>
      </c>
      <c r="K532" s="162" t="s">
        <v>198</v>
      </c>
      <c r="L532" s="162" t="s">
        <v>135</v>
      </c>
      <c r="M532" s="162" t="s">
        <v>210</v>
      </c>
      <c r="N532" s="162" t="s">
        <v>125</v>
      </c>
      <c r="O532" s="163">
        <v>14765.62</v>
      </c>
      <c r="P532" s="162" t="s">
        <v>136</v>
      </c>
      <c r="Q532" s="162" t="s">
        <v>136</v>
      </c>
      <c r="R532" s="162" t="s">
        <v>126</v>
      </c>
      <c r="S532" s="162" t="s">
        <v>2</v>
      </c>
      <c r="T532" s="162" t="s">
        <v>2</v>
      </c>
      <c r="U532" s="162" t="s">
        <v>127</v>
      </c>
      <c r="V532" s="162" t="s">
        <v>198</v>
      </c>
      <c r="W532" s="162" t="s">
        <v>198</v>
      </c>
      <c r="X532" s="162" t="s">
        <v>127</v>
      </c>
      <c r="Y532" s="164">
        <v>44013</v>
      </c>
      <c r="Z532" s="164">
        <v>44008</v>
      </c>
      <c r="AA532" s="164">
        <v>44008</v>
      </c>
      <c r="AB532" s="162" t="s">
        <v>137</v>
      </c>
      <c r="AC532" s="164">
        <v>44013</v>
      </c>
      <c r="AR532" s="162" t="s">
        <v>183</v>
      </c>
      <c r="AS532" s="162">
        <v>875</v>
      </c>
      <c r="AT532" s="162" t="s">
        <v>138</v>
      </c>
      <c r="AV532" s="162" t="s">
        <v>129</v>
      </c>
      <c r="AW532" s="162">
        <v>31.59</v>
      </c>
      <c r="AX532" s="162">
        <v>31.59</v>
      </c>
    </row>
    <row r="533" spans="1:50" x14ac:dyDescent="0.2">
      <c r="A533" s="172">
        <v>44013</v>
      </c>
      <c r="B533" s="180" t="s">
        <v>130</v>
      </c>
      <c r="C533" s="162" t="s">
        <v>131</v>
      </c>
      <c r="D533" s="162">
        <v>2298942020</v>
      </c>
      <c r="E533" s="162" t="s">
        <v>132</v>
      </c>
      <c r="F533" s="162">
        <v>875</v>
      </c>
      <c r="G533" s="162" t="s">
        <v>157</v>
      </c>
      <c r="H533" s="162" t="s">
        <v>144</v>
      </c>
      <c r="I533" s="162" t="s">
        <v>197</v>
      </c>
      <c r="J533" s="163">
        <v>788.16</v>
      </c>
      <c r="K533" s="162" t="s">
        <v>198</v>
      </c>
      <c r="L533" s="162" t="s">
        <v>135</v>
      </c>
      <c r="M533" s="162" t="s">
        <v>211</v>
      </c>
      <c r="N533" s="162" t="s">
        <v>125</v>
      </c>
      <c r="O533" s="163">
        <v>788.16</v>
      </c>
      <c r="P533" s="162" t="s">
        <v>136</v>
      </c>
      <c r="Q533" s="162" t="s">
        <v>136</v>
      </c>
      <c r="R533" s="162" t="s">
        <v>126</v>
      </c>
      <c r="S533" s="162" t="s">
        <v>2</v>
      </c>
      <c r="T533" s="162" t="s">
        <v>2</v>
      </c>
      <c r="U533" s="162" t="s">
        <v>127</v>
      </c>
      <c r="V533" s="162" t="s">
        <v>198</v>
      </c>
      <c r="W533" s="162" t="s">
        <v>198</v>
      </c>
      <c r="X533" s="162" t="s">
        <v>127</v>
      </c>
      <c r="Y533" s="164">
        <v>44013</v>
      </c>
      <c r="Z533" s="164">
        <v>44008</v>
      </c>
      <c r="AA533" s="164">
        <v>44008</v>
      </c>
      <c r="AB533" s="162" t="s">
        <v>137</v>
      </c>
      <c r="AC533" s="164">
        <v>44013</v>
      </c>
      <c r="AR533" s="162" t="s">
        <v>252</v>
      </c>
      <c r="AS533" s="162">
        <v>875</v>
      </c>
      <c r="AT533" s="162" t="s">
        <v>138</v>
      </c>
      <c r="AV533" s="162" t="s">
        <v>129</v>
      </c>
      <c r="AW533" s="162">
        <v>54000</v>
      </c>
      <c r="AX533" s="162">
        <v>54000</v>
      </c>
    </row>
    <row r="534" spans="1:50" x14ac:dyDescent="0.2">
      <c r="A534" s="172">
        <v>44013</v>
      </c>
      <c r="B534" s="180" t="s">
        <v>130</v>
      </c>
      <c r="C534" s="162" t="s">
        <v>131</v>
      </c>
      <c r="D534" s="162">
        <v>3010342020</v>
      </c>
      <c r="E534" s="162" t="s">
        <v>132</v>
      </c>
      <c r="F534" s="162">
        <v>875</v>
      </c>
      <c r="G534" s="162" t="s">
        <v>213</v>
      </c>
      <c r="H534" s="162" t="s">
        <v>144</v>
      </c>
      <c r="I534" s="162" t="s">
        <v>197</v>
      </c>
      <c r="J534" s="163">
        <v>8280</v>
      </c>
      <c r="K534" s="162" t="s">
        <v>198</v>
      </c>
      <c r="L534" s="162" t="s">
        <v>135</v>
      </c>
      <c r="M534" s="162" t="s">
        <v>214</v>
      </c>
      <c r="N534" s="162" t="s">
        <v>125</v>
      </c>
      <c r="O534" s="163">
        <v>8280</v>
      </c>
      <c r="P534" s="162" t="s">
        <v>136</v>
      </c>
      <c r="Q534" s="162" t="s">
        <v>136</v>
      </c>
      <c r="R534" s="162" t="s">
        <v>126</v>
      </c>
      <c r="S534" s="162" t="s">
        <v>2</v>
      </c>
      <c r="T534" s="162" t="s">
        <v>2</v>
      </c>
      <c r="U534" s="162" t="s">
        <v>127</v>
      </c>
      <c r="V534" s="162" t="s">
        <v>198</v>
      </c>
      <c r="W534" s="162" t="s">
        <v>198</v>
      </c>
      <c r="X534" s="162" t="s">
        <v>127</v>
      </c>
      <c r="Y534" s="164">
        <v>44013</v>
      </c>
      <c r="Z534" s="164">
        <v>44008</v>
      </c>
      <c r="AA534" s="164">
        <v>44008</v>
      </c>
      <c r="AB534" s="162" t="s">
        <v>137</v>
      </c>
      <c r="AC534" s="164">
        <v>44013</v>
      </c>
      <c r="AR534" s="162" t="s">
        <v>255</v>
      </c>
      <c r="AS534" s="162">
        <v>875</v>
      </c>
      <c r="AT534" s="162" t="s">
        <v>138</v>
      </c>
      <c r="AV534" s="162" t="s">
        <v>129</v>
      </c>
      <c r="AW534" s="162">
        <v>35100</v>
      </c>
      <c r="AX534" s="162">
        <v>35100</v>
      </c>
    </row>
    <row r="535" spans="1:50" x14ac:dyDescent="0.2">
      <c r="A535" s="172">
        <v>44013</v>
      </c>
      <c r="B535" s="180" t="s">
        <v>130</v>
      </c>
      <c r="C535" s="162" t="s">
        <v>131</v>
      </c>
      <c r="D535" s="162">
        <v>2159352020</v>
      </c>
      <c r="E535" s="162" t="s">
        <v>132</v>
      </c>
      <c r="F535" s="162">
        <v>875</v>
      </c>
      <c r="G535" s="162" t="s">
        <v>160</v>
      </c>
      <c r="H535" s="162" t="s">
        <v>144</v>
      </c>
      <c r="I535" s="162" t="s">
        <v>197</v>
      </c>
      <c r="J535" s="163">
        <v>457.68</v>
      </c>
      <c r="K535" s="162" t="s">
        <v>198</v>
      </c>
      <c r="L535" s="162" t="s">
        <v>135</v>
      </c>
      <c r="M535" s="162" t="s">
        <v>216</v>
      </c>
      <c r="N535" s="162" t="s">
        <v>125</v>
      </c>
      <c r="O535" s="163">
        <v>457.68</v>
      </c>
      <c r="P535" s="162" t="s">
        <v>136</v>
      </c>
      <c r="Q535" s="162" t="s">
        <v>136</v>
      </c>
      <c r="R535" s="162" t="s">
        <v>126</v>
      </c>
      <c r="S535" s="162" t="s">
        <v>2</v>
      </c>
      <c r="T535" s="162" t="s">
        <v>2</v>
      </c>
      <c r="U535" s="162" t="s">
        <v>127</v>
      </c>
      <c r="V535" s="162" t="s">
        <v>198</v>
      </c>
      <c r="W535" s="162" t="s">
        <v>198</v>
      </c>
      <c r="X535" s="162" t="s">
        <v>127</v>
      </c>
      <c r="Y535" s="164">
        <v>44013</v>
      </c>
      <c r="Z535" s="164">
        <v>44008</v>
      </c>
      <c r="AA535" s="164">
        <v>44008</v>
      </c>
      <c r="AB535" s="162" t="s">
        <v>137</v>
      </c>
      <c r="AC535" s="164">
        <v>44013</v>
      </c>
      <c r="AR535" s="162" t="s">
        <v>257</v>
      </c>
      <c r="AS535" s="162">
        <v>875</v>
      </c>
      <c r="AT535" s="162" t="s">
        <v>138</v>
      </c>
      <c r="AV535" s="162" t="s">
        <v>129</v>
      </c>
      <c r="AW535" s="162">
        <v>150.46</v>
      </c>
      <c r="AX535" s="162">
        <v>150.46</v>
      </c>
    </row>
    <row r="536" spans="1:50" x14ac:dyDescent="0.2">
      <c r="A536" s="172">
        <v>44013</v>
      </c>
      <c r="B536" s="180" t="s">
        <v>130</v>
      </c>
      <c r="C536" s="162" t="s">
        <v>131</v>
      </c>
      <c r="D536" s="162">
        <v>2101142020</v>
      </c>
      <c r="E536" s="162" t="s">
        <v>132</v>
      </c>
      <c r="F536" s="162">
        <v>875</v>
      </c>
      <c r="G536" s="162" t="s">
        <v>160</v>
      </c>
      <c r="H536" s="162" t="s">
        <v>144</v>
      </c>
      <c r="I536" s="162" t="s">
        <v>197</v>
      </c>
      <c r="J536" s="163">
        <v>4098.08</v>
      </c>
      <c r="K536" s="162" t="s">
        <v>198</v>
      </c>
      <c r="L536" s="162" t="s">
        <v>135</v>
      </c>
      <c r="M536" s="162" t="s">
        <v>218</v>
      </c>
      <c r="N536" s="162" t="s">
        <v>125</v>
      </c>
      <c r="O536" s="163">
        <v>4098.08</v>
      </c>
      <c r="P536" s="162" t="s">
        <v>136</v>
      </c>
      <c r="Q536" s="162" t="s">
        <v>136</v>
      </c>
      <c r="R536" s="162" t="s">
        <v>126</v>
      </c>
      <c r="S536" s="162" t="s">
        <v>2</v>
      </c>
      <c r="T536" s="162" t="s">
        <v>2</v>
      </c>
      <c r="U536" s="162" t="s">
        <v>127</v>
      </c>
      <c r="V536" s="162" t="s">
        <v>198</v>
      </c>
      <c r="W536" s="162" t="s">
        <v>198</v>
      </c>
      <c r="X536" s="162" t="s">
        <v>127</v>
      </c>
      <c r="Y536" s="164">
        <v>44013</v>
      </c>
      <c r="Z536" s="164">
        <v>44008</v>
      </c>
      <c r="AA536" s="164">
        <v>44008</v>
      </c>
      <c r="AB536" s="162" t="s">
        <v>137</v>
      </c>
      <c r="AC536" s="164">
        <v>44013</v>
      </c>
      <c r="AR536" s="162" t="s">
        <v>186</v>
      </c>
      <c r="AS536" s="162">
        <v>875</v>
      </c>
      <c r="AT536" s="162" t="s">
        <v>138</v>
      </c>
      <c r="AV536" s="162" t="s">
        <v>129</v>
      </c>
      <c r="AW536" s="162">
        <v>15907.91</v>
      </c>
      <c r="AX536" s="162">
        <v>15907.91</v>
      </c>
    </row>
    <row r="537" spans="1:50" x14ac:dyDescent="0.2">
      <c r="A537" s="172">
        <v>44013</v>
      </c>
      <c r="B537" s="180" t="s">
        <v>130</v>
      </c>
      <c r="C537" s="162" t="s">
        <v>131</v>
      </c>
      <c r="D537" s="162">
        <v>2101132020</v>
      </c>
      <c r="E537" s="162" t="s">
        <v>132</v>
      </c>
      <c r="F537" s="162">
        <v>875</v>
      </c>
      <c r="G537" s="162" t="s">
        <v>160</v>
      </c>
      <c r="H537" s="162" t="s">
        <v>144</v>
      </c>
      <c r="I537" s="162" t="s">
        <v>197</v>
      </c>
      <c r="J537" s="163">
        <v>5479.55</v>
      </c>
      <c r="K537" s="162" t="s">
        <v>198</v>
      </c>
      <c r="L537" s="162" t="s">
        <v>135</v>
      </c>
      <c r="M537" s="162" t="s">
        <v>219</v>
      </c>
      <c r="N537" s="162" t="s">
        <v>125</v>
      </c>
      <c r="O537" s="163">
        <v>5479.55</v>
      </c>
      <c r="P537" s="162" t="s">
        <v>136</v>
      </c>
      <c r="Q537" s="162" t="s">
        <v>136</v>
      </c>
      <c r="R537" s="162" t="s">
        <v>126</v>
      </c>
      <c r="S537" s="162" t="s">
        <v>2</v>
      </c>
      <c r="T537" s="162" t="s">
        <v>2</v>
      </c>
      <c r="U537" s="162" t="s">
        <v>127</v>
      </c>
      <c r="V537" s="162" t="s">
        <v>198</v>
      </c>
      <c r="W537" s="162" t="s">
        <v>198</v>
      </c>
      <c r="X537" s="162" t="s">
        <v>127</v>
      </c>
      <c r="Y537" s="164">
        <v>44013</v>
      </c>
      <c r="Z537" s="164">
        <v>44008</v>
      </c>
      <c r="AA537" s="164">
        <v>44008</v>
      </c>
      <c r="AB537" s="162" t="s">
        <v>137</v>
      </c>
      <c r="AC537" s="164">
        <v>44013</v>
      </c>
      <c r="AR537" s="162" t="s">
        <v>153</v>
      </c>
      <c r="AS537" s="162">
        <v>875</v>
      </c>
      <c r="AT537" s="162" t="s">
        <v>138</v>
      </c>
      <c r="AV537" s="162" t="s">
        <v>129</v>
      </c>
      <c r="AW537" s="162">
        <v>23739.5</v>
      </c>
      <c r="AX537" s="162">
        <v>23739.5</v>
      </c>
    </row>
    <row r="538" spans="1:50" x14ac:dyDescent="0.2">
      <c r="A538" s="172">
        <v>44013</v>
      </c>
      <c r="B538" s="180" t="s">
        <v>130</v>
      </c>
      <c r="C538" s="162" t="s">
        <v>131</v>
      </c>
      <c r="D538" s="162">
        <v>2159352020</v>
      </c>
      <c r="E538" s="162" t="s">
        <v>132</v>
      </c>
      <c r="F538" s="162">
        <v>875</v>
      </c>
      <c r="G538" s="162" t="s">
        <v>160</v>
      </c>
      <c r="H538" s="162" t="s">
        <v>144</v>
      </c>
      <c r="I538" s="162" t="s">
        <v>197</v>
      </c>
      <c r="J538" s="163">
        <v>109283.94</v>
      </c>
      <c r="K538" s="162" t="s">
        <v>198</v>
      </c>
      <c r="L538" s="162" t="s">
        <v>135</v>
      </c>
      <c r="M538" s="162" t="s">
        <v>220</v>
      </c>
      <c r="N538" s="162" t="s">
        <v>125</v>
      </c>
      <c r="O538" s="163">
        <v>109283.94</v>
      </c>
      <c r="P538" s="162" t="s">
        <v>136</v>
      </c>
      <c r="Q538" s="162" t="s">
        <v>136</v>
      </c>
      <c r="R538" s="162" t="s">
        <v>126</v>
      </c>
      <c r="S538" s="162" t="s">
        <v>2</v>
      </c>
      <c r="T538" s="162" t="s">
        <v>2</v>
      </c>
      <c r="U538" s="162" t="s">
        <v>127</v>
      </c>
      <c r="V538" s="162" t="s">
        <v>198</v>
      </c>
      <c r="W538" s="162" t="s">
        <v>198</v>
      </c>
      <c r="X538" s="162" t="s">
        <v>127</v>
      </c>
      <c r="Y538" s="164">
        <v>44013</v>
      </c>
      <c r="Z538" s="164">
        <v>44008</v>
      </c>
      <c r="AA538" s="164">
        <v>44008</v>
      </c>
      <c r="AB538" s="162" t="s">
        <v>137</v>
      </c>
      <c r="AC538" s="164">
        <v>44013</v>
      </c>
      <c r="AR538" s="162" t="s">
        <v>261</v>
      </c>
      <c r="AS538" s="162">
        <v>875</v>
      </c>
      <c r="AT538" s="162" t="s">
        <v>138</v>
      </c>
      <c r="AV538" s="162" t="s">
        <v>129</v>
      </c>
      <c r="AW538" s="162">
        <v>560.51</v>
      </c>
      <c r="AX538" s="162">
        <v>560.51</v>
      </c>
    </row>
    <row r="539" spans="1:50" x14ac:dyDescent="0.2">
      <c r="A539" s="172">
        <v>44013</v>
      </c>
      <c r="B539" s="180" t="s">
        <v>130</v>
      </c>
      <c r="C539" s="162" t="s">
        <v>131</v>
      </c>
      <c r="D539" s="162">
        <v>2101142020</v>
      </c>
      <c r="E539" s="162" t="s">
        <v>132</v>
      </c>
      <c r="F539" s="162">
        <v>875</v>
      </c>
      <c r="G539" s="162" t="s">
        <v>160</v>
      </c>
      <c r="H539" s="162" t="s">
        <v>144</v>
      </c>
      <c r="I539" s="162" t="s">
        <v>197</v>
      </c>
      <c r="J539" s="163">
        <v>19306.62</v>
      </c>
      <c r="K539" s="162" t="s">
        <v>198</v>
      </c>
      <c r="L539" s="162" t="s">
        <v>135</v>
      </c>
      <c r="M539" s="162" t="s">
        <v>222</v>
      </c>
      <c r="N539" s="162" t="s">
        <v>125</v>
      </c>
      <c r="O539" s="163">
        <v>19306.62</v>
      </c>
      <c r="P539" s="162" t="s">
        <v>136</v>
      </c>
      <c r="Q539" s="162" t="s">
        <v>136</v>
      </c>
      <c r="R539" s="162" t="s">
        <v>126</v>
      </c>
      <c r="S539" s="162" t="s">
        <v>2</v>
      </c>
      <c r="T539" s="162" t="s">
        <v>2</v>
      </c>
      <c r="U539" s="162" t="s">
        <v>127</v>
      </c>
      <c r="V539" s="162" t="s">
        <v>198</v>
      </c>
      <c r="W539" s="162" t="s">
        <v>198</v>
      </c>
      <c r="X539" s="162" t="s">
        <v>127</v>
      </c>
      <c r="Y539" s="164">
        <v>44013</v>
      </c>
      <c r="Z539" s="164">
        <v>44008</v>
      </c>
      <c r="AA539" s="164">
        <v>44008</v>
      </c>
      <c r="AB539" s="162" t="s">
        <v>137</v>
      </c>
      <c r="AC539" s="164">
        <v>44013</v>
      </c>
      <c r="AR539" s="162" t="s">
        <v>263</v>
      </c>
      <c r="AS539" s="162">
        <v>875</v>
      </c>
      <c r="AT539" s="162" t="s">
        <v>138</v>
      </c>
      <c r="AV539" s="162" t="s">
        <v>129</v>
      </c>
      <c r="AW539" s="162">
        <v>503.86</v>
      </c>
      <c r="AX539" s="162">
        <v>503.86</v>
      </c>
    </row>
    <row r="540" spans="1:50" x14ac:dyDescent="0.2">
      <c r="A540" s="172">
        <v>44013</v>
      </c>
      <c r="B540" s="180" t="s">
        <v>130</v>
      </c>
      <c r="C540" s="162" t="s">
        <v>131</v>
      </c>
      <c r="D540" s="162">
        <v>2101132020</v>
      </c>
      <c r="E540" s="162" t="s">
        <v>132</v>
      </c>
      <c r="F540" s="162">
        <v>875</v>
      </c>
      <c r="G540" s="162" t="s">
        <v>160</v>
      </c>
      <c r="H540" s="162" t="s">
        <v>144</v>
      </c>
      <c r="I540" s="162" t="s">
        <v>197</v>
      </c>
      <c r="J540" s="163">
        <v>27888.52</v>
      </c>
      <c r="K540" s="162" t="s">
        <v>198</v>
      </c>
      <c r="L540" s="162" t="s">
        <v>135</v>
      </c>
      <c r="M540" s="162" t="s">
        <v>224</v>
      </c>
      <c r="N540" s="162" t="s">
        <v>125</v>
      </c>
      <c r="O540" s="163">
        <v>27888.52</v>
      </c>
      <c r="P540" s="162" t="s">
        <v>136</v>
      </c>
      <c r="Q540" s="162" t="s">
        <v>136</v>
      </c>
      <c r="R540" s="162" t="s">
        <v>126</v>
      </c>
      <c r="S540" s="162" t="s">
        <v>2</v>
      </c>
      <c r="T540" s="162" t="s">
        <v>2</v>
      </c>
      <c r="U540" s="162" t="s">
        <v>127</v>
      </c>
      <c r="V540" s="162" t="s">
        <v>198</v>
      </c>
      <c r="W540" s="162" t="s">
        <v>198</v>
      </c>
      <c r="X540" s="162" t="s">
        <v>127</v>
      </c>
      <c r="Y540" s="164">
        <v>44013</v>
      </c>
      <c r="Z540" s="164">
        <v>44008</v>
      </c>
      <c r="AA540" s="164">
        <v>44008</v>
      </c>
      <c r="AB540" s="162" t="s">
        <v>137</v>
      </c>
      <c r="AC540" s="164">
        <v>44013</v>
      </c>
      <c r="AR540" s="162" t="s">
        <v>185</v>
      </c>
      <c r="AS540" s="162">
        <v>875</v>
      </c>
      <c r="AT540" s="162" t="s">
        <v>138</v>
      </c>
      <c r="AV540" s="162" t="s">
        <v>129</v>
      </c>
      <c r="AW540" s="162">
        <v>2169.2600000000002</v>
      </c>
      <c r="AX540" s="162">
        <v>2169.2600000000002</v>
      </c>
    </row>
    <row r="541" spans="1:50" x14ac:dyDescent="0.2">
      <c r="A541" s="172">
        <v>44013</v>
      </c>
      <c r="B541" s="180" t="s">
        <v>130</v>
      </c>
      <c r="C541" s="162" t="s">
        <v>131</v>
      </c>
      <c r="D541" s="162">
        <v>2159352020</v>
      </c>
      <c r="E541" s="162" t="s">
        <v>132</v>
      </c>
      <c r="F541" s="162">
        <v>875</v>
      </c>
      <c r="G541" s="162" t="s">
        <v>160</v>
      </c>
      <c r="H541" s="162" t="s">
        <v>144</v>
      </c>
      <c r="I541" s="162" t="s">
        <v>197</v>
      </c>
      <c r="J541" s="163">
        <v>1886.52</v>
      </c>
      <c r="K541" s="162" t="s">
        <v>198</v>
      </c>
      <c r="L541" s="162" t="s">
        <v>135</v>
      </c>
      <c r="M541" s="162" t="s">
        <v>225</v>
      </c>
      <c r="N541" s="162" t="s">
        <v>125</v>
      </c>
      <c r="O541" s="163">
        <v>1886.52</v>
      </c>
      <c r="P541" s="162" t="s">
        <v>136</v>
      </c>
      <c r="Q541" s="162" t="s">
        <v>136</v>
      </c>
      <c r="R541" s="162" t="s">
        <v>126</v>
      </c>
      <c r="S541" s="162" t="s">
        <v>2</v>
      </c>
      <c r="T541" s="162" t="s">
        <v>2</v>
      </c>
      <c r="U541" s="162" t="s">
        <v>127</v>
      </c>
      <c r="V541" s="162" t="s">
        <v>198</v>
      </c>
      <c r="W541" s="162" t="s">
        <v>198</v>
      </c>
      <c r="X541" s="162" t="s">
        <v>127</v>
      </c>
      <c r="Y541" s="164">
        <v>44013</v>
      </c>
      <c r="Z541" s="164">
        <v>44008</v>
      </c>
      <c r="AA541" s="164">
        <v>44008</v>
      </c>
      <c r="AB541" s="162" t="s">
        <v>137</v>
      </c>
      <c r="AC541" s="164">
        <v>44013</v>
      </c>
      <c r="AR541" s="162" t="s">
        <v>199</v>
      </c>
      <c r="AS541" s="162">
        <v>875</v>
      </c>
      <c r="AT541" s="162" t="s">
        <v>138</v>
      </c>
      <c r="AV541" s="162" t="s">
        <v>129</v>
      </c>
      <c r="AW541" s="162">
        <v>5422.41</v>
      </c>
      <c r="AX541" s="162">
        <v>5422.41</v>
      </c>
    </row>
    <row r="542" spans="1:50" x14ac:dyDescent="0.2">
      <c r="A542" s="172">
        <v>44013</v>
      </c>
      <c r="B542" s="180" t="s">
        <v>130</v>
      </c>
      <c r="C542" s="162" t="s">
        <v>131</v>
      </c>
      <c r="D542" s="162">
        <v>2101142020</v>
      </c>
      <c r="E542" s="162" t="s">
        <v>132</v>
      </c>
      <c r="F542" s="162">
        <v>875</v>
      </c>
      <c r="G542" s="162" t="s">
        <v>160</v>
      </c>
      <c r="H542" s="162" t="s">
        <v>144</v>
      </c>
      <c r="I542" s="162" t="s">
        <v>197</v>
      </c>
      <c r="J542" s="163">
        <v>21778.12</v>
      </c>
      <c r="K542" s="162" t="s">
        <v>198</v>
      </c>
      <c r="L542" s="162" t="s">
        <v>135</v>
      </c>
      <c r="M542" s="162" t="s">
        <v>227</v>
      </c>
      <c r="N542" s="162" t="s">
        <v>125</v>
      </c>
      <c r="O542" s="163">
        <v>21778.12</v>
      </c>
      <c r="P542" s="162" t="s">
        <v>136</v>
      </c>
      <c r="Q542" s="162" t="s">
        <v>136</v>
      </c>
      <c r="R542" s="162" t="s">
        <v>126</v>
      </c>
      <c r="S542" s="162" t="s">
        <v>2</v>
      </c>
      <c r="T542" s="162" t="s">
        <v>2</v>
      </c>
      <c r="U542" s="162" t="s">
        <v>127</v>
      </c>
      <c r="V542" s="162" t="s">
        <v>198</v>
      </c>
      <c r="W542" s="162" t="s">
        <v>198</v>
      </c>
      <c r="X542" s="162" t="s">
        <v>127</v>
      </c>
      <c r="Y542" s="164">
        <v>44013</v>
      </c>
      <c r="Z542" s="164">
        <v>44008</v>
      </c>
      <c r="AA542" s="164">
        <v>44008</v>
      </c>
      <c r="AB542" s="162" t="s">
        <v>137</v>
      </c>
      <c r="AC542" s="164">
        <v>44013</v>
      </c>
      <c r="AR542" s="162" t="s">
        <v>141</v>
      </c>
      <c r="AS542" s="162">
        <v>1284</v>
      </c>
      <c r="AT542" s="162" t="s">
        <v>138</v>
      </c>
      <c r="AV542" s="162" t="s">
        <v>129</v>
      </c>
      <c r="AW542" s="162">
        <v>4149.83</v>
      </c>
      <c r="AX542" s="162">
        <v>4149.83</v>
      </c>
    </row>
    <row r="543" spans="1:50" x14ac:dyDescent="0.2">
      <c r="A543" s="172">
        <v>44013</v>
      </c>
      <c r="B543" s="180" t="s">
        <v>130</v>
      </c>
      <c r="C543" s="162" t="s">
        <v>131</v>
      </c>
      <c r="D543" s="162">
        <v>2101132020</v>
      </c>
      <c r="E543" s="162" t="s">
        <v>132</v>
      </c>
      <c r="F543" s="162">
        <v>875</v>
      </c>
      <c r="G543" s="162" t="s">
        <v>160</v>
      </c>
      <c r="H543" s="162" t="s">
        <v>144</v>
      </c>
      <c r="I543" s="162" t="s">
        <v>197</v>
      </c>
      <c r="J543" s="163">
        <v>28758.29</v>
      </c>
      <c r="K543" s="162" t="s">
        <v>198</v>
      </c>
      <c r="L543" s="162" t="s">
        <v>135</v>
      </c>
      <c r="M543" s="162" t="s">
        <v>228</v>
      </c>
      <c r="N543" s="162" t="s">
        <v>125</v>
      </c>
      <c r="O543" s="163">
        <v>28758.29</v>
      </c>
      <c r="P543" s="162" t="s">
        <v>136</v>
      </c>
      <c r="Q543" s="162" t="s">
        <v>136</v>
      </c>
      <c r="R543" s="162" t="s">
        <v>126</v>
      </c>
      <c r="S543" s="162" t="s">
        <v>2</v>
      </c>
      <c r="T543" s="162" t="s">
        <v>2</v>
      </c>
      <c r="U543" s="162" t="s">
        <v>127</v>
      </c>
      <c r="V543" s="162" t="s">
        <v>198</v>
      </c>
      <c r="W543" s="162" t="s">
        <v>198</v>
      </c>
      <c r="X543" s="162" t="s">
        <v>127</v>
      </c>
      <c r="Y543" s="164">
        <v>44013</v>
      </c>
      <c r="Z543" s="164">
        <v>44008</v>
      </c>
      <c r="AA543" s="164">
        <v>44008</v>
      </c>
      <c r="AB543" s="162" t="s">
        <v>137</v>
      </c>
      <c r="AC543" s="164">
        <v>44013</v>
      </c>
      <c r="AR543" s="162" t="s">
        <v>175</v>
      </c>
      <c r="AS543" s="162">
        <v>1284</v>
      </c>
      <c r="AT543" s="162" t="s">
        <v>138</v>
      </c>
      <c r="AV543" s="162" t="s">
        <v>129</v>
      </c>
      <c r="AW543" s="162">
        <v>1956.15</v>
      </c>
      <c r="AX543" s="162">
        <v>1956.15</v>
      </c>
    </row>
    <row r="544" spans="1:50" x14ac:dyDescent="0.2">
      <c r="A544" s="172">
        <v>44013</v>
      </c>
      <c r="B544" s="180" t="s">
        <v>130</v>
      </c>
      <c r="C544" s="162" t="s">
        <v>131</v>
      </c>
      <c r="D544" s="162">
        <v>2353342020</v>
      </c>
      <c r="E544" s="162" t="s">
        <v>132</v>
      </c>
      <c r="F544" s="162">
        <v>875</v>
      </c>
      <c r="G544" s="162" t="s">
        <v>178</v>
      </c>
      <c r="H544" s="162" t="s">
        <v>144</v>
      </c>
      <c r="I544" s="162" t="s">
        <v>197</v>
      </c>
      <c r="J544" s="163">
        <v>914.17</v>
      </c>
      <c r="K544" s="162" t="s">
        <v>198</v>
      </c>
      <c r="L544" s="162" t="s">
        <v>135</v>
      </c>
      <c r="M544" s="162" t="s">
        <v>229</v>
      </c>
      <c r="N544" s="162" t="s">
        <v>125</v>
      </c>
      <c r="O544" s="163">
        <v>914.17</v>
      </c>
      <c r="P544" s="162" t="s">
        <v>136</v>
      </c>
      <c r="Q544" s="162" t="s">
        <v>136</v>
      </c>
      <c r="R544" s="162" t="s">
        <v>126</v>
      </c>
      <c r="S544" s="162" t="s">
        <v>2</v>
      </c>
      <c r="T544" s="162" t="s">
        <v>2</v>
      </c>
      <c r="U544" s="162" t="s">
        <v>127</v>
      </c>
      <c r="V544" s="162" t="s">
        <v>198</v>
      </c>
      <c r="W544" s="162" t="s">
        <v>198</v>
      </c>
      <c r="X544" s="162" t="s">
        <v>127</v>
      </c>
      <c r="Y544" s="164">
        <v>44013</v>
      </c>
      <c r="Z544" s="164">
        <v>44008</v>
      </c>
      <c r="AA544" s="164">
        <v>44008</v>
      </c>
      <c r="AB544" s="162" t="s">
        <v>137</v>
      </c>
      <c r="AC544" s="164">
        <v>44013</v>
      </c>
      <c r="AR544" s="162" t="s">
        <v>142</v>
      </c>
      <c r="AS544" s="162">
        <v>1284</v>
      </c>
      <c r="AT544" s="162" t="s">
        <v>138</v>
      </c>
      <c r="AV544" s="162" t="s">
        <v>129</v>
      </c>
      <c r="AW544" s="162">
        <v>3032.03</v>
      </c>
      <c r="AX544" s="162">
        <v>3032.03</v>
      </c>
    </row>
    <row r="545" spans="1:50" x14ac:dyDescent="0.2">
      <c r="A545" s="172">
        <v>44013</v>
      </c>
      <c r="B545" s="180" t="s">
        <v>130</v>
      </c>
      <c r="C545" s="162" t="s">
        <v>131</v>
      </c>
      <c r="D545" s="162">
        <v>3013772020</v>
      </c>
      <c r="E545" s="162" t="s">
        <v>132</v>
      </c>
      <c r="F545" s="162">
        <v>875</v>
      </c>
      <c r="G545" s="162" t="s">
        <v>163</v>
      </c>
      <c r="H545" s="162" t="s">
        <v>144</v>
      </c>
      <c r="I545" s="162" t="s">
        <v>197</v>
      </c>
      <c r="J545" s="163">
        <v>19.53</v>
      </c>
      <c r="K545" s="162" t="s">
        <v>198</v>
      </c>
      <c r="L545" s="162" t="s">
        <v>135</v>
      </c>
      <c r="M545" s="162" t="s">
        <v>230</v>
      </c>
      <c r="N545" s="162" t="s">
        <v>125</v>
      </c>
      <c r="O545" s="163">
        <v>19.53</v>
      </c>
      <c r="P545" s="162" t="s">
        <v>136</v>
      </c>
      <c r="Q545" s="162" t="s">
        <v>136</v>
      </c>
      <c r="R545" s="162" t="s">
        <v>126</v>
      </c>
      <c r="S545" s="162" t="s">
        <v>2</v>
      </c>
      <c r="T545" s="162" t="s">
        <v>2</v>
      </c>
      <c r="U545" s="162" t="s">
        <v>127</v>
      </c>
      <c r="V545" s="162" t="s">
        <v>198</v>
      </c>
      <c r="W545" s="162" t="s">
        <v>198</v>
      </c>
      <c r="X545" s="162" t="s">
        <v>127</v>
      </c>
      <c r="Y545" s="164">
        <v>44013</v>
      </c>
      <c r="Z545" s="164">
        <v>44008</v>
      </c>
      <c r="AA545" s="164">
        <v>44008</v>
      </c>
      <c r="AB545" s="162" t="s">
        <v>137</v>
      </c>
      <c r="AC545" s="164">
        <v>44013</v>
      </c>
      <c r="AR545" s="162" t="s">
        <v>174</v>
      </c>
      <c r="AS545" s="162">
        <v>1284</v>
      </c>
      <c r="AT545" s="162" t="s">
        <v>138</v>
      </c>
      <c r="AV545" s="162" t="s">
        <v>129</v>
      </c>
      <c r="AW545" s="162">
        <v>1956.15</v>
      </c>
      <c r="AX545" s="162">
        <v>1956.15</v>
      </c>
    </row>
    <row r="546" spans="1:50" x14ac:dyDescent="0.2">
      <c r="A546" s="172">
        <v>44013</v>
      </c>
      <c r="B546" s="180" t="s">
        <v>130</v>
      </c>
      <c r="C546" s="162" t="s">
        <v>131</v>
      </c>
      <c r="D546" s="162">
        <v>3011282020</v>
      </c>
      <c r="E546" s="162" t="s">
        <v>132</v>
      </c>
      <c r="F546" s="162">
        <v>875</v>
      </c>
      <c r="G546" s="162" t="s">
        <v>176</v>
      </c>
      <c r="H546" s="162" t="s">
        <v>144</v>
      </c>
      <c r="I546" s="162" t="s">
        <v>197</v>
      </c>
      <c r="J546" s="163">
        <v>4374</v>
      </c>
      <c r="K546" s="162" t="s">
        <v>198</v>
      </c>
      <c r="L546" s="162" t="s">
        <v>135</v>
      </c>
      <c r="M546" s="162" t="s">
        <v>231</v>
      </c>
      <c r="N546" s="162" t="s">
        <v>125</v>
      </c>
      <c r="O546" s="163">
        <v>4374</v>
      </c>
      <c r="P546" s="162" t="s">
        <v>136</v>
      </c>
      <c r="Q546" s="162" t="s">
        <v>136</v>
      </c>
      <c r="R546" s="162" t="s">
        <v>126</v>
      </c>
      <c r="S546" s="162" t="s">
        <v>2</v>
      </c>
      <c r="T546" s="162" t="s">
        <v>2</v>
      </c>
      <c r="U546" s="162" t="s">
        <v>127</v>
      </c>
      <c r="V546" s="162" t="s">
        <v>198</v>
      </c>
      <c r="W546" s="162" t="s">
        <v>198</v>
      </c>
      <c r="X546" s="162" t="s">
        <v>127</v>
      </c>
      <c r="Y546" s="164">
        <v>44013</v>
      </c>
      <c r="Z546" s="164">
        <v>44008</v>
      </c>
      <c r="AA546" s="164">
        <v>44008</v>
      </c>
      <c r="AB546" s="162" t="s">
        <v>137</v>
      </c>
      <c r="AC546" s="164">
        <v>44013</v>
      </c>
      <c r="AR546" s="162" t="s">
        <v>148</v>
      </c>
      <c r="AS546" s="162">
        <v>1284</v>
      </c>
      <c r="AT546" s="162" t="s">
        <v>138</v>
      </c>
      <c r="AV546" s="162" t="s">
        <v>129</v>
      </c>
      <c r="AW546" s="162">
        <v>3032.03</v>
      </c>
      <c r="AX546" s="162">
        <v>3032.03</v>
      </c>
    </row>
    <row r="547" spans="1:50" x14ac:dyDescent="0.2">
      <c r="A547" s="172">
        <v>44013</v>
      </c>
      <c r="B547" s="180" t="s">
        <v>130</v>
      </c>
      <c r="C547" s="162" t="s">
        <v>131</v>
      </c>
      <c r="D547" s="162">
        <v>2510522020</v>
      </c>
      <c r="E547" s="162" t="s">
        <v>132</v>
      </c>
      <c r="F547" s="162">
        <v>875</v>
      </c>
      <c r="G547" s="162" t="s">
        <v>146</v>
      </c>
      <c r="H547" s="162" t="s">
        <v>144</v>
      </c>
      <c r="I547" s="162" t="s">
        <v>197</v>
      </c>
      <c r="J547" s="163">
        <v>5422.41</v>
      </c>
      <c r="K547" s="162" t="s">
        <v>198</v>
      </c>
      <c r="L547" s="162" t="s">
        <v>135</v>
      </c>
      <c r="M547" s="162" t="s">
        <v>232</v>
      </c>
      <c r="N547" s="162" t="s">
        <v>125</v>
      </c>
      <c r="O547" s="163">
        <v>5422.41</v>
      </c>
      <c r="P547" s="162" t="s">
        <v>136</v>
      </c>
      <c r="Q547" s="162" t="s">
        <v>136</v>
      </c>
      <c r="R547" s="162" t="s">
        <v>126</v>
      </c>
      <c r="S547" s="162" t="s">
        <v>2</v>
      </c>
      <c r="T547" s="162" t="s">
        <v>2</v>
      </c>
      <c r="U547" s="162" t="s">
        <v>127</v>
      </c>
      <c r="V547" s="162" t="s">
        <v>198</v>
      </c>
      <c r="W547" s="162" t="s">
        <v>198</v>
      </c>
      <c r="X547" s="162" t="s">
        <v>127</v>
      </c>
      <c r="Y547" s="164">
        <v>44013</v>
      </c>
      <c r="Z547" s="164">
        <v>44008</v>
      </c>
      <c r="AA547" s="164">
        <v>44008</v>
      </c>
      <c r="AB547" s="162" t="s">
        <v>137</v>
      </c>
      <c r="AC547" s="164">
        <v>44013</v>
      </c>
      <c r="AR547" s="162" t="s">
        <v>151</v>
      </c>
      <c r="AS547" s="162">
        <v>1284</v>
      </c>
      <c r="AT547" s="162" t="s">
        <v>138</v>
      </c>
      <c r="AV547" s="162" t="s">
        <v>129</v>
      </c>
      <c r="AW547" s="162">
        <v>3558.33</v>
      </c>
      <c r="AX547" s="162">
        <v>3558.33</v>
      </c>
    </row>
    <row r="548" spans="1:50" x14ac:dyDescent="0.2">
      <c r="A548" s="172">
        <v>44013</v>
      </c>
      <c r="B548" s="180" t="s">
        <v>130</v>
      </c>
      <c r="C548" s="162" t="s">
        <v>131</v>
      </c>
      <c r="D548" s="162">
        <v>2808872020</v>
      </c>
      <c r="E548" s="162" t="s">
        <v>132</v>
      </c>
      <c r="F548" s="162">
        <v>875</v>
      </c>
      <c r="G548" s="162" t="s">
        <v>146</v>
      </c>
      <c r="H548" s="162" t="s">
        <v>144</v>
      </c>
      <c r="I548" s="162" t="s">
        <v>197</v>
      </c>
      <c r="J548" s="163">
        <v>4761.1400000000003</v>
      </c>
      <c r="K548" s="162" t="s">
        <v>198</v>
      </c>
      <c r="L548" s="162" t="s">
        <v>135</v>
      </c>
      <c r="M548" s="162" t="s">
        <v>233</v>
      </c>
      <c r="N548" s="162" t="s">
        <v>125</v>
      </c>
      <c r="O548" s="163">
        <v>4761.1400000000003</v>
      </c>
      <c r="P548" s="162" t="s">
        <v>136</v>
      </c>
      <c r="Q548" s="162" t="s">
        <v>136</v>
      </c>
      <c r="R548" s="162" t="s">
        <v>126</v>
      </c>
      <c r="S548" s="162" t="s">
        <v>2</v>
      </c>
      <c r="T548" s="162" t="s">
        <v>2</v>
      </c>
      <c r="U548" s="162" t="s">
        <v>127</v>
      </c>
      <c r="V548" s="162" t="s">
        <v>198</v>
      </c>
      <c r="W548" s="162" t="s">
        <v>198</v>
      </c>
      <c r="X548" s="162" t="s">
        <v>127</v>
      </c>
      <c r="Y548" s="164">
        <v>44013</v>
      </c>
      <c r="Z548" s="164">
        <v>44008</v>
      </c>
      <c r="AA548" s="164">
        <v>44008</v>
      </c>
      <c r="AB548" s="162" t="s">
        <v>137</v>
      </c>
      <c r="AC548" s="164">
        <v>44013</v>
      </c>
      <c r="AR548" s="162" t="s">
        <v>273</v>
      </c>
      <c r="AS548" s="162">
        <v>1284</v>
      </c>
      <c r="AT548" s="162" t="s">
        <v>138</v>
      </c>
      <c r="AV548" s="162" t="s">
        <v>129</v>
      </c>
      <c r="AW548" s="162">
        <v>3423.26</v>
      </c>
      <c r="AX548" s="162">
        <v>3423.26</v>
      </c>
    </row>
    <row r="549" spans="1:50" x14ac:dyDescent="0.2">
      <c r="A549" s="172">
        <v>44013</v>
      </c>
      <c r="B549" s="180" t="s">
        <v>130</v>
      </c>
      <c r="C549" s="162" t="s">
        <v>131</v>
      </c>
      <c r="D549" s="162">
        <v>2510542020</v>
      </c>
      <c r="E549" s="162" t="s">
        <v>132</v>
      </c>
      <c r="F549" s="162">
        <v>875</v>
      </c>
      <c r="G549" s="162" t="s">
        <v>146</v>
      </c>
      <c r="H549" s="162" t="s">
        <v>144</v>
      </c>
      <c r="I549" s="162" t="s">
        <v>197</v>
      </c>
      <c r="J549" s="163">
        <v>111.97</v>
      </c>
      <c r="K549" s="162" t="s">
        <v>198</v>
      </c>
      <c r="L549" s="162" t="s">
        <v>135</v>
      </c>
      <c r="M549" s="162" t="s">
        <v>235</v>
      </c>
      <c r="N549" s="162" t="s">
        <v>125</v>
      </c>
      <c r="O549" s="163">
        <v>111.97</v>
      </c>
      <c r="P549" s="162" t="s">
        <v>136</v>
      </c>
      <c r="Q549" s="162" t="s">
        <v>136</v>
      </c>
      <c r="R549" s="162" t="s">
        <v>126</v>
      </c>
      <c r="S549" s="162" t="s">
        <v>2</v>
      </c>
      <c r="T549" s="162" t="s">
        <v>2</v>
      </c>
      <c r="U549" s="162" t="s">
        <v>127</v>
      </c>
      <c r="V549" s="162" t="s">
        <v>198</v>
      </c>
      <c r="W549" s="162" t="s">
        <v>198</v>
      </c>
      <c r="X549" s="162" t="s">
        <v>127</v>
      </c>
      <c r="Y549" s="164">
        <v>44013</v>
      </c>
      <c r="Z549" s="164">
        <v>44008</v>
      </c>
      <c r="AA549" s="164">
        <v>44008</v>
      </c>
      <c r="AB549" s="162" t="s">
        <v>137</v>
      </c>
      <c r="AC549" s="164">
        <v>44013</v>
      </c>
      <c r="AR549" s="162" t="s">
        <v>275</v>
      </c>
      <c r="AS549" s="162">
        <v>1284</v>
      </c>
      <c r="AT549" s="162" t="s">
        <v>138</v>
      </c>
      <c r="AV549" s="162" t="s">
        <v>129</v>
      </c>
      <c r="AW549" s="162">
        <v>5132.5600000000004</v>
      </c>
      <c r="AX549" s="162">
        <v>5132.5600000000004</v>
      </c>
    </row>
    <row r="550" spans="1:50" x14ac:dyDescent="0.2">
      <c r="A550" s="172">
        <v>44013</v>
      </c>
      <c r="B550" s="180" t="s">
        <v>130</v>
      </c>
      <c r="C550" s="162" t="s">
        <v>131</v>
      </c>
      <c r="D550" s="162">
        <v>2510522020</v>
      </c>
      <c r="E550" s="162" t="s">
        <v>132</v>
      </c>
      <c r="F550" s="162">
        <v>875</v>
      </c>
      <c r="G550" s="162" t="s">
        <v>146</v>
      </c>
      <c r="H550" s="162" t="s">
        <v>144</v>
      </c>
      <c r="I550" s="162" t="s">
        <v>197</v>
      </c>
      <c r="J550" s="163">
        <v>573.84</v>
      </c>
      <c r="K550" s="162" t="s">
        <v>198</v>
      </c>
      <c r="L550" s="162" t="s">
        <v>135</v>
      </c>
      <c r="M550" s="162" t="s">
        <v>237</v>
      </c>
      <c r="N550" s="162" t="s">
        <v>125</v>
      </c>
      <c r="O550" s="163">
        <v>573.84</v>
      </c>
      <c r="P550" s="162" t="s">
        <v>136</v>
      </c>
      <c r="Q550" s="162" t="s">
        <v>136</v>
      </c>
      <c r="R550" s="162" t="s">
        <v>126</v>
      </c>
      <c r="S550" s="162" t="s">
        <v>2</v>
      </c>
      <c r="T550" s="162" t="s">
        <v>2</v>
      </c>
      <c r="U550" s="162" t="s">
        <v>127</v>
      </c>
      <c r="V550" s="162" t="s">
        <v>198</v>
      </c>
      <c r="W550" s="162" t="s">
        <v>198</v>
      </c>
      <c r="X550" s="162" t="s">
        <v>127</v>
      </c>
      <c r="Y550" s="164">
        <v>44013</v>
      </c>
      <c r="Z550" s="164">
        <v>44008</v>
      </c>
      <c r="AA550" s="164">
        <v>44008</v>
      </c>
      <c r="AB550" s="162" t="s">
        <v>137</v>
      </c>
      <c r="AC550" s="164">
        <v>44013</v>
      </c>
      <c r="AR550" s="162" t="s">
        <v>277</v>
      </c>
      <c r="AS550" s="162">
        <v>1284</v>
      </c>
      <c r="AT550" s="162" t="s">
        <v>138</v>
      </c>
      <c r="AV550" s="162" t="s">
        <v>129</v>
      </c>
      <c r="AW550" s="162">
        <v>978.07</v>
      </c>
      <c r="AX550" s="162">
        <v>978.07</v>
      </c>
    </row>
    <row r="551" spans="1:50" x14ac:dyDescent="0.2">
      <c r="A551" s="172">
        <v>44013</v>
      </c>
      <c r="B551" s="180" t="s">
        <v>130</v>
      </c>
      <c r="C551" s="162" t="s">
        <v>131</v>
      </c>
      <c r="D551" s="162">
        <v>2510532020</v>
      </c>
      <c r="E551" s="162" t="s">
        <v>132</v>
      </c>
      <c r="F551" s="162">
        <v>875</v>
      </c>
      <c r="G551" s="162" t="s">
        <v>146</v>
      </c>
      <c r="H551" s="162" t="s">
        <v>144</v>
      </c>
      <c r="I551" s="162" t="s">
        <v>197</v>
      </c>
      <c r="J551" s="163">
        <v>1421.73</v>
      </c>
      <c r="K551" s="162" t="s">
        <v>198</v>
      </c>
      <c r="L551" s="162" t="s">
        <v>135</v>
      </c>
      <c r="M551" s="162" t="s">
        <v>239</v>
      </c>
      <c r="N551" s="162" t="s">
        <v>125</v>
      </c>
      <c r="O551" s="163">
        <v>1421.73</v>
      </c>
      <c r="P551" s="162" t="s">
        <v>136</v>
      </c>
      <c r="Q551" s="162" t="s">
        <v>136</v>
      </c>
      <c r="R551" s="162" t="s">
        <v>126</v>
      </c>
      <c r="S551" s="162" t="s">
        <v>2</v>
      </c>
      <c r="T551" s="162" t="s">
        <v>2</v>
      </c>
      <c r="U551" s="162" t="s">
        <v>127</v>
      </c>
      <c r="V551" s="162" t="s">
        <v>198</v>
      </c>
      <c r="W551" s="162" t="s">
        <v>198</v>
      </c>
      <c r="X551" s="162" t="s">
        <v>127</v>
      </c>
      <c r="Y551" s="164">
        <v>44013</v>
      </c>
      <c r="Z551" s="164">
        <v>44008</v>
      </c>
      <c r="AA551" s="164">
        <v>44008</v>
      </c>
      <c r="AB551" s="162" t="s">
        <v>137</v>
      </c>
      <c r="AC551" s="164">
        <v>44013</v>
      </c>
      <c r="AR551" s="162" t="s">
        <v>279</v>
      </c>
      <c r="AS551" s="162">
        <v>1284</v>
      </c>
      <c r="AT551" s="162" t="s">
        <v>138</v>
      </c>
      <c r="AV551" s="162" t="s">
        <v>129</v>
      </c>
      <c r="AW551" s="162">
        <v>1518.34</v>
      </c>
      <c r="AX551" s="162">
        <v>1518.34</v>
      </c>
    </row>
    <row r="552" spans="1:50" x14ac:dyDescent="0.2">
      <c r="A552" s="172">
        <v>44013</v>
      </c>
      <c r="B552" s="180" t="s">
        <v>130</v>
      </c>
      <c r="C552" s="162" t="s">
        <v>131</v>
      </c>
      <c r="D552" s="162">
        <v>2876382020</v>
      </c>
      <c r="E552" s="162" t="s">
        <v>132</v>
      </c>
      <c r="F552" s="162">
        <v>875</v>
      </c>
      <c r="G552" s="162" t="s">
        <v>178</v>
      </c>
      <c r="H552" s="162" t="s">
        <v>144</v>
      </c>
      <c r="I552" s="162" t="s">
        <v>197</v>
      </c>
      <c r="J552" s="163">
        <v>231.66</v>
      </c>
      <c r="K552" s="162" t="s">
        <v>198</v>
      </c>
      <c r="L552" s="162" t="s">
        <v>135</v>
      </c>
      <c r="M552" s="162" t="s">
        <v>241</v>
      </c>
      <c r="N552" s="162" t="s">
        <v>125</v>
      </c>
      <c r="O552" s="163">
        <v>231.66</v>
      </c>
      <c r="P552" s="162" t="s">
        <v>136</v>
      </c>
      <c r="Q552" s="162" t="s">
        <v>136</v>
      </c>
      <c r="R552" s="162" t="s">
        <v>126</v>
      </c>
      <c r="S552" s="162" t="s">
        <v>2</v>
      </c>
      <c r="T552" s="162" t="s">
        <v>2</v>
      </c>
      <c r="U552" s="162" t="s">
        <v>127</v>
      </c>
      <c r="V552" s="162" t="s">
        <v>198</v>
      </c>
      <c r="W552" s="162" t="s">
        <v>198</v>
      </c>
      <c r="X552" s="162" t="s">
        <v>127</v>
      </c>
      <c r="Y552" s="164">
        <v>44013</v>
      </c>
      <c r="Z552" s="164">
        <v>44008</v>
      </c>
      <c r="AA552" s="164">
        <v>44008</v>
      </c>
      <c r="AB552" s="162" t="s">
        <v>137</v>
      </c>
      <c r="AC552" s="164">
        <v>44013</v>
      </c>
      <c r="AR552" s="162" t="s">
        <v>150</v>
      </c>
      <c r="AS552" s="162">
        <v>1284</v>
      </c>
      <c r="AT552" s="162" t="s">
        <v>138</v>
      </c>
      <c r="AV552" s="162" t="s">
        <v>129</v>
      </c>
      <c r="AW552" s="162">
        <v>4149.83</v>
      </c>
      <c r="AX552" s="162">
        <v>4149.83</v>
      </c>
    </row>
    <row r="553" spans="1:50" x14ac:dyDescent="0.2">
      <c r="A553" s="172">
        <v>44013</v>
      </c>
      <c r="B553" s="180" t="s">
        <v>130</v>
      </c>
      <c r="C553" s="162" t="s">
        <v>131</v>
      </c>
      <c r="D553" s="162">
        <v>2751302020</v>
      </c>
      <c r="E553" s="162" t="s">
        <v>132</v>
      </c>
      <c r="F553" s="162">
        <v>875</v>
      </c>
      <c r="G553" s="162" t="s">
        <v>159</v>
      </c>
      <c r="H553" s="162" t="s">
        <v>144</v>
      </c>
      <c r="I553" s="162" t="s">
        <v>197</v>
      </c>
      <c r="J553" s="163">
        <v>177.86</v>
      </c>
      <c r="K553" s="162" t="s">
        <v>198</v>
      </c>
      <c r="L553" s="162" t="s">
        <v>135</v>
      </c>
      <c r="M553" s="162" t="s">
        <v>242</v>
      </c>
      <c r="N553" s="162" t="s">
        <v>125</v>
      </c>
      <c r="O553" s="163">
        <v>177.86</v>
      </c>
      <c r="P553" s="162" t="s">
        <v>136</v>
      </c>
      <c r="Q553" s="162" t="s">
        <v>136</v>
      </c>
      <c r="R553" s="162" t="s">
        <v>126</v>
      </c>
      <c r="S553" s="162" t="s">
        <v>2</v>
      </c>
      <c r="T553" s="162" t="s">
        <v>2</v>
      </c>
      <c r="U553" s="162" t="s">
        <v>127</v>
      </c>
      <c r="V553" s="162" t="s">
        <v>198</v>
      </c>
      <c r="W553" s="162" t="s">
        <v>198</v>
      </c>
      <c r="X553" s="162" t="s">
        <v>127</v>
      </c>
      <c r="Y553" s="164">
        <v>44013</v>
      </c>
      <c r="Z553" s="164">
        <v>44008</v>
      </c>
      <c r="AA553" s="164">
        <v>44008</v>
      </c>
      <c r="AB553" s="162" t="s">
        <v>137</v>
      </c>
      <c r="AC553" s="164">
        <v>44013</v>
      </c>
      <c r="AR553" s="162">
        <v>182813540001</v>
      </c>
      <c r="AS553" s="162">
        <v>775</v>
      </c>
      <c r="AT553" s="162" t="s">
        <v>138</v>
      </c>
      <c r="AV553" s="162" t="s">
        <v>129</v>
      </c>
      <c r="AW553" s="162">
        <v>1074.72</v>
      </c>
      <c r="AX553" s="162">
        <v>1074.72</v>
      </c>
    </row>
    <row r="554" spans="1:50" x14ac:dyDescent="0.2">
      <c r="A554" s="172">
        <v>44013</v>
      </c>
      <c r="B554" s="180" t="s">
        <v>130</v>
      </c>
      <c r="C554" s="162" t="s">
        <v>131</v>
      </c>
      <c r="D554" s="162">
        <v>3011202020</v>
      </c>
      <c r="E554" s="162" t="s">
        <v>132</v>
      </c>
      <c r="F554" s="162">
        <v>875</v>
      </c>
      <c r="G554" s="162" t="s">
        <v>176</v>
      </c>
      <c r="H554" s="162" t="s">
        <v>144</v>
      </c>
      <c r="I554" s="162" t="s">
        <v>197</v>
      </c>
      <c r="J554" s="163">
        <v>9112.5</v>
      </c>
      <c r="K554" s="162" t="s">
        <v>198</v>
      </c>
      <c r="L554" s="162" t="s">
        <v>135</v>
      </c>
      <c r="M554" s="162" t="s">
        <v>244</v>
      </c>
      <c r="N554" s="162" t="s">
        <v>125</v>
      </c>
      <c r="O554" s="163">
        <v>9112.5</v>
      </c>
      <c r="P554" s="162" t="s">
        <v>136</v>
      </c>
      <c r="Q554" s="162" t="s">
        <v>136</v>
      </c>
      <c r="R554" s="162" t="s">
        <v>126</v>
      </c>
      <c r="S554" s="162" t="s">
        <v>2</v>
      </c>
      <c r="T554" s="162" t="s">
        <v>2</v>
      </c>
      <c r="U554" s="162" t="s">
        <v>127</v>
      </c>
      <c r="V554" s="162" t="s">
        <v>198</v>
      </c>
      <c r="W554" s="162" t="s">
        <v>198</v>
      </c>
      <c r="X554" s="162" t="s">
        <v>127</v>
      </c>
      <c r="Y554" s="164">
        <v>44013</v>
      </c>
      <c r="Z554" s="164">
        <v>44008</v>
      </c>
      <c r="AA554" s="164">
        <v>44008</v>
      </c>
      <c r="AB554" s="162" t="s">
        <v>137</v>
      </c>
      <c r="AC554" s="164">
        <v>44013</v>
      </c>
      <c r="AR554" s="162">
        <v>182813540006</v>
      </c>
      <c r="AS554" s="162">
        <v>775</v>
      </c>
      <c r="AT554" s="162" t="s">
        <v>138</v>
      </c>
      <c r="AV554" s="162" t="s">
        <v>129</v>
      </c>
      <c r="AW554" s="162">
        <v>1083.75</v>
      </c>
      <c r="AX554" s="162">
        <v>1083.75</v>
      </c>
    </row>
    <row r="555" spans="1:50" x14ac:dyDescent="0.2">
      <c r="A555" s="172">
        <v>44013</v>
      </c>
      <c r="B555" s="180" t="s">
        <v>130</v>
      </c>
      <c r="C555" s="162" t="s">
        <v>131</v>
      </c>
      <c r="D555" s="162">
        <v>3011212020</v>
      </c>
      <c r="E555" s="162" t="s">
        <v>132</v>
      </c>
      <c r="F555" s="162">
        <v>875</v>
      </c>
      <c r="G555" s="162" t="s">
        <v>176</v>
      </c>
      <c r="H555" s="162" t="s">
        <v>144</v>
      </c>
      <c r="I555" s="162" t="s">
        <v>197</v>
      </c>
      <c r="J555" s="163">
        <v>9720</v>
      </c>
      <c r="K555" s="162" t="s">
        <v>198</v>
      </c>
      <c r="L555" s="162" t="s">
        <v>135</v>
      </c>
      <c r="M555" s="162" t="s">
        <v>245</v>
      </c>
      <c r="N555" s="162" t="s">
        <v>125</v>
      </c>
      <c r="O555" s="163">
        <v>9720</v>
      </c>
      <c r="P555" s="162" t="s">
        <v>136</v>
      </c>
      <c r="Q555" s="162" t="s">
        <v>136</v>
      </c>
      <c r="R555" s="162" t="s">
        <v>126</v>
      </c>
      <c r="S555" s="162" t="s">
        <v>2</v>
      </c>
      <c r="T555" s="162" t="s">
        <v>2</v>
      </c>
      <c r="U555" s="162" t="s">
        <v>127</v>
      </c>
      <c r="V555" s="162" t="s">
        <v>198</v>
      </c>
      <c r="W555" s="162" t="s">
        <v>198</v>
      </c>
      <c r="X555" s="162" t="s">
        <v>127</v>
      </c>
      <c r="Y555" s="164">
        <v>44013</v>
      </c>
      <c r="Z555" s="164">
        <v>44008</v>
      </c>
      <c r="AA555" s="164">
        <v>44008</v>
      </c>
      <c r="AB555" s="162" t="s">
        <v>137</v>
      </c>
      <c r="AC555" s="164">
        <v>44013</v>
      </c>
      <c r="AR555" s="162">
        <v>182813540009</v>
      </c>
      <c r="AS555" s="162">
        <v>775</v>
      </c>
      <c r="AT555" s="162" t="s">
        <v>138</v>
      </c>
      <c r="AV555" s="162" t="s">
        <v>129</v>
      </c>
      <c r="AW555" s="162">
        <v>903.13</v>
      </c>
      <c r="AX555" s="162">
        <v>903.13</v>
      </c>
    </row>
    <row r="556" spans="1:50" x14ac:dyDescent="0.2">
      <c r="A556" s="172">
        <v>44013</v>
      </c>
      <c r="B556" s="180" t="s">
        <v>130</v>
      </c>
      <c r="C556" s="162" t="s">
        <v>131</v>
      </c>
      <c r="D556" s="162">
        <v>2510542020</v>
      </c>
      <c r="E556" s="162" t="s">
        <v>132</v>
      </c>
      <c r="F556" s="162">
        <v>875</v>
      </c>
      <c r="G556" s="162" t="s">
        <v>146</v>
      </c>
      <c r="H556" s="162" t="s">
        <v>144</v>
      </c>
      <c r="I556" s="162" t="s">
        <v>197</v>
      </c>
      <c r="J556" s="163">
        <v>1058.03</v>
      </c>
      <c r="K556" s="162" t="s">
        <v>198</v>
      </c>
      <c r="L556" s="162" t="s">
        <v>135</v>
      </c>
      <c r="M556" s="162" t="s">
        <v>246</v>
      </c>
      <c r="N556" s="162" t="s">
        <v>125</v>
      </c>
      <c r="O556" s="163">
        <v>1058.03</v>
      </c>
      <c r="P556" s="162" t="s">
        <v>136</v>
      </c>
      <c r="Q556" s="162" t="s">
        <v>136</v>
      </c>
      <c r="R556" s="162" t="s">
        <v>126</v>
      </c>
      <c r="S556" s="162" t="s">
        <v>2</v>
      </c>
      <c r="T556" s="162" t="s">
        <v>2</v>
      </c>
      <c r="U556" s="162" t="s">
        <v>127</v>
      </c>
      <c r="V556" s="162" t="s">
        <v>198</v>
      </c>
      <c r="W556" s="162" t="s">
        <v>198</v>
      </c>
      <c r="X556" s="162" t="s">
        <v>127</v>
      </c>
      <c r="Y556" s="164">
        <v>44013</v>
      </c>
      <c r="Z556" s="164">
        <v>44008</v>
      </c>
      <c r="AA556" s="164">
        <v>44008</v>
      </c>
      <c r="AB556" s="162" t="s">
        <v>137</v>
      </c>
      <c r="AC556" s="164">
        <v>44013</v>
      </c>
      <c r="AR556" s="162" t="s">
        <v>291</v>
      </c>
      <c r="AS556" s="162">
        <v>1263</v>
      </c>
      <c r="AT556" s="162" t="s">
        <v>292</v>
      </c>
      <c r="AV556" s="162" t="s">
        <v>129</v>
      </c>
      <c r="AW556" s="162">
        <v>60203.35</v>
      </c>
      <c r="AX556" s="162">
        <v>60203.35</v>
      </c>
    </row>
    <row r="557" spans="1:50" x14ac:dyDescent="0.2">
      <c r="A557" s="172">
        <v>44013</v>
      </c>
      <c r="B557" s="180" t="s">
        <v>130</v>
      </c>
      <c r="C557" s="162" t="s">
        <v>131</v>
      </c>
      <c r="D557" s="162">
        <v>3011302020</v>
      </c>
      <c r="E557" s="162" t="s">
        <v>132</v>
      </c>
      <c r="F557" s="162">
        <v>875</v>
      </c>
      <c r="G557" s="162" t="s">
        <v>176</v>
      </c>
      <c r="H557" s="162" t="s">
        <v>144</v>
      </c>
      <c r="I557" s="162" t="s">
        <v>197</v>
      </c>
      <c r="J557" s="163">
        <v>6561</v>
      </c>
      <c r="K557" s="162" t="s">
        <v>198</v>
      </c>
      <c r="L557" s="162" t="s">
        <v>135</v>
      </c>
      <c r="M557" s="162" t="s">
        <v>248</v>
      </c>
      <c r="N557" s="162" t="s">
        <v>125</v>
      </c>
      <c r="O557" s="163">
        <v>6561</v>
      </c>
      <c r="P557" s="162" t="s">
        <v>136</v>
      </c>
      <c r="Q557" s="162" t="s">
        <v>136</v>
      </c>
      <c r="R557" s="162" t="s">
        <v>126</v>
      </c>
      <c r="S557" s="162" t="s">
        <v>2</v>
      </c>
      <c r="T557" s="162" t="s">
        <v>2</v>
      </c>
      <c r="U557" s="162" t="s">
        <v>127</v>
      </c>
      <c r="V557" s="162" t="s">
        <v>198</v>
      </c>
      <c r="W557" s="162" t="s">
        <v>198</v>
      </c>
      <c r="X557" s="162" t="s">
        <v>127</v>
      </c>
      <c r="Y557" s="164">
        <v>44013</v>
      </c>
      <c r="Z557" s="164">
        <v>44008</v>
      </c>
      <c r="AA557" s="164">
        <v>44008</v>
      </c>
      <c r="AB557" s="162" t="s">
        <v>137</v>
      </c>
      <c r="AC557" s="164">
        <v>44013</v>
      </c>
      <c r="AR557" s="162" t="s">
        <v>297</v>
      </c>
      <c r="AS557" s="162">
        <v>801</v>
      </c>
      <c r="AT557" s="162" t="s">
        <v>292</v>
      </c>
      <c r="AV557" s="162" t="s">
        <v>173</v>
      </c>
      <c r="AW557" s="162">
        <v>0</v>
      </c>
      <c r="AX557" s="162">
        <v>0</v>
      </c>
    </row>
    <row r="558" spans="1:50" x14ac:dyDescent="0.2">
      <c r="A558" s="172">
        <v>44013</v>
      </c>
      <c r="B558" s="180" t="s">
        <v>130</v>
      </c>
      <c r="C558" s="162" t="s">
        <v>131</v>
      </c>
      <c r="D558" s="162">
        <v>2876382020</v>
      </c>
      <c r="E558" s="162" t="s">
        <v>132</v>
      </c>
      <c r="F558" s="162">
        <v>875</v>
      </c>
      <c r="G558" s="162" t="s">
        <v>178</v>
      </c>
      <c r="H558" s="162" t="s">
        <v>144</v>
      </c>
      <c r="I558" s="162" t="s">
        <v>197</v>
      </c>
      <c r="J558" s="163">
        <v>31.59</v>
      </c>
      <c r="K558" s="162" t="s">
        <v>198</v>
      </c>
      <c r="L558" s="162" t="s">
        <v>135</v>
      </c>
      <c r="M558" s="162" t="s">
        <v>249</v>
      </c>
      <c r="N558" s="162" t="s">
        <v>125</v>
      </c>
      <c r="O558" s="163">
        <v>31.59</v>
      </c>
      <c r="P558" s="162" t="s">
        <v>136</v>
      </c>
      <c r="Q558" s="162" t="s">
        <v>136</v>
      </c>
      <c r="R558" s="162" t="s">
        <v>126</v>
      </c>
      <c r="S558" s="162" t="s">
        <v>2</v>
      </c>
      <c r="T558" s="162" t="s">
        <v>2</v>
      </c>
      <c r="U558" s="162" t="s">
        <v>127</v>
      </c>
      <c r="V558" s="162" t="s">
        <v>198</v>
      </c>
      <c r="W558" s="162" t="s">
        <v>198</v>
      </c>
      <c r="X558" s="162" t="s">
        <v>127</v>
      </c>
      <c r="Y558" s="164">
        <v>44013</v>
      </c>
      <c r="Z558" s="164">
        <v>44008</v>
      </c>
      <c r="AA558" s="164">
        <v>44008</v>
      </c>
      <c r="AB558" s="162" t="s">
        <v>137</v>
      </c>
      <c r="AC558" s="164">
        <v>44013</v>
      </c>
      <c r="AR558" s="162" t="s">
        <v>303</v>
      </c>
      <c r="AS558" s="162">
        <v>621</v>
      </c>
      <c r="AT558" s="162" t="s">
        <v>292</v>
      </c>
      <c r="AV558" s="162" t="s">
        <v>173</v>
      </c>
      <c r="AW558" s="162">
        <v>-444.72</v>
      </c>
      <c r="AX558" s="162">
        <v>-444.72</v>
      </c>
    </row>
    <row r="559" spans="1:50" x14ac:dyDescent="0.2">
      <c r="A559" s="172">
        <v>44013</v>
      </c>
      <c r="B559" s="180" t="s">
        <v>130</v>
      </c>
      <c r="C559" s="162" t="s">
        <v>131</v>
      </c>
      <c r="D559" s="162">
        <v>2719032020</v>
      </c>
      <c r="E559" s="162" t="s">
        <v>132</v>
      </c>
      <c r="F559" s="162">
        <v>875</v>
      </c>
      <c r="G559" s="162" t="s">
        <v>250</v>
      </c>
      <c r="H559" s="162" t="s">
        <v>144</v>
      </c>
      <c r="I559" s="162" t="s">
        <v>197</v>
      </c>
      <c r="J559" s="163">
        <v>54000</v>
      </c>
      <c r="K559" s="162" t="s">
        <v>198</v>
      </c>
      <c r="L559" s="162" t="s">
        <v>135</v>
      </c>
      <c r="M559" s="162" t="s">
        <v>251</v>
      </c>
      <c r="N559" s="162" t="s">
        <v>125</v>
      </c>
      <c r="O559" s="163">
        <v>54000</v>
      </c>
      <c r="P559" s="162" t="s">
        <v>136</v>
      </c>
      <c r="Q559" s="162" t="s">
        <v>136</v>
      </c>
      <c r="R559" s="162" t="s">
        <v>126</v>
      </c>
      <c r="S559" s="162" t="s">
        <v>2</v>
      </c>
      <c r="T559" s="162" t="s">
        <v>2</v>
      </c>
      <c r="U559" s="162" t="s">
        <v>127</v>
      </c>
      <c r="V559" s="162" t="s">
        <v>198</v>
      </c>
      <c r="W559" s="162" t="s">
        <v>198</v>
      </c>
      <c r="X559" s="162" t="s">
        <v>127</v>
      </c>
      <c r="Y559" s="164">
        <v>44013</v>
      </c>
      <c r="Z559" s="164">
        <v>44008</v>
      </c>
      <c r="AA559" s="164">
        <v>44008</v>
      </c>
      <c r="AB559" s="162" t="s">
        <v>137</v>
      </c>
      <c r="AC559" s="164">
        <v>44013</v>
      </c>
      <c r="AR559" s="162">
        <v>328383</v>
      </c>
      <c r="AS559" s="162">
        <v>222</v>
      </c>
      <c r="AT559" s="162" t="s">
        <v>292</v>
      </c>
      <c r="AV559" s="162" t="s">
        <v>173</v>
      </c>
      <c r="AW559" s="162">
        <v>-823.36</v>
      </c>
      <c r="AX559" s="162">
        <v>-823.36</v>
      </c>
    </row>
    <row r="560" spans="1:50" x14ac:dyDescent="0.2">
      <c r="A560" s="172">
        <v>44013</v>
      </c>
      <c r="B560" s="180" t="s">
        <v>130</v>
      </c>
      <c r="C560" s="162" t="s">
        <v>131</v>
      </c>
      <c r="D560" s="162">
        <v>2719042020</v>
      </c>
      <c r="E560" s="162" t="s">
        <v>132</v>
      </c>
      <c r="F560" s="162">
        <v>875</v>
      </c>
      <c r="G560" s="162" t="s">
        <v>253</v>
      </c>
      <c r="H560" s="162" t="s">
        <v>144</v>
      </c>
      <c r="I560" s="162" t="s">
        <v>197</v>
      </c>
      <c r="J560" s="163">
        <v>35100</v>
      </c>
      <c r="K560" s="162" t="s">
        <v>198</v>
      </c>
      <c r="L560" s="162" t="s">
        <v>135</v>
      </c>
      <c r="M560" s="162" t="s">
        <v>254</v>
      </c>
      <c r="N560" s="162" t="s">
        <v>125</v>
      </c>
      <c r="O560" s="163">
        <v>35100</v>
      </c>
      <c r="P560" s="162" t="s">
        <v>136</v>
      </c>
      <c r="Q560" s="162" t="s">
        <v>136</v>
      </c>
      <c r="R560" s="162" t="s">
        <v>126</v>
      </c>
      <c r="S560" s="162" t="s">
        <v>2</v>
      </c>
      <c r="T560" s="162" t="s">
        <v>2</v>
      </c>
      <c r="U560" s="162" t="s">
        <v>127</v>
      </c>
      <c r="V560" s="162" t="s">
        <v>198</v>
      </c>
      <c r="W560" s="162" t="s">
        <v>198</v>
      </c>
      <c r="X560" s="162" t="s">
        <v>127</v>
      </c>
      <c r="Y560" s="164">
        <v>44013</v>
      </c>
      <c r="Z560" s="164">
        <v>44008</v>
      </c>
      <c r="AA560" s="164">
        <v>44008</v>
      </c>
      <c r="AB560" s="162" t="s">
        <v>137</v>
      </c>
      <c r="AC560" s="164">
        <v>44013</v>
      </c>
      <c r="AR560" s="162" t="s">
        <v>303</v>
      </c>
      <c r="AS560" s="162">
        <v>621</v>
      </c>
      <c r="AT560" s="162" t="s">
        <v>292</v>
      </c>
      <c r="AV560" s="162" t="s">
        <v>173</v>
      </c>
      <c r="AW560" s="162">
        <v>-32457.26</v>
      </c>
      <c r="AX560" s="162">
        <v>-8914.3799999999992</v>
      </c>
    </row>
    <row r="561" spans="1:50" x14ac:dyDescent="0.2">
      <c r="A561" s="172">
        <v>44013</v>
      </c>
      <c r="B561" s="180" t="s">
        <v>130</v>
      </c>
      <c r="C561" s="162" t="s">
        <v>131</v>
      </c>
      <c r="D561" s="162">
        <v>2510532020</v>
      </c>
      <c r="E561" s="162" t="s">
        <v>132</v>
      </c>
      <c r="F561" s="162">
        <v>875</v>
      </c>
      <c r="G561" s="162" t="s">
        <v>146</v>
      </c>
      <c r="H561" s="162" t="s">
        <v>144</v>
      </c>
      <c r="I561" s="162" t="s">
        <v>197</v>
      </c>
      <c r="J561" s="163">
        <v>150.46</v>
      </c>
      <c r="K561" s="162" t="s">
        <v>198</v>
      </c>
      <c r="L561" s="162" t="s">
        <v>135</v>
      </c>
      <c r="M561" s="162" t="s">
        <v>256</v>
      </c>
      <c r="N561" s="162" t="s">
        <v>125</v>
      </c>
      <c r="O561" s="163">
        <v>150.46</v>
      </c>
      <c r="P561" s="162" t="s">
        <v>136</v>
      </c>
      <c r="Q561" s="162" t="s">
        <v>136</v>
      </c>
      <c r="R561" s="162" t="s">
        <v>126</v>
      </c>
      <c r="S561" s="162" t="s">
        <v>2</v>
      </c>
      <c r="T561" s="162" t="s">
        <v>2</v>
      </c>
      <c r="U561" s="162" t="s">
        <v>127</v>
      </c>
      <c r="V561" s="162" t="s">
        <v>198</v>
      </c>
      <c r="W561" s="162" t="s">
        <v>198</v>
      </c>
      <c r="X561" s="162" t="s">
        <v>127</v>
      </c>
      <c r="Y561" s="164">
        <v>44013</v>
      </c>
      <c r="Z561" s="164">
        <v>44008</v>
      </c>
      <c r="AA561" s="164">
        <v>44008</v>
      </c>
      <c r="AB561" s="162" t="s">
        <v>137</v>
      </c>
      <c r="AC561" s="164">
        <v>44013</v>
      </c>
      <c r="AR561" s="162" t="s">
        <v>291</v>
      </c>
      <c r="AS561" s="162">
        <v>793</v>
      </c>
      <c r="AT561" s="162" t="s">
        <v>292</v>
      </c>
      <c r="AV561" s="162" t="s">
        <v>129</v>
      </c>
      <c r="AW561" s="162">
        <v>62819.99</v>
      </c>
      <c r="AX561" s="162">
        <v>16619.09</v>
      </c>
    </row>
    <row r="562" spans="1:50" x14ac:dyDescent="0.2">
      <c r="A562" s="172">
        <v>44013</v>
      </c>
      <c r="B562" s="180" t="s">
        <v>130</v>
      </c>
      <c r="C562" s="162" t="s">
        <v>131</v>
      </c>
      <c r="D562" s="162">
        <v>2876382020</v>
      </c>
      <c r="E562" s="162" t="s">
        <v>132</v>
      </c>
      <c r="F562" s="162">
        <v>875</v>
      </c>
      <c r="G562" s="162" t="s">
        <v>178</v>
      </c>
      <c r="H562" s="162" t="s">
        <v>144</v>
      </c>
      <c r="I562" s="162" t="s">
        <v>197</v>
      </c>
      <c r="J562" s="163">
        <v>15907.91</v>
      </c>
      <c r="K562" s="162" t="s">
        <v>198</v>
      </c>
      <c r="L562" s="162" t="s">
        <v>135</v>
      </c>
      <c r="M562" s="162" t="s">
        <v>258</v>
      </c>
      <c r="N562" s="162" t="s">
        <v>125</v>
      </c>
      <c r="O562" s="163">
        <v>15907.91</v>
      </c>
      <c r="P562" s="162" t="s">
        <v>136</v>
      </c>
      <c r="Q562" s="162" t="s">
        <v>136</v>
      </c>
      <c r="R562" s="162" t="s">
        <v>126</v>
      </c>
      <c r="S562" s="162" t="s">
        <v>2</v>
      </c>
      <c r="T562" s="162" t="s">
        <v>2</v>
      </c>
      <c r="U562" s="162" t="s">
        <v>127</v>
      </c>
      <c r="V562" s="162" t="s">
        <v>198</v>
      </c>
      <c r="W562" s="162" t="s">
        <v>198</v>
      </c>
      <c r="X562" s="162" t="s">
        <v>127</v>
      </c>
      <c r="Y562" s="164">
        <v>44013</v>
      </c>
      <c r="Z562" s="164">
        <v>44008</v>
      </c>
      <c r="AA562" s="164">
        <v>44008</v>
      </c>
      <c r="AB562" s="162" t="s">
        <v>137</v>
      </c>
      <c r="AC562" s="164">
        <v>44013</v>
      </c>
    </row>
    <row r="563" spans="1:50" x14ac:dyDescent="0.2">
      <c r="A563" s="172">
        <v>44013</v>
      </c>
      <c r="B563" s="180" t="s">
        <v>130</v>
      </c>
      <c r="C563" s="162" t="s">
        <v>131</v>
      </c>
      <c r="D563" s="162">
        <v>2751322020</v>
      </c>
      <c r="E563" s="162" t="s">
        <v>132</v>
      </c>
      <c r="F563" s="162">
        <v>875</v>
      </c>
      <c r="G563" s="162" t="s">
        <v>152</v>
      </c>
      <c r="H563" s="162" t="s">
        <v>144</v>
      </c>
      <c r="I563" s="162" t="s">
        <v>197</v>
      </c>
      <c r="J563" s="163">
        <v>23739.5</v>
      </c>
      <c r="K563" s="162" t="s">
        <v>198</v>
      </c>
      <c r="L563" s="162" t="s">
        <v>135</v>
      </c>
      <c r="M563" s="162" t="s">
        <v>259</v>
      </c>
      <c r="N563" s="162" t="s">
        <v>125</v>
      </c>
      <c r="O563" s="163">
        <v>23739.5</v>
      </c>
      <c r="P563" s="162" t="s">
        <v>136</v>
      </c>
      <c r="Q563" s="162" t="s">
        <v>136</v>
      </c>
      <c r="R563" s="162" t="s">
        <v>126</v>
      </c>
      <c r="S563" s="162" t="s">
        <v>2</v>
      </c>
      <c r="T563" s="162" t="s">
        <v>2</v>
      </c>
      <c r="U563" s="162" t="s">
        <v>127</v>
      </c>
      <c r="V563" s="162" t="s">
        <v>198</v>
      </c>
      <c r="W563" s="162" t="s">
        <v>198</v>
      </c>
      <c r="X563" s="162" t="s">
        <v>127</v>
      </c>
      <c r="Y563" s="164">
        <v>44013</v>
      </c>
      <c r="Z563" s="164">
        <v>44008</v>
      </c>
      <c r="AA563" s="164">
        <v>44008</v>
      </c>
      <c r="AB563" s="162" t="s">
        <v>137</v>
      </c>
      <c r="AC563" s="164">
        <v>44013</v>
      </c>
    </row>
    <row r="564" spans="1:50" x14ac:dyDescent="0.2">
      <c r="A564" s="172">
        <v>44013</v>
      </c>
      <c r="B564" s="180" t="s">
        <v>130</v>
      </c>
      <c r="C564" s="162" t="s">
        <v>131</v>
      </c>
      <c r="D564" s="162">
        <v>2751322020</v>
      </c>
      <c r="E564" s="162" t="s">
        <v>132</v>
      </c>
      <c r="F564" s="162">
        <v>875</v>
      </c>
      <c r="G564" s="162" t="s">
        <v>152</v>
      </c>
      <c r="H564" s="162" t="s">
        <v>144</v>
      </c>
      <c r="I564" s="162" t="s">
        <v>197</v>
      </c>
      <c r="J564" s="163">
        <v>560.51</v>
      </c>
      <c r="K564" s="162" t="s">
        <v>198</v>
      </c>
      <c r="L564" s="162" t="s">
        <v>135</v>
      </c>
      <c r="M564" s="162" t="s">
        <v>260</v>
      </c>
      <c r="N564" s="162" t="s">
        <v>125</v>
      </c>
      <c r="O564" s="163">
        <v>560.51</v>
      </c>
      <c r="P564" s="162" t="s">
        <v>136</v>
      </c>
      <c r="Q564" s="162" t="s">
        <v>136</v>
      </c>
      <c r="R564" s="162" t="s">
        <v>126</v>
      </c>
      <c r="S564" s="162" t="s">
        <v>2</v>
      </c>
      <c r="T564" s="162" t="s">
        <v>2</v>
      </c>
      <c r="U564" s="162" t="s">
        <v>127</v>
      </c>
      <c r="V564" s="162" t="s">
        <v>198</v>
      </c>
      <c r="W564" s="162" t="s">
        <v>198</v>
      </c>
      <c r="X564" s="162" t="s">
        <v>127</v>
      </c>
      <c r="Y564" s="164">
        <v>44013</v>
      </c>
      <c r="Z564" s="164">
        <v>44008</v>
      </c>
      <c r="AA564" s="164">
        <v>44008</v>
      </c>
      <c r="AB564" s="162" t="s">
        <v>137</v>
      </c>
      <c r="AC564" s="164">
        <v>44013</v>
      </c>
    </row>
    <row r="565" spans="1:50" x14ac:dyDescent="0.2">
      <c r="A565" s="172">
        <v>44013</v>
      </c>
      <c r="B565" s="180" t="s">
        <v>130</v>
      </c>
      <c r="C565" s="162" t="s">
        <v>131</v>
      </c>
      <c r="D565" s="162">
        <v>2808872020</v>
      </c>
      <c r="E565" s="162" t="s">
        <v>132</v>
      </c>
      <c r="F565" s="162">
        <v>875</v>
      </c>
      <c r="G565" s="162" t="s">
        <v>146</v>
      </c>
      <c r="H565" s="162" t="s">
        <v>144</v>
      </c>
      <c r="I565" s="162" t="s">
        <v>197</v>
      </c>
      <c r="J565" s="163">
        <v>503.86</v>
      </c>
      <c r="K565" s="162" t="s">
        <v>198</v>
      </c>
      <c r="L565" s="162" t="s">
        <v>135</v>
      </c>
      <c r="M565" s="162" t="s">
        <v>262</v>
      </c>
      <c r="N565" s="162" t="s">
        <v>125</v>
      </c>
      <c r="O565" s="163">
        <v>503.86</v>
      </c>
      <c r="P565" s="162" t="s">
        <v>136</v>
      </c>
      <c r="Q565" s="162" t="s">
        <v>136</v>
      </c>
      <c r="R565" s="162" t="s">
        <v>126</v>
      </c>
      <c r="S565" s="162" t="s">
        <v>2</v>
      </c>
      <c r="T565" s="162" t="s">
        <v>2</v>
      </c>
      <c r="U565" s="162" t="s">
        <v>127</v>
      </c>
      <c r="V565" s="162" t="s">
        <v>198</v>
      </c>
      <c r="W565" s="162" t="s">
        <v>198</v>
      </c>
      <c r="X565" s="162" t="s">
        <v>127</v>
      </c>
      <c r="Y565" s="164">
        <v>44013</v>
      </c>
      <c r="Z565" s="164">
        <v>44008</v>
      </c>
      <c r="AA565" s="164">
        <v>44008</v>
      </c>
      <c r="AB565" s="162" t="s">
        <v>137</v>
      </c>
      <c r="AC565" s="164">
        <v>44013</v>
      </c>
    </row>
    <row r="566" spans="1:50" x14ac:dyDescent="0.2">
      <c r="A566" s="172">
        <v>44013</v>
      </c>
      <c r="B566" s="180" t="s">
        <v>130</v>
      </c>
      <c r="C566" s="162" t="s">
        <v>131</v>
      </c>
      <c r="D566" s="162">
        <v>2876382020</v>
      </c>
      <c r="E566" s="162" t="s">
        <v>132</v>
      </c>
      <c r="F566" s="162">
        <v>875</v>
      </c>
      <c r="G566" s="162" t="s">
        <v>178</v>
      </c>
      <c r="H566" s="162" t="s">
        <v>144</v>
      </c>
      <c r="I566" s="162" t="s">
        <v>197</v>
      </c>
      <c r="J566" s="163">
        <v>2169.2600000000002</v>
      </c>
      <c r="K566" s="162" t="s">
        <v>198</v>
      </c>
      <c r="L566" s="162" t="s">
        <v>135</v>
      </c>
      <c r="M566" s="162" t="s">
        <v>264</v>
      </c>
      <c r="N566" s="162" t="s">
        <v>125</v>
      </c>
      <c r="O566" s="163">
        <v>2169.2600000000002</v>
      </c>
      <c r="P566" s="162" t="s">
        <v>136</v>
      </c>
      <c r="Q566" s="162" t="s">
        <v>136</v>
      </c>
      <c r="R566" s="162" t="s">
        <v>126</v>
      </c>
      <c r="S566" s="162" t="s">
        <v>2</v>
      </c>
      <c r="T566" s="162" t="s">
        <v>2</v>
      </c>
      <c r="U566" s="162" t="s">
        <v>127</v>
      </c>
      <c r="V566" s="162" t="s">
        <v>198</v>
      </c>
      <c r="W566" s="162" t="s">
        <v>198</v>
      </c>
      <c r="X566" s="162" t="s">
        <v>127</v>
      </c>
      <c r="Y566" s="164">
        <v>44013</v>
      </c>
      <c r="Z566" s="164">
        <v>44008</v>
      </c>
      <c r="AA566" s="164">
        <v>44008</v>
      </c>
      <c r="AB566" s="162" t="s">
        <v>137</v>
      </c>
      <c r="AC566" s="164">
        <v>44013</v>
      </c>
    </row>
    <row r="567" spans="1:50" x14ac:dyDescent="0.2">
      <c r="A567" s="172">
        <v>44013</v>
      </c>
      <c r="B567" s="180" t="s">
        <v>130</v>
      </c>
      <c r="C567" s="162" t="s">
        <v>131</v>
      </c>
      <c r="D567" s="162">
        <v>2808872020</v>
      </c>
      <c r="E567" s="162" t="s">
        <v>132</v>
      </c>
      <c r="F567" s="162">
        <v>875</v>
      </c>
      <c r="G567" s="162" t="s">
        <v>146</v>
      </c>
      <c r="H567" s="162" t="s">
        <v>144</v>
      </c>
      <c r="I567" s="162" t="s">
        <v>197</v>
      </c>
      <c r="J567" s="163">
        <v>5422.41</v>
      </c>
      <c r="K567" s="162" t="s">
        <v>198</v>
      </c>
      <c r="L567" s="162" t="s">
        <v>135</v>
      </c>
      <c r="M567" s="162" t="s">
        <v>265</v>
      </c>
      <c r="N567" s="162" t="s">
        <v>125</v>
      </c>
      <c r="O567" s="163">
        <v>5422.41</v>
      </c>
      <c r="P567" s="162" t="s">
        <v>136</v>
      </c>
      <c r="Q567" s="162" t="s">
        <v>136</v>
      </c>
      <c r="R567" s="162" t="s">
        <v>126</v>
      </c>
      <c r="S567" s="162" t="s">
        <v>2</v>
      </c>
      <c r="T567" s="162" t="s">
        <v>2</v>
      </c>
      <c r="U567" s="162" t="s">
        <v>127</v>
      </c>
      <c r="V567" s="162" t="s">
        <v>198</v>
      </c>
      <c r="W567" s="162" t="s">
        <v>198</v>
      </c>
      <c r="X567" s="162" t="s">
        <v>127</v>
      </c>
      <c r="Y567" s="164">
        <v>44013</v>
      </c>
      <c r="Z567" s="164">
        <v>44008</v>
      </c>
      <c r="AA567" s="164">
        <v>44008</v>
      </c>
      <c r="AB567" s="162" t="s">
        <v>137</v>
      </c>
      <c r="AC567" s="164">
        <v>44013</v>
      </c>
    </row>
    <row r="568" spans="1:50" x14ac:dyDescent="0.2">
      <c r="A568" s="172">
        <v>44013</v>
      </c>
      <c r="B568" s="180" t="s">
        <v>130</v>
      </c>
      <c r="C568" s="162" t="s">
        <v>131</v>
      </c>
      <c r="D568" s="162">
        <v>3021542020</v>
      </c>
      <c r="E568" s="162" t="s">
        <v>132</v>
      </c>
      <c r="F568" s="162">
        <v>0</v>
      </c>
      <c r="G568" s="162" t="s">
        <v>169</v>
      </c>
      <c r="H568" s="162" t="s">
        <v>170</v>
      </c>
      <c r="I568" s="162" t="s">
        <v>197</v>
      </c>
      <c r="J568" s="163">
        <v>4149.83</v>
      </c>
      <c r="K568" s="162" t="s">
        <v>198</v>
      </c>
      <c r="L568" s="162" t="s">
        <v>135</v>
      </c>
      <c r="M568" s="162" t="s">
        <v>266</v>
      </c>
      <c r="N568" s="162" t="s">
        <v>125</v>
      </c>
      <c r="O568" s="163">
        <v>4149.83</v>
      </c>
      <c r="P568" s="162" t="s">
        <v>136</v>
      </c>
      <c r="Q568" s="162" t="s">
        <v>136</v>
      </c>
      <c r="R568" s="162" t="s">
        <v>126</v>
      </c>
      <c r="S568" s="162" t="s">
        <v>2</v>
      </c>
      <c r="T568" s="162" t="s">
        <v>2</v>
      </c>
      <c r="U568" s="162" t="s">
        <v>127</v>
      </c>
      <c r="V568" s="162" t="s">
        <v>198</v>
      </c>
      <c r="W568" s="162" t="s">
        <v>198</v>
      </c>
      <c r="X568" s="162" t="s">
        <v>127</v>
      </c>
      <c r="Y568" s="164">
        <v>44013</v>
      </c>
      <c r="Z568" s="164">
        <v>44008</v>
      </c>
      <c r="AA568" s="164">
        <v>44008</v>
      </c>
      <c r="AB568" s="162" t="s">
        <v>137</v>
      </c>
      <c r="AC568" s="164">
        <v>44013</v>
      </c>
    </row>
    <row r="569" spans="1:50" x14ac:dyDescent="0.2">
      <c r="A569" s="172">
        <v>44013</v>
      </c>
      <c r="B569" s="180" t="s">
        <v>130</v>
      </c>
      <c r="C569" s="162" t="s">
        <v>131</v>
      </c>
      <c r="D569" s="162">
        <v>3021602020</v>
      </c>
      <c r="E569" s="162" t="s">
        <v>132</v>
      </c>
      <c r="F569" s="162">
        <v>0</v>
      </c>
      <c r="G569" s="162" t="s">
        <v>169</v>
      </c>
      <c r="H569" s="162" t="s">
        <v>170</v>
      </c>
      <c r="I569" s="162" t="s">
        <v>197</v>
      </c>
      <c r="J569" s="163">
        <v>1956.15</v>
      </c>
      <c r="K569" s="162" t="s">
        <v>198</v>
      </c>
      <c r="L569" s="162" t="s">
        <v>135</v>
      </c>
      <c r="M569" s="162" t="s">
        <v>267</v>
      </c>
      <c r="N569" s="162" t="s">
        <v>125</v>
      </c>
      <c r="O569" s="163">
        <v>1956.15</v>
      </c>
      <c r="P569" s="162" t="s">
        <v>136</v>
      </c>
      <c r="Q569" s="162" t="s">
        <v>136</v>
      </c>
      <c r="R569" s="162" t="s">
        <v>126</v>
      </c>
      <c r="S569" s="162" t="s">
        <v>2</v>
      </c>
      <c r="T569" s="162" t="s">
        <v>2</v>
      </c>
      <c r="U569" s="162" t="s">
        <v>127</v>
      </c>
      <c r="V569" s="162" t="s">
        <v>198</v>
      </c>
      <c r="W569" s="162" t="s">
        <v>198</v>
      </c>
      <c r="X569" s="162" t="s">
        <v>127</v>
      </c>
      <c r="Y569" s="164">
        <v>44013</v>
      </c>
      <c r="Z569" s="164">
        <v>44008</v>
      </c>
      <c r="AA569" s="164">
        <v>44008</v>
      </c>
      <c r="AB569" s="162" t="s">
        <v>137</v>
      </c>
      <c r="AC569" s="164">
        <v>44013</v>
      </c>
    </row>
    <row r="570" spans="1:50" x14ac:dyDescent="0.2">
      <c r="A570" s="172">
        <v>44013</v>
      </c>
      <c r="B570" s="180" t="s">
        <v>130</v>
      </c>
      <c r="C570" s="162" t="s">
        <v>131</v>
      </c>
      <c r="D570" s="162">
        <v>3021572020</v>
      </c>
      <c r="E570" s="162" t="s">
        <v>132</v>
      </c>
      <c r="F570" s="162">
        <v>0</v>
      </c>
      <c r="G570" s="162" t="s">
        <v>169</v>
      </c>
      <c r="H570" s="162" t="s">
        <v>170</v>
      </c>
      <c r="I570" s="162" t="s">
        <v>197</v>
      </c>
      <c r="J570" s="163">
        <v>3032.03</v>
      </c>
      <c r="K570" s="162" t="s">
        <v>198</v>
      </c>
      <c r="L570" s="162" t="s">
        <v>135</v>
      </c>
      <c r="M570" s="162" t="s">
        <v>268</v>
      </c>
      <c r="N570" s="162" t="s">
        <v>125</v>
      </c>
      <c r="O570" s="163">
        <v>3032.03</v>
      </c>
      <c r="P570" s="162" t="s">
        <v>136</v>
      </c>
      <c r="Q570" s="162" t="s">
        <v>136</v>
      </c>
      <c r="R570" s="162" t="s">
        <v>126</v>
      </c>
      <c r="S570" s="162" t="s">
        <v>2</v>
      </c>
      <c r="T570" s="162" t="s">
        <v>2</v>
      </c>
      <c r="U570" s="162" t="s">
        <v>127</v>
      </c>
      <c r="V570" s="162" t="s">
        <v>198</v>
      </c>
      <c r="W570" s="162" t="s">
        <v>198</v>
      </c>
      <c r="X570" s="162" t="s">
        <v>127</v>
      </c>
      <c r="Y570" s="164">
        <v>44013</v>
      </c>
      <c r="Z570" s="164">
        <v>44008</v>
      </c>
      <c r="AA570" s="164">
        <v>44008</v>
      </c>
      <c r="AB570" s="162" t="s">
        <v>137</v>
      </c>
      <c r="AC570" s="164">
        <v>44013</v>
      </c>
    </row>
    <row r="571" spans="1:50" x14ac:dyDescent="0.2">
      <c r="A571" s="172">
        <v>44013</v>
      </c>
      <c r="B571" s="180" t="s">
        <v>130</v>
      </c>
      <c r="C571" s="162" t="s">
        <v>131</v>
      </c>
      <c r="D571" s="162">
        <v>3021592020</v>
      </c>
      <c r="E571" s="162" t="s">
        <v>132</v>
      </c>
      <c r="F571" s="162">
        <v>0</v>
      </c>
      <c r="G571" s="162" t="s">
        <v>169</v>
      </c>
      <c r="H571" s="162" t="s">
        <v>170</v>
      </c>
      <c r="I571" s="162" t="s">
        <v>197</v>
      </c>
      <c r="J571" s="163">
        <v>1956.15</v>
      </c>
      <c r="K571" s="162" t="s">
        <v>198</v>
      </c>
      <c r="L571" s="162" t="s">
        <v>135</v>
      </c>
      <c r="M571" s="162" t="s">
        <v>269</v>
      </c>
      <c r="N571" s="162" t="s">
        <v>125</v>
      </c>
      <c r="O571" s="163">
        <v>1956.15</v>
      </c>
      <c r="P571" s="162" t="s">
        <v>136</v>
      </c>
      <c r="Q571" s="162" t="s">
        <v>136</v>
      </c>
      <c r="R571" s="162" t="s">
        <v>126</v>
      </c>
      <c r="S571" s="162" t="s">
        <v>2</v>
      </c>
      <c r="T571" s="162" t="s">
        <v>2</v>
      </c>
      <c r="U571" s="162" t="s">
        <v>127</v>
      </c>
      <c r="V571" s="162" t="s">
        <v>198</v>
      </c>
      <c r="W571" s="162" t="s">
        <v>198</v>
      </c>
      <c r="X571" s="162" t="s">
        <v>127</v>
      </c>
      <c r="Y571" s="164">
        <v>44013</v>
      </c>
      <c r="Z571" s="164">
        <v>44008</v>
      </c>
      <c r="AA571" s="164">
        <v>44008</v>
      </c>
      <c r="AB571" s="162" t="s">
        <v>137</v>
      </c>
      <c r="AC571" s="164">
        <v>44013</v>
      </c>
    </row>
    <row r="572" spans="1:50" x14ac:dyDescent="0.2">
      <c r="A572" s="172">
        <v>44013</v>
      </c>
      <c r="B572" s="180" t="s">
        <v>130</v>
      </c>
      <c r="C572" s="162" t="s">
        <v>131</v>
      </c>
      <c r="D572" s="162">
        <v>3021562020</v>
      </c>
      <c r="E572" s="162" t="s">
        <v>132</v>
      </c>
      <c r="F572" s="162">
        <v>0</v>
      </c>
      <c r="G572" s="162" t="s">
        <v>169</v>
      </c>
      <c r="H572" s="162" t="s">
        <v>170</v>
      </c>
      <c r="I572" s="162" t="s">
        <v>197</v>
      </c>
      <c r="J572" s="163">
        <v>3032.03</v>
      </c>
      <c r="K572" s="162" t="s">
        <v>198</v>
      </c>
      <c r="L572" s="162" t="s">
        <v>135</v>
      </c>
      <c r="M572" s="162" t="s">
        <v>270</v>
      </c>
      <c r="N572" s="162" t="s">
        <v>125</v>
      </c>
      <c r="O572" s="163">
        <v>3032.03</v>
      </c>
      <c r="P572" s="162" t="s">
        <v>136</v>
      </c>
      <c r="Q572" s="162" t="s">
        <v>136</v>
      </c>
      <c r="R572" s="162" t="s">
        <v>126</v>
      </c>
      <c r="S572" s="162" t="s">
        <v>2</v>
      </c>
      <c r="T572" s="162" t="s">
        <v>2</v>
      </c>
      <c r="U572" s="162" t="s">
        <v>127</v>
      </c>
      <c r="V572" s="162" t="s">
        <v>198</v>
      </c>
      <c r="W572" s="162" t="s">
        <v>198</v>
      </c>
      <c r="X572" s="162" t="s">
        <v>127</v>
      </c>
      <c r="Y572" s="164">
        <v>44013</v>
      </c>
      <c r="Z572" s="164">
        <v>44008</v>
      </c>
      <c r="AA572" s="164">
        <v>44008</v>
      </c>
      <c r="AB572" s="162" t="s">
        <v>137</v>
      </c>
      <c r="AC572" s="164">
        <v>44013</v>
      </c>
    </row>
    <row r="573" spans="1:50" x14ac:dyDescent="0.2">
      <c r="A573" s="172">
        <v>44013</v>
      </c>
      <c r="B573" s="180" t="s">
        <v>130</v>
      </c>
      <c r="C573" s="162" t="s">
        <v>131</v>
      </c>
      <c r="D573" s="162">
        <v>3021532020</v>
      </c>
      <c r="E573" s="162" t="s">
        <v>132</v>
      </c>
      <c r="F573" s="162">
        <v>0</v>
      </c>
      <c r="G573" s="162" t="s">
        <v>169</v>
      </c>
      <c r="H573" s="162" t="s">
        <v>170</v>
      </c>
      <c r="I573" s="162" t="s">
        <v>197</v>
      </c>
      <c r="J573" s="163">
        <v>3558.33</v>
      </c>
      <c r="K573" s="162" t="s">
        <v>198</v>
      </c>
      <c r="L573" s="162" t="s">
        <v>135</v>
      </c>
      <c r="M573" s="162" t="s">
        <v>271</v>
      </c>
      <c r="N573" s="162" t="s">
        <v>125</v>
      </c>
      <c r="O573" s="163">
        <v>3558.33</v>
      </c>
      <c r="P573" s="162" t="s">
        <v>136</v>
      </c>
      <c r="Q573" s="162" t="s">
        <v>136</v>
      </c>
      <c r="R573" s="162" t="s">
        <v>126</v>
      </c>
      <c r="S573" s="162" t="s">
        <v>2</v>
      </c>
      <c r="T573" s="162" t="s">
        <v>2</v>
      </c>
      <c r="U573" s="162" t="s">
        <v>127</v>
      </c>
      <c r="V573" s="162" t="s">
        <v>198</v>
      </c>
      <c r="W573" s="162" t="s">
        <v>198</v>
      </c>
      <c r="X573" s="162" t="s">
        <v>127</v>
      </c>
      <c r="Y573" s="164">
        <v>44013</v>
      </c>
      <c r="Z573" s="164">
        <v>44008</v>
      </c>
      <c r="AA573" s="164">
        <v>44008</v>
      </c>
      <c r="AB573" s="162" t="s">
        <v>137</v>
      </c>
      <c r="AC573" s="164">
        <v>44013</v>
      </c>
    </row>
    <row r="574" spans="1:50" x14ac:dyDescent="0.2">
      <c r="A574" s="172">
        <v>44013</v>
      </c>
      <c r="B574" s="180" t="s">
        <v>130</v>
      </c>
      <c r="C574" s="162" t="s">
        <v>131</v>
      </c>
      <c r="D574" s="162">
        <v>3021632020</v>
      </c>
      <c r="E574" s="162" t="s">
        <v>132</v>
      </c>
      <c r="F574" s="162">
        <v>0</v>
      </c>
      <c r="G574" s="162" t="s">
        <v>169</v>
      </c>
      <c r="H574" s="162" t="s">
        <v>170</v>
      </c>
      <c r="I574" s="162" t="s">
        <v>197</v>
      </c>
      <c r="J574" s="163">
        <v>3423.26</v>
      </c>
      <c r="K574" s="162" t="s">
        <v>198</v>
      </c>
      <c r="L574" s="162" t="s">
        <v>135</v>
      </c>
      <c r="M574" s="162" t="s">
        <v>272</v>
      </c>
      <c r="N574" s="162" t="s">
        <v>125</v>
      </c>
      <c r="O574" s="163">
        <v>3423.26</v>
      </c>
      <c r="P574" s="162" t="s">
        <v>136</v>
      </c>
      <c r="Q574" s="162" t="s">
        <v>136</v>
      </c>
      <c r="R574" s="162" t="s">
        <v>126</v>
      </c>
      <c r="S574" s="162" t="s">
        <v>2</v>
      </c>
      <c r="T574" s="162" t="s">
        <v>2</v>
      </c>
      <c r="U574" s="162" t="s">
        <v>127</v>
      </c>
      <c r="V574" s="162" t="s">
        <v>198</v>
      </c>
      <c r="W574" s="162" t="s">
        <v>198</v>
      </c>
      <c r="X574" s="162" t="s">
        <v>127</v>
      </c>
      <c r="Y574" s="164">
        <v>44013</v>
      </c>
      <c r="Z574" s="164">
        <v>44008</v>
      </c>
      <c r="AA574" s="164">
        <v>44008</v>
      </c>
      <c r="AB574" s="162" t="s">
        <v>137</v>
      </c>
      <c r="AC574" s="164">
        <v>44013</v>
      </c>
    </row>
    <row r="575" spans="1:50" x14ac:dyDescent="0.2">
      <c r="A575" s="172">
        <v>44013</v>
      </c>
      <c r="B575" s="180" t="s">
        <v>130</v>
      </c>
      <c r="C575" s="162" t="s">
        <v>131</v>
      </c>
      <c r="D575" s="162">
        <v>3021622020</v>
      </c>
      <c r="E575" s="162" t="s">
        <v>132</v>
      </c>
      <c r="F575" s="162">
        <v>0</v>
      </c>
      <c r="G575" s="162" t="s">
        <v>169</v>
      </c>
      <c r="H575" s="162" t="s">
        <v>170</v>
      </c>
      <c r="I575" s="162" t="s">
        <v>197</v>
      </c>
      <c r="J575" s="163">
        <v>5132.5600000000004</v>
      </c>
      <c r="K575" s="162" t="s">
        <v>198</v>
      </c>
      <c r="L575" s="162" t="s">
        <v>135</v>
      </c>
      <c r="M575" s="162" t="s">
        <v>274</v>
      </c>
      <c r="N575" s="162" t="s">
        <v>125</v>
      </c>
      <c r="O575" s="163">
        <v>5132.5600000000004</v>
      </c>
      <c r="P575" s="162" t="s">
        <v>136</v>
      </c>
      <c r="Q575" s="162" t="s">
        <v>136</v>
      </c>
      <c r="R575" s="162" t="s">
        <v>126</v>
      </c>
      <c r="S575" s="162" t="s">
        <v>2</v>
      </c>
      <c r="T575" s="162" t="s">
        <v>2</v>
      </c>
      <c r="U575" s="162" t="s">
        <v>127</v>
      </c>
      <c r="V575" s="162" t="s">
        <v>198</v>
      </c>
      <c r="W575" s="162" t="s">
        <v>198</v>
      </c>
      <c r="X575" s="162" t="s">
        <v>127</v>
      </c>
      <c r="Y575" s="164">
        <v>44013</v>
      </c>
      <c r="Z575" s="164">
        <v>44008</v>
      </c>
      <c r="AA575" s="164">
        <v>44008</v>
      </c>
      <c r="AB575" s="162" t="s">
        <v>137</v>
      </c>
      <c r="AC575" s="164">
        <v>44013</v>
      </c>
    </row>
    <row r="576" spans="1:50" x14ac:dyDescent="0.2">
      <c r="A576" s="172">
        <v>44013</v>
      </c>
      <c r="B576" s="180" t="s">
        <v>130</v>
      </c>
      <c r="C576" s="162" t="s">
        <v>131</v>
      </c>
      <c r="D576" s="162">
        <v>3021612020</v>
      </c>
      <c r="E576" s="162" t="s">
        <v>132</v>
      </c>
      <c r="F576" s="162">
        <v>0</v>
      </c>
      <c r="G576" s="162" t="s">
        <v>169</v>
      </c>
      <c r="H576" s="162" t="s">
        <v>170</v>
      </c>
      <c r="I576" s="162" t="s">
        <v>197</v>
      </c>
      <c r="J576" s="163">
        <v>978.07</v>
      </c>
      <c r="K576" s="162" t="s">
        <v>198</v>
      </c>
      <c r="L576" s="162" t="s">
        <v>135</v>
      </c>
      <c r="M576" s="162" t="s">
        <v>276</v>
      </c>
      <c r="N576" s="162" t="s">
        <v>125</v>
      </c>
      <c r="O576" s="163">
        <v>978.07</v>
      </c>
      <c r="P576" s="162" t="s">
        <v>136</v>
      </c>
      <c r="Q576" s="162" t="s">
        <v>136</v>
      </c>
      <c r="R576" s="162" t="s">
        <v>126</v>
      </c>
      <c r="S576" s="162" t="s">
        <v>2</v>
      </c>
      <c r="T576" s="162" t="s">
        <v>2</v>
      </c>
      <c r="U576" s="162" t="s">
        <v>127</v>
      </c>
      <c r="V576" s="162" t="s">
        <v>198</v>
      </c>
      <c r="W576" s="162" t="s">
        <v>198</v>
      </c>
      <c r="X576" s="162" t="s">
        <v>127</v>
      </c>
      <c r="Y576" s="164">
        <v>44013</v>
      </c>
      <c r="Z576" s="164">
        <v>44008</v>
      </c>
      <c r="AA576" s="164">
        <v>44008</v>
      </c>
      <c r="AB576" s="162" t="s">
        <v>137</v>
      </c>
      <c r="AC576" s="164">
        <v>44013</v>
      </c>
    </row>
    <row r="577" spans="1:29" x14ac:dyDescent="0.2">
      <c r="A577" s="172">
        <v>44013</v>
      </c>
      <c r="B577" s="180" t="s">
        <v>130</v>
      </c>
      <c r="C577" s="162" t="s">
        <v>131</v>
      </c>
      <c r="D577" s="162">
        <v>3021582020</v>
      </c>
      <c r="E577" s="162" t="s">
        <v>132</v>
      </c>
      <c r="F577" s="162">
        <v>0</v>
      </c>
      <c r="G577" s="162" t="s">
        <v>169</v>
      </c>
      <c r="H577" s="162" t="s">
        <v>170</v>
      </c>
      <c r="I577" s="162" t="s">
        <v>197</v>
      </c>
      <c r="J577" s="163">
        <v>1518.34</v>
      </c>
      <c r="K577" s="162" t="s">
        <v>198</v>
      </c>
      <c r="L577" s="162" t="s">
        <v>135</v>
      </c>
      <c r="M577" s="162" t="s">
        <v>278</v>
      </c>
      <c r="N577" s="162" t="s">
        <v>125</v>
      </c>
      <c r="O577" s="163">
        <v>1518.34</v>
      </c>
      <c r="P577" s="162" t="s">
        <v>136</v>
      </c>
      <c r="Q577" s="162" t="s">
        <v>136</v>
      </c>
      <c r="R577" s="162" t="s">
        <v>126</v>
      </c>
      <c r="S577" s="162" t="s">
        <v>2</v>
      </c>
      <c r="T577" s="162" t="s">
        <v>2</v>
      </c>
      <c r="U577" s="162" t="s">
        <v>127</v>
      </c>
      <c r="V577" s="162" t="s">
        <v>198</v>
      </c>
      <c r="W577" s="162" t="s">
        <v>198</v>
      </c>
      <c r="X577" s="162" t="s">
        <v>127</v>
      </c>
      <c r="Y577" s="164">
        <v>44013</v>
      </c>
      <c r="Z577" s="164">
        <v>44008</v>
      </c>
      <c r="AA577" s="164">
        <v>44008</v>
      </c>
      <c r="AB577" s="162" t="s">
        <v>137</v>
      </c>
      <c r="AC577" s="164">
        <v>44013</v>
      </c>
    </row>
    <row r="578" spans="1:29" x14ac:dyDescent="0.2">
      <c r="A578" s="172">
        <v>44013</v>
      </c>
      <c r="B578" s="180" t="s">
        <v>130</v>
      </c>
      <c r="C578" s="162" t="s">
        <v>131</v>
      </c>
      <c r="D578" s="162">
        <v>3021552020</v>
      </c>
      <c r="E578" s="162" t="s">
        <v>132</v>
      </c>
      <c r="F578" s="162">
        <v>0</v>
      </c>
      <c r="G578" s="162" t="s">
        <v>169</v>
      </c>
      <c r="H578" s="162" t="s">
        <v>170</v>
      </c>
      <c r="I578" s="162" t="s">
        <v>197</v>
      </c>
      <c r="J578" s="163">
        <v>4149.83</v>
      </c>
      <c r="K578" s="162" t="s">
        <v>198</v>
      </c>
      <c r="L578" s="162" t="s">
        <v>135</v>
      </c>
      <c r="M578" s="162" t="s">
        <v>280</v>
      </c>
      <c r="N578" s="162" t="s">
        <v>125</v>
      </c>
      <c r="O578" s="163">
        <v>4149.83</v>
      </c>
      <c r="P578" s="162" t="s">
        <v>136</v>
      </c>
      <c r="Q578" s="162" t="s">
        <v>136</v>
      </c>
      <c r="R578" s="162" t="s">
        <v>126</v>
      </c>
      <c r="S578" s="162" t="s">
        <v>2</v>
      </c>
      <c r="T578" s="162" t="s">
        <v>2</v>
      </c>
      <c r="U578" s="162" t="s">
        <v>127</v>
      </c>
      <c r="V578" s="162" t="s">
        <v>198</v>
      </c>
      <c r="W578" s="162" t="s">
        <v>198</v>
      </c>
      <c r="X578" s="162" t="s">
        <v>127</v>
      </c>
      <c r="Y578" s="164">
        <v>44013</v>
      </c>
      <c r="Z578" s="164">
        <v>44008</v>
      </c>
      <c r="AA578" s="164">
        <v>44008</v>
      </c>
      <c r="AB578" s="162" t="s">
        <v>137</v>
      </c>
      <c r="AC578" s="164">
        <v>44013</v>
      </c>
    </row>
    <row r="579" spans="1:29" x14ac:dyDescent="0.2">
      <c r="A579" s="172">
        <v>44013</v>
      </c>
      <c r="B579" s="180" t="s">
        <v>130</v>
      </c>
      <c r="C579" s="162" t="s">
        <v>131</v>
      </c>
      <c r="D579" s="162">
        <v>2890632020</v>
      </c>
      <c r="E579" s="162" t="s">
        <v>132</v>
      </c>
      <c r="F579" s="162">
        <v>775</v>
      </c>
      <c r="G579" s="162" t="s">
        <v>281</v>
      </c>
      <c r="H579" s="162" t="s">
        <v>139</v>
      </c>
      <c r="I579" s="162" t="s">
        <v>282</v>
      </c>
      <c r="J579" s="163">
        <v>1074.72</v>
      </c>
      <c r="K579" s="162" t="s">
        <v>282</v>
      </c>
      <c r="L579" s="162" t="s">
        <v>135</v>
      </c>
      <c r="M579" s="162" t="s">
        <v>283</v>
      </c>
      <c r="N579" s="162" t="s">
        <v>125</v>
      </c>
      <c r="O579" s="163">
        <v>1074.72</v>
      </c>
      <c r="P579" s="162" t="s">
        <v>136</v>
      </c>
      <c r="Q579" s="162" t="s">
        <v>136</v>
      </c>
      <c r="R579" s="162" t="s">
        <v>126</v>
      </c>
      <c r="S579" s="162" t="s">
        <v>2</v>
      </c>
      <c r="T579" s="162" t="s">
        <v>2</v>
      </c>
      <c r="U579" s="162" t="s">
        <v>127</v>
      </c>
      <c r="V579" s="162" t="s">
        <v>282</v>
      </c>
      <c r="W579" s="162" t="s">
        <v>282</v>
      </c>
      <c r="X579" s="162" t="s">
        <v>127</v>
      </c>
      <c r="Y579" s="164">
        <v>44013</v>
      </c>
      <c r="Z579" s="164">
        <v>44008</v>
      </c>
      <c r="AA579" s="164">
        <v>44008</v>
      </c>
      <c r="AB579" s="162" t="s">
        <v>137</v>
      </c>
      <c r="AC579" s="164">
        <v>44013</v>
      </c>
    </row>
    <row r="580" spans="1:29" x14ac:dyDescent="0.2">
      <c r="A580" s="172">
        <v>44013</v>
      </c>
      <c r="B580" s="180" t="s">
        <v>130</v>
      </c>
      <c r="C580" s="162" t="s">
        <v>131</v>
      </c>
      <c r="D580" s="162">
        <v>2890642020</v>
      </c>
      <c r="E580" s="162" t="s">
        <v>132</v>
      </c>
      <c r="F580" s="162">
        <v>775</v>
      </c>
      <c r="G580" s="162" t="s">
        <v>281</v>
      </c>
      <c r="H580" s="162" t="s">
        <v>139</v>
      </c>
      <c r="I580" s="162" t="s">
        <v>282</v>
      </c>
      <c r="J580" s="163">
        <v>1083.75</v>
      </c>
      <c r="K580" s="162" t="s">
        <v>282</v>
      </c>
      <c r="L580" s="162" t="s">
        <v>135</v>
      </c>
      <c r="M580" s="162" t="s">
        <v>284</v>
      </c>
      <c r="N580" s="162" t="s">
        <v>125</v>
      </c>
      <c r="O580" s="163">
        <v>1083.75</v>
      </c>
      <c r="P580" s="162" t="s">
        <v>136</v>
      </c>
      <c r="Q580" s="162" t="s">
        <v>136</v>
      </c>
      <c r="R580" s="162" t="s">
        <v>126</v>
      </c>
      <c r="S580" s="162" t="s">
        <v>2</v>
      </c>
      <c r="T580" s="162" t="s">
        <v>2</v>
      </c>
      <c r="U580" s="162" t="s">
        <v>127</v>
      </c>
      <c r="V580" s="162" t="s">
        <v>282</v>
      </c>
      <c r="W580" s="162" t="s">
        <v>282</v>
      </c>
      <c r="X580" s="162" t="s">
        <v>127</v>
      </c>
      <c r="Y580" s="164">
        <v>44013</v>
      </c>
      <c r="Z580" s="164">
        <v>44008</v>
      </c>
      <c r="AA580" s="164">
        <v>44008</v>
      </c>
      <c r="AB580" s="162" t="s">
        <v>137</v>
      </c>
      <c r="AC580" s="164">
        <v>44013</v>
      </c>
    </row>
    <row r="581" spans="1:29" x14ac:dyDescent="0.2">
      <c r="A581" s="172">
        <v>44013</v>
      </c>
      <c r="B581" s="180" t="s">
        <v>130</v>
      </c>
      <c r="C581" s="162" t="s">
        <v>131</v>
      </c>
      <c r="D581" s="162">
        <v>2890652020</v>
      </c>
      <c r="E581" s="162" t="s">
        <v>132</v>
      </c>
      <c r="F581" s="162">
        <v>775</v>
      </c>
      <c r="G581" s="162" t="s">
        <v>281</v>
      </c>
      <c r="H581" s="162" t="s">
        <v>139</v>
      </c>
      <c r="I581" s="162" t="s">
        <v>282</v>
      </c>
      <c r="J581" s="163">
        <v>903.13</v>
      </c>
      <c r="K581" s="162" t="s">
        <v>282</v>
      </c>
      <c r="L581" s="162" t="s">
        <v>135</v>
      </c>
      <c r="M581" s="162" t="s">
        <v>285</v>
      </c>
      <c r="N581" s="162" t="s">
        <v>125</v>
      </c>
      <c r="O581" s="163">
        <v>903.13</v>
      </c>
      <c r="P581" s="162" t="s">
        <v>136</v>
      </c>
      <c r="Q581" s="162" t="s">
        <v>136</v>
      </c>
      <c r="R581" s="162" t="s">
        <v>126</v>
      </c>
      <c r="S581" s="162" t="s">
        <v>2</v>
      </c>
      <c r="T581" s="162" t="s">
        <v>2</v>
      </c>
      <c r="U581" s="162" t="s">
        <v>127</v>
      </c>
      <c r="V581" s="162" t="s">
        <v>282</v>
      </c>
      <c r="W581" s="162" t="s">
        <v>282</v>
      </c>
      <c r="X581" s="162" t="s">
        <v>127</v>
      </c>
      <c r="Y581" s="164">
        <v>44013</v>
      </c>
      <c r="Z581" s="164">
        <v>44008</v>
      </c>
      <c r="AA581" s="164">
        <v>44008</v>
      </c>
      <c r="AB581" s="162" t="s">
        <v>137</v>
      </c>
      <c r="AC581" s="164">
        <v>44013</v>
      </c>
    </row>
    <row r="582" spans="1:29" x14ac:dyDescent="0.2">
      <c r="A582" s="172">
        <v>44013</v>
      </c>
      <c r="B582" s="180" t="s">
        <v>130</v>
      </c>
      <c r="C582" s="162" t="s">
        <v>286</v>
      </c>
      <c r="D582" s="162" t="s">
        <v>287</v>
      </c>
      <c r="E582" s="162" t="s">
        <v>132</v>
      </c>
      <c r="F582" s="162">
        <v>0</v>
      </c>
      <c r="G582" s="162" t="s">
        <v>288</v>
      </c>
      <c r="H582" s="162" t="s">
        <v>289</v>
      </c>
      <c r="I582" s="162" t="s">
        <v>133</v>
      </c>
      <c r="J582" s="163">
        <v>60203.35</v>
      </c>
      <c r="K582" s="162" t="s">
        <v>134</v>
      </c>
      <c r="L582" s="162" t="s">
        <v>135</v>
      </c>
      <c r="M582" s="162" t="s">
        <v>290</v>
      </c>
      <c r="N582" s="162" t="s">
        <v>125</v>
      </c>
      <c r="O582" s="163">
        <v>60203.35</v>
      </c>
      <c r="P582" s="162" t="s">
        <v>136</v>
      </c>
      <c r="Q582" s="162" t="s">
        <v>136</v>
      </c>
      <c r="R582" s="162" t="s">
        <v>2</v>
      </c>
      <c r="S582" s="162" t="s">
        <v>2</v>
      </c>
      <c r="T582" s="162" t="s">
        <v>2</v>
      </c>
      <c r="U582" s="162" t="s">
        <v>127</v>
      </c>
      <c r="V582" s="162" t="s">
        <v>134</v>
      </c>
      <c r="W582" s="162" t="s">
        <v>134</v>
      </c>
      <c r="X582" s="162" t="s">
        <v>127</v>
      </c>
      <c r="Y582" s="164">
        <v>44014</v>
      </c>
      <c r="Z582" s="164">
        <v>44008</v>
      </c>
      <c r="AA582" s="164">
        <v>44008</v>
      </c>
      <c r="AB582" s="162" t="s">
        <v>137</v>
      </c>
      <c r="AC582" s="164">
        <v>43784</v>
      </c>
    </row>
    <row r="583" spans="1:29" x14ac:dyDescent="0.2">
      <c r="A583" s="172">
        <v>44013</v>
      </c>
      <c r="B583" s="180" t="s">
        <v>130</v>
      </c>
      <c r="C583" s="162" t="s">
        <v>286</v>
      </c>
      <c r="D583" s="162" t="s">
        <v>293</v>
      </c>
      <c r="E583" s="162" t="s">
        <v>132</v>
      </c>
      <c r="F583" s="162">
        <v>801</v>
      </c>
      <c r="G583" s="162" t="s">
        <v>294</v>
      </c>
      <c r="H583" s="162" t="s">
        <v>140</v>
      </c>
      <c r="I583" s="162" t="s">
        <v>147</v>
      </c>
      <c r="J583" s="163">
        <v>0</v>
      </c>
      <c r="K583" s="162" t="s">
        <v>147</v>
      </c>
      <c r="L583" s="162" t="s">
        <v>135</v>
      </c>
      <c r="M583" s="162" t="s">
        <v>295</v>
      </c>
      <c r="N583" s="162" t="s">
        <v>296</v>
      </c>
      <c r="O583" s="163">
        <v>0</v>
      </c>
      <c r="P583" s="162" t="s">
        <v>136</v>
      </c>
      <c r="Q583" s="162" t="s">
        <v>136</v>
      </c>
      <c r="R583" s="162" t="s">
        <v>2</v>
      </c>
      <c r="S583" s="162" t="s">
        <v>2</v>
      </c>
      <c r="T583" s="162" t="s">
        <v>2</v>
      </c>
      <c r="U583" s="162" t="s">
        <v>127</v>
      </c>
      <c r="V583" s="162" t="s">
        <v>147</v>
      </c>
      <c r="W583" s="162" t="s">
        <v>147</v>
      </c>
      <c r="X583" s="162" t="s">
        <v>127</v>
      </c>
      <c r="Y583" s="164">
        <v>44013</v>
      </c>
      <c r="Z583" s="164">
        <v>44008</v>
      </c>
      <c r="AA583" s="164">
        <v>44008</v>
      </c>
      <c r="AB583" s="162" t="s">
        <v>137</v>
      </c>
      <c r="AC583" s="164">
        <v>44005</v>
      </c>
    </row>
    <row r="584" spans="1:29" x14ac:dyDescent="0.2">
      <c r="A584" s="172">
        <v>44013</v>
      </c>
      <c r="B584" s="180" t="s">
        <v>130</v>
      </c>
      <c r="C584" s="162" t="s">
        <v>286</v>
      </c>
      <c r="D584" s="162" t="s">
        <v>298</v>
      </c>
      <c r="E584" s="162" t="s">
        <v>132</v>
      </c>
      <c r="F584" s="162">
        <v>621</v>
      </c>
      <c r="G584" s="162" t="s">
        <v>299</v>
      </c>
      <c r="H584" s="162" t="s">
        <v>300</v>
      </c>
      <c r="I584" s="162" t="s">
        <v>171</v>
      </c>
      <c r="J584" s="163">
        <v>444.72</v>
      </c>
      <c r="K584" s="162" t="s">
        <v>172</v>
      </c>
      <c r="L584" s="162" t="s">
        <v>135</v>
      </c>
      <c r="M584" s="162" t="s">
        <v>301</v>
      </c>
      <c r="N584" s="162" t="s">
        <v>302</v>
      </c>
      <c r="O584" s="163">
        <v>444.72</v>
      </c>
      <c r="P584" s="162" t="s">
        <v>149</v>
      </c>
      <c r="Q584" s="162" t="s">
        <v>149</v>
      </c>
      <c r="R584" s="162" t="s">
        <v>2</v>
      </c>
      <c r="S584" s="162" t="s">
        <v>2</v>
      </c>
      <c r="T584" s="162" t="s">
        <v>2</v>
      </c>
      <c r="U584" s="162" t="s">
        <v>127</v>
      </c>
      <c r="V584" s="162" t="s">
        <v>172</v>
      </c>
      <c r="W584" s="162" t="s">
        <v>172</v>
      </c>
      <c r="X584" s="162" t="s">
        <v>127</v>
      </c>
      <c r="Y584" s="164">
        <v>44013</v>
      </c>
      <c r="Z584" s="164">
        <v>44008</v>
      </c>
      <c r="AA584" s="164">
        <v>44008</v>
      </c>
      <c r="AB584" s="162" t="s">
        <v>137</v>
      </c>
    </row>
    <row r="585" spans="1:29" x14ac:dyDescent="0.2">
      <c r="A585" s="172">
        <v>44013</v>
      </c>
      <c r="B585" s="180" t="s">
        <v>130</v>
      </c>
      <c r="C585" s="162" t="s">
        <v>286</v>
      </c>
      <c r="D585" s="162" t="s">
        <v>304</v>
      </c>
      <c r="E585" s="162" t="s">
        <v>132</v>
      </c>
      <c r="F585" s="162">
        <v>222</v>
      </c>
      <c r="G585" s="162">
        <v>48826</v>
      </c>
      <c r="H585" s="162" t="s">
        <v>305</v>
      </c>
      <c r="I585" s="162" t="s">
        <v>197</v>
      </c>
      <c r="J585" s="163">
        <v>823.36</v>
      </c>
      <c r="K585" s="162" t="s">
        <v>198</v>
      </c>
      <c r="L585" s="162" t="s">
        <v>135</v>
      </c>
      <c r="M585" s="162" t="s">
        <v>306</v>
      </c>
      <c r="N585" s="162" t="s">
        <v>302</v>
      </c>
      <c r="O585" s="163">
        <v>823.36</v>
      </c>
      <c r="P585" s="162" t="s">
        <v>149</v>
      </c>
      <c r="Q585" s="162" t="s">
        <v>149</v>
      </c>
      <c r="R585" s="162" t="s">
        <v>2</v>
      </c>
      <c r="S585" s="162" t="s">
        <v>2</v>
      </c>
      <c r="T585" s="162" t="s">
        <v>2</v>
      </c>
      <c r="U585" s="162" t="s">
        <v>127</v>
      </c>
      <c r="V585" s="162" t="s">
        <v>198</v>
      </c>
      <c r="W585" s="162" t="s">
        <v>198</v>
      </c>
      <c r="X585" s="162" t="s">
        <v>127</v>
      </c>
      <c r="Y585" s="164">
        <v>44013</v>
      </c>
      <c r="Z585" s="164">
        <v>44008</v>
      </c>
      <c r="AA585" s="164">
        <v>44008</v>
      </c>
      <c r="AB585" s="162" t="s">
        <v>137</v>
      </c>
    </row>
    <row r="586" spans="1:29" x14ac:dyDescent="0.2">
      <c r="A586" s="172">
        <v>44013</v>
      </c>
      <c r="B586" s="180" t="s">
        <v>130</v>
      </c>
      <c r="C586" s="162" t="s">
        <v>286</v>
      </c>
      <c r="D586" s="162" t="s">
        <v>298</v>
      </c>
      <c r="E586" s="162" t="s">
        <v>132</v>
      </c>
      <c r="F586" s="162">
        <v>621</v>
      </c>
      <c r="G586" s="162" t="s">
        <v>299</v>
      </c>
      <c r="H586" s="162" t="s">
        <v>300</v>
      </c>
      <c r="I586" s="162" t="s">
        <v>197</v>
      </c>
      <c r="J586" s="163">
        <v>8914.3799999999992</v>
      </c>
      <c r="K586" s="162" t="s">
        <v>198</v>
      </c>
      <c r="L586" s="162" t="s">
        <v>135</v>
      </c>
      <c r="M586" s="162" t="s">
        <v>307</v>
      </c>
      <c r="N586" s="162" t="s">
        <v>302</v>
      </c>
      <c r="O586" s="163">
        <v>32457.26</v>
      </c>
      <c r="P586" s="162" t="s">
        <v>149</v>
      </c>
      <c r="Q586" s="162" t="s">
        <v>149</v>
      </c>
      <c r="R586" s="162" t="s">
        <v>2</v>
      </c>
      <c r="S586" s="162" t="s">
        <v>2</v>
      </c>
      <c r="T586" s="162" t="s">
        <v>2</v>
      </c>
      <c r="U586" s="162" t="s">
        <v>128</v>
      </c>
      <c r="V586" s="162" t="s">
        <v>308</v>
      </c>
      <c r="W586" s="162" t="s">
        <v>308</v>
      </c>
      <c r="X586" s="162" t="s">
        <v>127</v>
      </c>
      <c r="Y586" s="164">
        <v>44013</v>
      </c>
      <c r="Z586" s="164">
        <v>44008</v>
      </c>
      <c r="AA586" s="164">
        <v>44008</v>
      </c>
      <c r="AB586" s="162" t="s">
        <v>137</v>
      </c>
    </row>
    <row r="587" spans="1:29" x14ac:dyDescent="0.2">
      <c r="A587" s="172">
        <v>44013</v>
      </c>
      <c r="B587" s="180" t="s">
        <v>130</v>
      </c>
      <c r="C587" s="162" t="s">
        <v>286</v>
      </c>
      <c r="D587" s="162" t="s">
        <v>309</v>
      </c>
      <c r="E587" s="162" t="s">
        <v>132</v>
      </c>
      <c r="F587" s="162">
        <v>793</v>
      </c>
      <c r="G587" s="162" t="s">
        <v>310</v>
      </c>
      <c r="H587" s="162" t="s">
        <v>311</v>
      </c>
      <c r="I587" s="162" t="s">
        <v>197</v>
      </c>
      <c r="J587" s="163">
        <v>16619.09</v>
      </c>
      <c r="K587" s="162" t="s">
        <v>198</v>
      </c>
      <c r="L587" s="162" t="s">
        <v>135</v>
      </c>
      <c r="M587" s="162" t="s">
        <v>312</v>
      </c>
      <c r="N587" s="162" t="s">
        <v>125</v>
      </c>
      <c r="O587" s="163">
        <v>62819.99</v>
      </c>
      <c r="P587" s="162" t="s">
        <v>136</v>
      </c>
      <c r="Q587" s="162" t="s">
        <v>136</v>
      </c>
      <c r="R587" s="162" t="s">
        <v>2</v>
      </c>
      <c r="S587" s="162" t="s">
        <v>2</v>
      </c>
      <c r="T587" s="162" t="s">
        <v>2</v>
      </c>
      <c r="U587" s="162" t="s">
        <v>128</v>
      </c>
      <c r="V587" s="162" t="s">
        <v>313</v>
      </c>
      <c r="W587" s="162" t="s">
        <v>313</v>
      </c>
      <c r="X587" s="162" t="s">
        <v>127</v>
      </c>
      <c r="Y587" s="164">
        <v>44013</v>
      </c>
      <c r="Z587" s="164">
        <v>44008</v>
      </c>
      <c r="AA587" s="164">
        <v>44008</v>
      </c>
      <c r="AB587" s="162" t="s">
        <v>137</v>
      </c>
      <c r="AC587" s="164">
        <v>44012</v>
      </c>
    </row>
  </sheetData>
  <phoneticPr fontId="66" type="noConversion"/>
  <conditionalFormatting sqref="A4:AQ11">
    <cfRule type="expression" dxfId="0" priority="24">
      <formula>$AO4 = "in progress"</formula>
    </cfRule>
  </conditionalFormatting>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topLeftCell="X7" zoomScale="115" zoomScaleNormal="115" workbookViewId="0">
      <selection activeCell="AD10" sqref="AD10"/>
    </sheetView>
  </sheetViews>
  <sheetFormatPr defaultColWidth="11.5" defaultRowHeight="15" x14ac:dyDescent="0.2"/>
  <cols>
    <col min="1" max="2" width="11.83203125" style="64" bestFit="1" customWidth="1"/>
    <col min="3" max="3" width="22.1640625" style="64" bestFit="1" customWidth="1"/>
    <col min="4" max="4" width="65.1640625" style="64" bestFit="1" customWidth="1"/>
    <col min="5" max="5" width="12.6640625" style="64" bestFit="1" customWidth="1"/>
    <col min="6" max="6" width="31.5" style="64" bestFit="1" customWidth="1"/>
    <col min="7" max="7" width="11.83203125" style="64" bestFit="1" customWidth="1"/>
    <col min="8" max="8" width="13.1640625" style="64" bestFit="1" customWidth="1"/>
    <col min="9" max="13" width="11.83203125" style="64" bestFit="1" customWidth="1"/>
    <col min="14" max="14" width="33.5" style="64" bestFit="1" customWidth="1"/>
    <col min="15" max="15" width="14.5" style="64" bestFit="1" customWidth="1"/>
    <col min="16" max="16" width="15.5" style="64" bestFit="1" customWidth="1"/>
    <col min="17" max="19" width="11.83203125" style="64" bestFit="1" customWidth="1"/>
    <col min="20" max="20" width="21.5" style="64" bestFit="1" customWidth="1"/>
    <col min="21" max="21" width="14.6640625" style="64" bestFit="1" customWidth="1"/>
    <col min="22" max="23" width="11.83203125" style="64" bestFit="1" customWidth="1"/>
    <col min="24" max="24" width="85.5" style="64" bestFit="1" customWidth="1"/>
    <col min="25" max="28" width="11.83203125" style="64" bestFit="1" customWidth="1"/>
    <col min="29" max="29" width="11.83203125" style="68" bestFit="1" customWidth="1"/>
    <col min="30" max="30" width="11.83203125" style="69" bestFit="1" customWidth="1"/>
    <col min="31" max="32" width="11.83203125" style="68" bestFit="1" customWidth="1"/>
    <col min="33" max="33" width="16" style="64" bestFit="1" customWidth="1"/>
    <col min="34" max="35" width="11.83203125" style="64" bestFit="1" customWidth="1"/>
    <col min="36" max="39" width="11.5" style="64"/>
    <col min="40" max="40" width="10.33203125" style="64" customWidth="1"/>
    <col min="41" max="41" width="9.83203125" style="64" hidden="1" customWidth="1"/>
    <col min="42" max="43" width="0" style="64" hidden="1" customWidth="1"/>
    <col min="44" max="44" width="7" style="64" hidden="1" customWidth="1"/>
    <col min="45" max="46" width="0" style="64" hidden="1" customWidth="1"/>
    <col min="47" max="47" width="11.5" style="64" hidden="1" customWidth="1"/>
    <col min="48" max="50" width="0" style="64" hidden="1" customWidth="1"/>
    <col min="51" max="51" width="9.83203125" style="64" hidden="1" customWidth="1"/>
    <col min="52" max="52" width="0" style="64" hidden="1" customWidth="1"/>
    <col min="53" max="53" width="11.5" style="64"/>
    <col min="54" max="54" width="7.6640625" style="64" customWidth="1"/>
    <col min="55" max="55" width="8.5" style="64" customWidth="1"/>
    <col min="56" max="56" width="7.33203125" style="64" customWidth="1"/>
    <col min="57" max="57" width="8.5" style="64" customWidth="1"/>
    <col min="58" max="60" width="11.5" style="64"/>
    <col min="61" max="61" width="11.5" style="70"/>
    <col min="62" max="62" width="11.5" style="64" customWidth="1"/>
    <col min="63" max="16384" width="11.5" style="64"/>
  </cols>
  <sheetData>
    <row r="2" spans="1:62" ht="19.5" x14ac:dyDescent="0.2">
      <c r="D2" s="65"/>
      <c r="E2" s="65"/>
      <c r="F2" s="65"/>
      <c r="G2" s="65"/>
      <c r="H2" s="65"/>
      <c r="I2" s="65"/>
      <c r="J2" s="65"/>
      <c r="N2" s="66" t="s">
        <v>19</v>
      </c>
      <c r="O2" s="66"/>
      <c r="P2" s="66"/>
      <c r="R2" s="67">
        <v>1234</v>
      </c>
    </row>
    <row r="3" spans="1:62" ht="19.5" x14ac:dyDescent="0.2">
      <c r="D3" s="71" t="s">
        <v>20</v>
      </c>
      <c r="E3" s="65"/>
      <c r="F3" s="65"/>
      <c r="G3" s="65"/>
      <c r="H3" s="65"/>
      <c r="I3" s="65"/>
      <c r="J3" s="65"/>
      <c r="N3" s="66" t="s">
        <v>21</v>
      </c>
      <c r="O3" s="66"/>
      <c r="P3" s="66"/>
      <c r="R3" s="67">
        <v>0</v>
      </c>
    </row>
    <row r="4" spans="1:62" ht="19.5" x14ac:dyDescent="0.2">
      <c r="D4" s="72" t="s">
        <v>22</v>
      </c>
      <c r="E4" s="72"/>
      <c r="F4" s="72"/>
      <c r="G4" s="72"/>
      <c r="H4" s="72"/>
      <c r="I4" s="72"/>
      <c r="J4" s="65"/>
      <c r="N4" s="67" t="s">
        <v>23</v>
      </c>
      <c r="O4" s="67"/>
      <c r="P4" s="67"/>
      <c r="Q4" s="67"/>
      <c r="R4" s="67">
        <v>0</v>
      </c>
    </row>
    <row r="5" spans="1:62" ht="19.5" x14ac:dyDescent="0.2">
      <c r="D5" s="73" t="s">
        <v>24</v>
      </c>
      <c r="E5" s="73"/>
      <c r="F5" s="73"/>
      <c r="G5" s="73"/>
      <c r="H5" s="65"/>
      <c r="I5" s="65"/>
      <c r="J5" s="65"/>
      <c r="N5" s="67" t="s">
        <v>25</v>
      </c>
      <c r="O5" s="67"/>
      <c r="P5" s="67"/>
      <c r="Q5" s="67"/>
      <c r="R5" s="67">
        <v>0</v>
      </c>
    </row>
    <row r="6" spans="1:62" ht="19.5" x14ac:dyDescent="0.2">
      <c r="D6" s="65"/>
      <c r="E6" s="65"/>
      <c r="F6" s="65"/>
      <c r="G6" s="65"/>
      <c r="H6" s="65"/>
      <c r="I6" s="65"/>
      <c r="J6" s="65"/>
      <c r="N6" s="67" t="s">
        <v>26</v>
      </c>
      <c r="O6" s="67"/>
      <c r="P6" s="67"/>
      <c r="Q6" s="67"/>
      <c r="R6" s="67">
        <v>0</v>
      </c>
    </row>
    <row r="8" spans="1:62" s="69" customFormat="1" x14ac:dyDescent="0.2">
      <c r="A8" s="69" t="s">
        <v>27</v>
      </c>
      <c r="E8" s="69" t="s">
        <v>28</v>
      </c>
      <c r="H8" s="69" t="s">
        <v>29</v>
      </c>
      <c r="M8" s="69" t="s">
        <v>30</v>
      </c>
      <c r="P8" s="69" t="s">
        <v>31</v>
      </c>
      <c r="U8" s="69" t="s">
        <v>32</v>
      </c>
      <c r="AA8" s="74"/>
      <c r="AB8" s="74"/>
      <c r="AC8" s="75"/>
      <c r="AE8" s="68"/>
      <c r="AF8" s="68"/>
      <c r="AL8" s="69" t="s">
        <v>33</v>
      </c>
      <c r="AV8" s="76" t="s">
        <v>34</v>
      </c>
      <c r="AW8" s="76"/>
      <c r="AX8" s="76"/>
      <c r="AY8" s="76"/>
      <c r="AZ8" s="76"/>
      <c r="BI8" s="77"/>
    </row>
    <row r="9" spans="1:62" ht="148.9" customHeight="1" x14ac:dyDescent="0.2">
      <c r="A9" s="78" t="s">
        <v>35</v>
      </c>
      <c r="B9" s="78" t="s">
        <v>36</v>
      </c>
      <c r="C9" s="79" t="s">
        <v>4</v>
      </c>
      <c r="D9" s="80" t="s">
        <v>37</v>
      </c>
      <c r="E9" s="80" t="s">
        <v>28</v>
      </c>
      <c r="F9" s="80" t="s">
        <v>38</v>
      </c>
      <c r="G9" s="81" t="s">
        <v>39</v>
      </c>
      <c r="H9" s="81" t="s">
        <v>40</v>
      </c>
      <c r="I9" s="80" t="s">
        <v>41</v>
      </c>
      <c r="J9" s="80" t="s">
        <v>42</v>
      </c>
      <c r="K9" s="80" t="s">
        <v>43</v>
      </c>
      <c r="L9" s="80" t="s">
        <v>44</v>
      </c>
      <c r="M9" s="80" t="s">
        <v>30</v>
      </c>
      <c r="N9" s="80" t="s">
        <v>45</v>
      </c>
      <c r="O9" s="80" t="s">
        <v>46</v>
      </c>
      <c r="P9" s="80" t="s">
        <v>47</v>
      </c>
      <c r="Q9" s="80" t="s">
        <v>48</v>
      </c>
      <c r="R9" s="80" t="s">
        <v>31</v>
      </c>
      <c r="S9" s="80" t="s">
        <v>49</v>
      </c>
      <c r="T9" s="80" t="s">
        <v>50</v>
      </c>
      <c r="U9" s="82" t="s">
        <v>51</v>
      </c>
      <c r="V9" s="82" t="s">
        <v>52</v>
      </c>
      <c r="W9" s="82" t="s">
        <v>53</v>
      </c>
      <c r="X9" s="82" t="s">
        <v>54</v>
      </c>
      <c r="Y9" s="82" t="s">
        <v>55</v>
      </c>
      <c r="Z9" s="82" t="s">
        <v>56</v>
      </c>
      <c r="AA9" s="83" t="s">
        <v>57</v>
      </c>
      <c r="AB9" s="82" t="s">
        <v>58</v>
      </c>
      <c r="AC9" s="84" t="s">
        <v>59</v>
      </c>
      <c r="AD9" s="85" t="s">
        <v>60</v>
      </c>
      <c r="AE9" s="85" t="s">
        <v>61</v>
      </c>
      <c r="AF9" s="85" t="s">
        <v>62</v>
      </c>
      <c r="AG9" s="84" t="s">
        <v>63</v>
      </c>
      <c r="AH9" s="86" t="s">
        <v>64</v>
      </c>
      <c r="AI9" s="86" t="s">
        <v>65</v>
      </c>
      <c r="AJ9" s="86" t="s">
        <v>66</v>
      </c>
      <c r="AK9" s="86" t="s">
        <v>67</v>
      </c>
      <c r="AL9" s="87" t="s">
        <v>68</v>
      </c>
      <c r="AM9" s="88" t="s">
        <v>69</v>
      </c>
      <c r="AN9" s="88" t="s">
        <v>70</v>
      </c>
      <c r="AO9" s="89" t="s">
        <v>71</v>
      </c>
      <c r="AP9" s="90" t="s">
        <v>72</v>
      </c>
      <c r="AQ9" s="90" t="s">
        <v>73</v>
      </c>
      <c r="AR9" s="89" t="s">
        <v>74</v>
      </c>
      <c r="AS9" s="91" t="s">
        <v>75</v>
      </c>
      <c r="AT9" s="91" t="s">
        <v>76</v>
      </c>
      <c r="AU9" s="89" t="s">
        <v>77</v>
      </c>
      <c r="AV9" s="92" t="s">
        <v>78</v>
      </c>
      <c r="AW9" s="93" t="s">
        <v>79</v>
      </c>
      <c r="AX9" s="93" t="s">
        <v>80</v>
      </c>
      <c r="AY9" s="93" t="s">
        <v>81</v>
      </c>
      <c r="AZ9" s="94" t="s">
        <v>82</v>
      </c>
      <c r="BA9" s="95" t="s">
        <v>83</v>
      </c>
      <c r="BB9" s="95" t="s">
        <v>84</v>
      </c>
      <c r="BC9" s="95" t="s">
        <v>85</v>
      </c>
      <c r="BD9" s="95" t="s">
        <v>86</v>
      </c>
      <c r="BE9" s="96" t="s">
        <v>87</v>
      </c>
      <c r="BF9" s="95" t="s">
        <v>88</v>
      </c>
      <c r="BG9" s="95" t="s">
        <v>89</v>
      </c>
      <c r="BH9" s="95" t="s">
        <v>84</v>
      </c>
      <c r="BI9" s="95" t="s">
        <v>90</v>
      </c>
      <c r="BJ9" s="96" t="s">
        <v>91</v>
      </c>
    </row>
    <row r="10" spans="1:62" x14ac:dyDescent="0.2">
      <c r="A10" s="97"/>
      <c r="B10" s="98"/>
      <c r="C10" s="99"/>
      <c r="D10" s="99"/>
      <c r="E10" s="100" t="s">
        <v>92</v>
      </c>
      <c r="F10" s="101"/>
      <c r="G10" s="101"/>
      <c r="H10" s="101"/>
      <c r="I10" s="102"/>
      <c r="J10" s="103"/>
      <c r="K10" s="104"/>
      <c r="L10" s="103"/>
      <c r="M10" s="105"/>
      <c r="N10" s="106"/>
      <c r="O10" s="101"/>
      <c r="P10" s="107"/>
      <c r="Q10" s="105"/>
      <c r="R10" s="108"/>
      <c r="S10" s="105"/>
      <c r="T10" s="105"/>
      <c r="U10" s="109"/>
      <c r="V10" s="104"/>
      <c r="W10" s="110"/>
      <c r="X10" s="111"/>
      <c r="Y10" s="109"/>
      <c r="Z10" s="105"/>
      <c r="AA10" s="105"/>
      <c r="AB10" s="112"/>
      <c r="AC10" s="113">
        <v>2</v>
      </c>
      <c r="AD10" s="113">
        <v>12</v>
      </c>
      <c r="AE10" s="113">
        <v>6</v>
      </c>
      <c r="AF10" s="113">
        <v>3</v>
      </c>
      <c r="AG10" s="114" t="str">
        <f>IF(H10="Double",3,IF(H10="Equal Pair",3,IF(H10="Slide",-25,IF(H10="Single",0,"0"))))</f>
        <v>0</v>
      </c>
      <c r="AH10" s="115">
        <f>SUM(K10+AB10+AD10+AF10)</f>
        <v>15</v>
      </c>
      <c r="AI10" s="115">
        <f t="shared" ref="AI10:AI41" si="0">SUM(I10+J10+V10*2+AE10+AG10)</f>
        <v>6</v>
      </c>
      <c r="AJ10" s="115">
        <f>SUM(AH10-Z10-AD10)</f>
        <v>3</v>
      </c>
      <c r="AK10" s="115">
        <f t="shared" ref="AK10:AK41" si="1">SUM(AI10-V10*2)</f>
        <v>6</v>
      </c>
      <c r="AL10" s="105"/>
      <c r="AM10" s="105"/>
      <c r="AN10" s="105"/>
      <c r="AO10" s="105">
        <v>8</v>
      </c>
      <c r="AP10" s="115">
        <f>SUM(K10+AB10+AF10+AO10-BD10)</f>
        <v>11</v>
      </c>
      <c r="AQ10" s="115">
        <f t="shared" ref="AQ10:AQ59" si="2">SUM(I10+J10+AG10+AE10+AO10*2)</f>
        <v>22</v>
      </c>
      <c r="AR10" s="115">
        <v>2</v>
      </c>
      <c r="AS10" s="115">
        <f>SUM(AP10-Z10)</f>
        <v>11</v>
      </c>
      <c r="AT10" s="115">
        <f>SUM(AQ10-Z10*2)</f>
        <v>22</v>
      </c>
      <c r="AU10" s="115">
        <v>2</v>
      </c>
      <c r="AV10" s="115" t="s">
        <v>93</v>
      </c>
      <c r="AW10" s="115">
        <v>38</v>
      </c>
      <c r="AX10" s="115">
        <v>22</v>
      </c>
      <c r="AY10" s="115">
        <v>2</v>
      </c>
      <c r="AZ10" s="115">
        <f t="shared" ref="AZ10:AZ73" si="3">SUM(AI10)</f>
        <v>6</v>
      </c>
      <c r="BA10" s="98"/>
      <c r="BB10" s="105"/>
      <c r="BC10" s="105"/>
      <c r="BD10" s="105"/>
      <c r="BE10" s="105">
        <v>4</v>
      </c>
      <c r="BF10" s="105"/>
      <c r="BG10" s="105"/>
      <c r="BH10" s="105" t="str">
        <f>IFERROR(VLOOKUP(W10,W10:W148,1,FALSE),"0")</f>
        <v>0</v>
      </c>
      <c r="BI10" s="98">
        <f>IFERROR(VLOOKUP(AK10,AK10:AK159,1,FALSE),"0")</f>
        <v>6</v>
      </c>
      <c r="BJ10" s="105">
        <v>1</v>
      </c>
    </row>
    <row r="11" spans="1:62" x14ac:dyDescent="0.2">
      <c r="A11" s="97"/>
      <c r="B11" s="98"/>
      <c r="C11" s="99"/>
      <c r="D11" s="99"/>
      <c r="E11" s="106" t="s">
        <v>94</v>
      </c>
      <c r="F11" s="105" t="s">
        <v>95</v>
      </c>
      <c r="G11" s="105"/>
      <c r="H11" s="101" t="s">
        <v>96</v>
      </c>
      <c r="I11" s="102"/>
      <c r="J11" s="103"/>
      <c r="K11" s="104"/>
      <c r="L11" s="103"/>
      <c r="M11" s="105"/>
      <c r="N11" s="106"/>
      <c r="O11" s="101"/>
      <c r="P11" s="107"/>
      <c r="Q11" s="105"/>
      <c r="R11" s="108"/>
      <c r="S11" s="105"/>
      <c r="T11" s="105"/>
      <c r="U11" s="109"/>
      <c r="V11" s="104"/>
      <c r="W11" s="110"/>
      <c r="X11" s="111"/>
      <c r="Y11" s="109"/>
      <c r="Z11" s="105"/>
      <c r="AA11" s="105"/>
      <c r="AB11" s="112"/>
      <c r="AC11" s="113">
        <v>2</v>
      </c>
      <c r="AD11" s="113">
        <v>12</v>
      </c>
      <c r="AE11" s="113">
        <v>6</v>
      </c>
      <c r="AF11" s="113">
        <v>3</v>
      </c>
      <c r="AG11" s="114">
        <f t="shared" ref="AG11:AG74" si="4">IF(H11="Double",3,IF(H11="Equal Pair",3,IF(H11="Slide",-25,IF(H11="Single",0,"0"))))</f>
        <v>0</v>
      </c>
      <c r="AH11" s="115">
        <f t="shared" ref="AH11:AH74" si="5">SUM(K11+AB11+AD11+AF11)</f>
        <v>15</v>
      </c>
      <c r="AI11" s="115">
        <f t="shared" si="0"/>
        <v>6</v>
      </c>
      <c r="AJ11" s="115">
        <f t="shared" ref="AJ11:AJ74" si="6">SUM(AH11-Z11-AD11)</f>
        <v>3</v>
      </c>
      <c r="AK11" s="115">
        <f t="shared" si="1"/>
        <v>6</v>
      </c>
      <c r="AL11" s="105"/>
      <c r="AM11" s="105"/>
      <c r="AN11" s="105"/>
      <c r="AO11" s="105">
        <v>8</v>
      </c>
      <c r="AP11" s="115">
        <f t="shared" ref="AP11:AP74" si="7">SUM(K11+AB11+AF11+AO11-BD11)</f>
        <v>11</v>
      </c>
      <c r="AQ11" s="115">
        <f t="shared" si="2"/>
        <v>22</v>
      </c>
      <c r="AR11" s="115">
        <v>2</v>
      </c>
      <c r="AS11" s="115">
        <f t="shared" ref="AS11:AS74" si="8">SUM(AP11-Z11)</f>
        <v>11</v>
      </c>
      <c r="AT11" s="115">
        <f t="shared" ref="AT11:AT74" si="9">SUM(AQ11-Z11*2)</f>
        <v>22</v>
      </c>
      <c r="AU11" s="115">
        <v>2</v>
      </c>
      <c r="AV11" s="115" t="s">
        <v>93</v>
      </c>
      <c r="AW11" s="115">
        <v>38</v>
      </c>
      <c r="AX11" s="115">
        <v>22</v>
      </c>
      <c r="AY11" s="115">
        <v>2</v>
      </c>
      <c r="AZ11" s="115">
        <f t="shared" si="3"/>
        <v>6</v>
      </c>
      <c r="BA11" s="98"/>
      <c r="BB11" s="105"/>
      <c r="BC11" s="105"/>
      <c r="BD11" s="105"/>
      <c r="BE11" s="105">
        <v>4</v>
      </c>
      <c r="BF11" s="105"/>
      <c r="BG11" s="105"/>
      <c r="BH11" s="105" t="str">
        <f t="shared" ref="BH11:BH74" si="10">IFERROR(VLOOKUP(W11,W11:W149,1,FALSE),"0")</f>
        <v>0</v>
      </c>
      <c r="BI11" s="98">
        <f t="shared" ref="BI11:BI74" si="11">IFERROR(VLOOKUP(AK11,AK11:AK160,1,FALSE),"0")</f>
        <v>6</v>
      </c>
      <c r="BJ11" s="105">
        <v>1</v>
      </c>
    </row>
    <row r="12" spans="1:62" ht="30" x14ac:dyDescent="0.2">
      <c r="A12" s="97"/>
      <c r="B12" s="98"/>
      <c r="C12" s="99"/>
      <c r="D12" s="99"/>
      <c r="E12" s="100" t="s">
        <v>97</v>
      </c>
      <c r="F12" s="101" t="s">
        <v>98</v>
      </c>
      <c r="G12" s="101"/>
      <c r="H12" s="101" t="s">
        <v>99</v>
      </c>
      <c r="I12" s="102" t="s">
        <v>100</v>
      </c>
      <c r="J12" s="103" t="s">
        <v>101</v>
      </c>
      <c r="K12" s="104" t="s">
        <v>100</v>
      </c>
      <c r="L12" s="103" t="s">
        <v>100</v>
      </c>
      <c r="M12" s="65">
        <v>1</v>
      </c>
      <c r="N12" s="116"/>
      <c r="O12" s="167" t="s">
        <v>102</v>
      </c>
      <c r="P12" s="107" t="s">
        <v>103</v>
      </c>
      <c r="Q12" s="101">
        <v>3</v>
      </c>
      <c r="R12" s="108" t="s">
        <v>104</v>
      </c>
      <c r="S12" s="105" t="s">
        <v>105</v>
      </c>
      <c r="T12" s="105" t="s">
        <v>106</v>
      </c>
      <c r="U12" s="109" t="s">
        <v>107</v>
      </c>
      <c r="V12" s="104">
        <v>32</v>
      </c>
      <c r="W12" s="110">
        <v>110</v>
      </c>
      <c r="X12" s="111" t="s">
        <v>108</v>
      </c>
      <c r="Y12" s="109" t="s">
        <v>109</v>
      </c>
      <c r="Z12" s="105"/>
      <c r="AA12" s="105"/>
      <c r="AB12" s="112"/>
      <c r="AC12" s="113">
        <v>2</v>
      </c>
      <c r="AD12" s="113">
        <v>12</v>
      </c>
      <c r="AE12" s="113">
        <v>6</v>
      </c>
      <c r="AF12" s="113">
        <v>3</v>
      </c>
      <c r="AG12" s="114">
        <f t="shared" si="4"/>
        <v>3</v>
      </c>
      <c r="AH12" s="115" t="e">
        <f t="shared" si="5"/>
        <v>#VALUE!</v>
      </c>
      <c r="AI12" s="115" t="e">
        <f t="shared" si="0"/>
        <v>#VALUE!</v>
      </c>
      <c r="AJ12" s="115" t="e">
        <f t="shared" si="6"/>
        <v>#VALUE!</v>
      </c>
      <c r="AK12" s="115" t="e">
        <f t="shared" si="1"/>
        <v>#VALUE!</v>
      </c>
      <c r="AL12" s="105"/>
      <c r="AM12" s="105"/>
      <c r="AN12" s="105"/>
      <c r="AO12" s="105">
        <v>8</v>
      </c>
      <c r="AP12" s="115" t="e">
        <f t="shared" si="7"/>
        <v>#VALUE!</v>
      </c>
      <c r="AQ12" s="115" t="e">
        <f t="shared" si="2"/>
        <v>#VALUE!</v>
      </c>
      <c r="AR12" s="115">
        <v>2</v>
      </c>
      <c r="AS12" s="115" t="e">
        <f t="shared" si="8"/>
        <v>#VALUE!</v>
      </c>
      <c r="AT12" s="115" t="e">
        <f t="shared" si="9"/>
        <v>#VALUE!</v>
      </c>
      <c r="AU12" s="115">
        <v>2</v>
      </c>
      <c r="AV12" s="115" t="s">
        <v>93</v>
      </c>
      <c r="AW12" s="115">
        <v>38</v>
      </c>
      <c r="AX12" s="115">
        <v>22</v>
      </c>
      <c r="AY12" s="115">
        <v>2</v>
      </c>
      <c r="AZ12" s="115" t="e">
        <f t="shared" si="3"/>
        <v>#VALUE!</v>
      </c>
      <c r="BA12" s="98"/>
      <c r="BB12" s="105"/>
      <c r="BC12" s="105"/>
      <c r="BD12" s="105"/>
      <c r="BE12" s="105">
        <v>4</v>
      </c>
      <c r="BF12" s="105"/>
      <c r="BG12" s="105"/>
      <c r="BH12" s="105">
        <f t="shared" si="10"/>
        <v>110</v>
      </c>
      <c r="BI12" s="98" t="str">
        <f t="shared" si="11"/>
        <v>0</v>
      </c>
      <c r="BJ12" s="105">
        <v>1</v>
      </c>
    </row>
    <row r="13" spans="1:62" ht="30" x14ac:dyDescent="0.2">
      <c r="A13" s="97"/>
      <c r="B13" s="98"/>
      <c r="C13" s="99"/>
      <c r="D13" s="99"/>
      <c r="E13" s="100"/>
      <c r="F13" s="101"/>
      <c r="G13" s="101"/>
      <c r="H13" s="101"/>
      <c r="I13" s="102"/>
      <c r="J13" s="103"/>
      <c r="K13" s="104"/>
      <c r="L13" s="103"/>
      <c r="M13" s="105"/>
      <c r="N13" s="106"/>
      <c r="O13" s="101"/>
      <c r="P13" s="107"/>
      <c r="Q13" s="105"/>
      <c r="R13" s="108"/>
      <c r="S13" s="105"/>
      <c r="T13" s="105"/>
      <c r="U13" s="109" t="s">
        <v>110</v>
      </c>
      <c r="V13" s="104"/>
      <c r="W13" s="110"/>
      <c r="X13" s="111"/>
      <c r="Y13" s="109"/>
      <c r="Z13" s="105"/>
      <c r="AA13" s="105"/>
      <c r="AB13" s="112"/>
      <c r="AC13" s="113">
        <v>2</v>
      </c>
      <c r="AD13" s="113">
        <v>12</v>
      </c>
      <c r="AE13" s="113">
        <v>6</v>
      </c>
      <c r="AF13" s="113">
        <v>3</v>
      </c>
      <c r="AG13" s="114" t="str">
        <f t="shared" si="4"/>
        <v>0</v>
      </c>
      <c r="AH13" s="115">
        <f t="shared" si="5"/>
        <v>15</v>
      </c>
      <c r="AI13" s="115">
        <f t="shared" si="0"/>
        <v>6</v>
      </c>
      <c r="AJ13" s="115">
        <f t="shared" si="6"/>
        <v>3</v>
      </c>
      <c r="AK13" s="115">
        <f t="shared" si="1"/>
        <v>6</v>
      </c>
      <c r="AL13" s="105"/>
      <c r="AM13" s="105"/>
      <c r="AN13" s="105"/>
      <c r="AO13" s="105">
        <v>8</v>
      </c>
      <c r="AP13" s="115">
        <f t="shared" si="7"/>
        <v>11</v>
      </c>
      <c r="AQ13" s="115">
        <f t="shared" si="2"/>
        <v>22</v>
      </c>
      <c r="AR13" s="115">
        <v>2</v>
      </c>
      <c r="AS13" s="115">
        <f t="shared" si="8"/>
        <v>11</v>
      </c>
      <c r="AT13" s="115">
        <f t="shared" si="9"/>
        <v>22</v>
      </c>
      <c r="AU13" s="115">
        <v>2</v>
      </c>
      <c r="AV13" s="115" t="s">
        <v>93</v>
      </c>
      <c r="AW13" s="115">
        <v>38</v>
      </c>
      <c r="AX13" s="115">
        <v>22</v>
      </c>
      <c r="AY13" s="115">
        <v>2</v>
      </c>
      <c r="AZ13" s="115">
        <f t="shared" si="3"/>
        <v>6</v>
      </c>
      <c r="BA13" s="98"/>
      <c r="BB13" s="105"/>
      <c r="BC13" s="105"/>
      <c r="BD13" s="105"/>
      <c r="BE13" s="105">
        <v>4</v>
      </c>
      <c r="BF13" s="105"/>
      <c r="BG13" s="105"/>
      <c r="BH13" s="105" t="str">
        <f t="shared" si="10"/>
        <v>0</v>
      </c>
      <c r="BI13" s="98">
        <f t="shared" si="11"/>
        <v>6</v>
      </c>
      <c r="BJ13" s="105">
        <v>1</v>
      </c>
    </row>
    <row r="14" spans="1:62" x14ac:dyDescent="0.2">
      <c r="A14" s="97"/>
      <c r="B14" s="98"/>
      <c r="C14" s="99"/>
      <c r="D14" s="99"/>
      <c r="E14" s="100"/>
      <c r="F14" s="101"/>
      <c r="G14" s="101"/>
      <c r="H14" s="101"/>
      <c r="I14" s="102"/>
      <c r="J14" s="103"/>
      <c r="K14" s="104"/>
      <c r="L14" s="103"/>
      <c r="M14" s="105"/>
      <c r="N14" s="106"/>
      <c r="O14" s="101"/>
      <c r="P14" s="107"/>
      <c r="Q14" s="105"/>
      <c r="R14" s="108"/>
      <c r="S14" s="105"/>
      <c r="T14" s="105"/>
      <c r="U14" s="109"/>
      <c r="V14" s="104"/>
      <c r="W14" s="110"/>
      <c r="X14" s="111"/>
      <c r="Y14" s="109"/>
      <c r="Z14" s="105"/>
      <c r="AA14" s="105"/>
      <c r="AB14" s="112"/>
      <c r="AC14" s="113">
        <v>2</v>
      </c>
      <c r="AD14" s="113">
        <v>12</v>
      </c>
      <c r="AE14" s="113">
        <v>6</v>
      </c>
      <c r="AF14" s="113">
        <v>3</v>
      </c>
      <c r="AG14" s="114" t="str">
        <f t="shared" si="4"/>
        <v>0</v>
      </c>
      <c r="AH14" s="115">
        <f t="shared" si="5"/>
        <v>15</v>
      </c>
      <c r="AI14" s="115">
        <f t="shared" si="0"/>
        <v>6</v>
      </c>
      <c r="AJ14" s="115">
        <f t="shared" si="6"/>
        <v>3</v>
      </c>
      <c r="AK14" s="115">
        <f t="shared" si="1"/>
        <v>6</v>
      </c>
      <c r="AL14" s="105"/>
      <c r="AM14" s="105"/>
      <c r="AN14" s="105"/>
      <c r="AO14" s="105">
        <v>8</v>
      </c>
      <c r="AP14" s="115">
        <f t="shared" si="7"/>
        <v>11</v>
      </c>
      <c r="AQ14" s="115">
        <f t="shared" si="2"/>
        <v>22</v>
      </c>
      <c r="AR14" s="115">
        <v>2</v>
      </c>
      <c r="AS14" s="115">
        <f t="shared" si="8"/>
        <v>11</v>
      </c>
      <c r="AT14" s="115">
        <f t="shared" si="9"/>
        <v>22</v>
      </c>
      <c r="AU14" s="115">
        <v>2</v>
      </c>
      <c r="AV14" s="115" t="s">
        <v>93</v>
      </c>
      <c r="AW14" s="115">
        <v>38</v>
      </c>
      <c r="AX14" s="115">
        <v>22</v>
      </c>
      <c r="AY14" s="115">
        <v>2</v>
      </c>
      <c r="AZ14" s="115">
        <f t="shared" si="3"/>
        <v>6</v>
      </c>
      <c r="BA14" s="98"/>
      <c r="BB14" s="105"/>
      <c r="BC14" s="105"/>
      <c r="BD14" s="105"/>
      <c r="BE14" s="105">
        <v>4</v>
      </c>
      <c r="BF14" s="105"/>
      <c r="BG14" s="105"/>
      <c r="BH14" s="105" t="str">
        <f t="shared" si="10"/>
        <v>0</v>
      </c>
      <c r="BI14" s="98">
        <f t="shared" si="11"/>
        <v>6</v>
      </c>
      <c r="BJ14" s="105">
        <v>1</v>
      </c>
    </row>
    <row r="15" spans="1:62" x14ac:dyDescent="0.2">
      <c r="A15" s="97"/>
      <c r="B15" s="98"/>
      <c r="C15" s="99"/>
      <c r="D15" s="99"/>
      <c r="E15" s="100"/>
      <c r="F15" s="101"/>
      <c r="G15" s="101"/>
      <c r="H15" s="101"/>
      <c r="I15" s="102"/>
      <c r="J15" s="103"/>
      <c r="K15" s="104"/>
      <c r="L15" s="103"/>
      <c r="M15" s="105"/>
      <c r="N15" s="106"/>
      <c r="O15" s="101"/>
      <c r="P15" s="107"/>
      <c r="Q15" s="105"/>
      <c r="R15" s="108"/>
      <c r="S15" s="105"/>
      <c r="T15" s="105"/>
      <c r="U15" s="109"/>
      <c r="V15" s="104"/>
      <c r="W15" s="110"/>
      <c r="X15" s="111"/>
      <c r="Y15" s="109"/>
      <c r="Z15" s="105"/>
      <c r="AA15" s="105"/>
      <c r="AB15" s="112"/>
      <c r="AC15" s="113">
        <v>2</v>
      </c>
      <c r="AD15" s="113">
        <v>12</v>
      </c>
      <c r="AE15" s="113">
        <v>6</v>
      </c>
      <c r="AF15" s="113">
        <v>3</v>
      </c>
      <c r="AG15" s="114" t="str">
        <f t="shared" si="4"/>
        <v>0</v>
      </c>
      <c r="AH15" s="115">
        <f t="shared" si="5"/>
        <v>15</v>
      </c>
      <c r="AI15" s="115">
        <f t="shared" si="0"/>
        <v>6</v>
      </c>
      <c r="AJ15" s="115">
        <f t="shared" si="6"/>
        <v>3</v>
      </c>
      <c r="AK15" s="115">
        <f t="shared" si="1"/>
        <v>6</v>
      </c>
      <c r="AL15" s="105"/>
      <c r="AM15" s="105"/>
      <c r="AN15" s="105"/>
      <c r="AO15" s="105">
        <v>8</v>
      </c>
      <c r="AP15" s="115">
        <f t="shared" si="7"/>
        <v>11</v>
      </c>
      <c r="AQ15" s="115">
        <f t="shared" si="2"/>
        <v>22</v>
      </c>
      <c r="AR15" s="115">
        <v>2</v>
      </c>
      <c r="AS15" s="115">
        <f t="shared" si="8"/>
        <v>11</v>
      </c>
      <c r="AT15" s="115">
        <f t="shared" si="9"/>
        <v>22</v>
      </c>
      <c r="AU15" s="115">
        <v>2</v>
      </c>
      <c r="AV15" s="115" t="s">
        <v>93</v>
      </c>
      <c r="AW15" s="115">
        <v>38</v>
      </c>
      <c r="AX15" s="115">
        <v>22</v>
      </c>
      <c r="AY15" s="115">
        <v>2</v>
      </c>
      <c r="AZ15" s="115">
        <f t="shared" si="3"/>
        <v>6</v>
      </c>
      <c r="BA15" s="98"/>
      <c r="BB15" s="105"/>
      <c r="BC15" s="105"/>
      <c r="BD15" s="105"/>
      <c r="BE15" s="105">
        <v>4</v>
      </c>
      <c r="BF15" s="105"/>
      <c r="BG15" s="105"/>
      <c r="BH15" s="105" t="str">
        <f t="shared" si="10"/>
        <v>0</v>
      </c>
      <c r="BI15" s="98">
        <f t="shared" si="11"/>
        <v>6</v>
      </c>
      <c r="BJ15" s="105">
        <v>1</v>
      </c>
    </row>
    <row r="16" spans="1:62" x14ac:dyDescent="0.2">
      <c r="A16" s="97"/>
      <c r="B16" s="98"/>
      <c r="C16" s="99"/>
      <c r="D16" s="99"/>
      <c r="E16" s="106"/>
      <c r="F16" s="105"/>
      <c r="G16" s="105"/>
      <c r="H16" s="101"/>
      <c r="I16" s="102"/>
      <c r="J16" s="103"/>
      <c r="K16" s="104"/>
      <c r="L16" s="103"/>
      <c r="M16" s="105"/>
      <c r="N16" s="106"/>
      <c r="O16" s="101"/>
      <c r="P16" s="107"/>
      <c r="Q16" s="105"/>
      <c r="R16" s="108"/>
      <c r="S16" s="105"/>
      <c r="T16" s="105"/>
      <c r="U16" s="109"/>
      <c r="V16" s="104"/>
      <c r="W16" s="110"/>
      <c r="X16" s="111"/>
      <c r="Y16" s="109"/>
      <c r="Z16" s="105"/>
      <c r="AA16" s="105"/>
      <c r="AB16" s="112"/>
      <c r="AC16" s="113">
        <v>2</v>
      </c>
      <c r="AD16" s="113">
        <v>12</v>
      </c>
      <c r="AE16" s="113">
        <v>6</v>
      </c>
      <c r="AF16" s="113">
        <v>3</v>
      </c>
      <c r="AG16" s="114" t="str">
        <f t="shared" si="4"/>
        <v>0</v>
      </c>
      <c r="AH16" s="115">
        <f t="shared" si="5"/>
        <v>15</v>
      </c>
      <c r="AI16" s="115">
        <f t="shared" si="0"/>
        <v>6</v>
      </c>
      <c r="AJ16" s="115">
        <f t="shared" si="6"/>
        <v>3</v>
      </c>
      <c r="AK16" s="115">
        <f t="shared" si="1"/>
        <v>6</v>
      </c>
      <c r="AL16" s="105"/>
      <c r="AM16" s="105"/>
      <c r="AN16" s="105"/>
      <c r="AO16" s="105">
        <v>8</v>
      </c>
      <c r="AP16" s="115">
        <f t="shared" si="7"/>
        <v>11</v>
      </c>
      <c r="AQ16" s="115">
        <f t="shared" si="2"/>
        <v>22</v>
      </c>
      <c r="AR16" s="115">
        <v>2</v>
      </c>
      <c r="AS16" s="115">
        <f t="shared" si="8"/>
        <v>11</v>
      </c>
      <c r="AT16" s="115">
        <f t="shared" si="9"/>
        <v>22</v>
      </c>
      <c r="AU16" s="115">
        <v>2</v>
      </c>
      <c r="AV16" s="115" t="s">
        <v>93</v>
      </c>
      <c r="AW16" s="115">
        <v>38</v>
      </c>
      <c r="AX16" s="115">
        <v>22</v>
      </c>
      <c r="AY16" s="115">
        <v>2</v>
      </c>
      <c r="AZ16" s="115">
        <f t="shared" si="3"/>
        <v>6</v>
      </c>
      <c r="BA16" s="98"/>
      <c r="BB16" s="105"/>
      <c r="BC16" s="105"/>
      <c r="BD16" s="105"/>
      <c r="BE16" s="105">
        <v>4</v>
      </c>
      <c r="BF16" s="105"/>
      <c r="BG16" s="105"/>
      <c r="BH16" s="105" t="str">
        <f t="shared" si="10"/>
        <v>0</v>
      </c>
      <c r="BI16" s="98">
        <f t="shared" si="11"/>
        <v>6</v>
      </c>
      <c r="BJ16" s="105">
        <v>1</v>
      </c>
    </row>
    <row r="17" spans="1:62" x14ac:dyDescent="0.2">
      <c r="A17" s="97"/>
      <c r="B17" s="98"/>
      <c r="C17" s="99"/>
      <c r="D17" s="99"/>
      <c r="E17" s="100"/>
      <c r="F17" s="101"/>
      <c r="G17" s="101"/>
      <c r="H17" s="101"/>
      <c r="I17" s="102"/>
      <c r="J17" s="103"/>
      <c r="K17" s="104"/>
      <c r="L17" s="103"/>
      <c r="M17" s="105"/>
      <c r="N17" s="106"/>
      <c r="O17" s="101"/>
      <c r="P17" s="107"/>
      <c r="Q17" s="105"/>
      <c r="R17" s="108"/>
      <c r="S17" s="105"/>
      <c r="T17" s="105"/>
      <c r="U17" s="109"/>
      <c r="V17" s="104"/>
      <c r="W17" s="110"/>
      <c r="X17" s="111"/>
      <c r="Y17" s="109"/>
      <c r="Z17" s="105"/>
      <c r="AA17" s="105"/>
      <c r="AB17" s="112"/>
      <c r="AC17" s="113">
        <v>2</v>
      </c>
      <c r="AD17" s="113">
        <v>12</v>
      </c>
      <c r="AE17" s="113">
        <v>6</v>
      </c>
      <c r="AF17" s="113">
        <v>3</v>
      </c>
      <c r="AG17" s="114" t="str">
        <f t="shared" si="4"/>
        <v>0</v>
      </c>
      <c r="AH17" s="115">
        <f t="shared" si="5"/>
        <v>15</v>
      </c>
      <c r="AI17" s="115">
        <f t="shared" si="0"/>
        <v>6</v>
      </c>
      <c r="AJ17" s="115">
        <f t="shared" si="6"/>
        <v>3</v>
      </c>
      <c r="AK17" s="115">
        <f t="shared" si="1"/>
        <v>6</v>
      </c>
      <c r="AL17" s="105"/>
      <c r="AM17" s="105"/>
      <c r="AN17" s="105"/>
      <c r="AO17" s="105">
        <v>8</v>
      </c>
      <c r="AP17" s="115">
        <f t="shared" si="7"/>
        <v>11</v>
      </c>
      <c r="AQ17" s="115">
        <f t="shared" si="2"/>
        <v>22</v>
      </c>
      <c r="AR17" s="115">
        <v>2</v>
      </c>
      <c r="AS17" s="115">
        <f t="shared" si="8"/>
        <v>11</v>
      </c>
      <c r="AT17" s="115">
        <f t="shared" si="9"/>
        <v>22</v>
      </c>
      <c r="AU17" s="115">
        <v>2</v>
      </c>
      <c r="AV17" s="115" t="s">
        <v>93</v>
      </c>
      <c r="AW17" s="115">
        <v>38</v>
      </c>
      <c r="AX17" s="115">
        <v>22</v>
      </c>
      <c r="AY17" s="115">
        <v>2</v>
      </c>
      <c r="AZ17" s="115">
        <f t="shared" si="3"/>
        <v>6</v>
      </c>
      <c r="BA17" s="98"/>
      <c r="BB17" s="105"/>
      <c r="BC17" s="105"/>
      <c r="BD17" s="105"/>
      <c r="BE17" s="105">
        <v>4</v>
      </c>
      <c r="BF17" s="105"/>
      <c r="BG17" s="105"/>
      <c r="BH17" s="105" t="str">
        <f t="shared" si="10"/>
        <v>0</v>
      </c>
      <c r="BI17" s="98">
        <f t="shared" si="11"/>
        <v>6</v>
      </c>
      <c r="BJ17" s="105">
        <v>1</v>
      </c>
    </row>
    <row r="18" spans="1:62" x14ac:dyDescent="0.2">
      <c r="A18" s="97"/>
      <c r="B18" s="98"/>
      <c r="C18" s="99"/>
      <c r="D18" s="99"/>
      <c r="E18" s="100"/>
      <c r="F18" s="101"/>
      <c r="G18" s="101"/>
      <c r="H18" s="101"/>
      <c r="I18" s="102"/>
      <c r="J18" s="103"/>
      <c r="K18" s="104"/>
      <c r="L18" s="103"/>
      <c r="M18" s="105"/>
      <c r="N18" s="106"/>
      <c r="O18" s="101"/>
      <c r="P18" s="107"/>
      <c r="Q18" s="105"/>
      <c r="R18" s="108"/>
      <c r="S18" s="105"/>
      <c r="T18" s="105"/>
      <c r="U18" s="109"/>
      <c r="V18" s="104"/>
      <c r="W18" s="110"/>
      <c r="X18" s="111"/>
      <c r="Y18" s="109"/>
      <c r="Z18" s="105"/>
      <c r="AA18" s="105"/>
      <c r="AB18" s="112"/>
      <c r="AC18" s="113">
        <v>2</v>
      </c>
      <c r="AD18" s="113">
        <v>12</v>
      </c>
      <c r="AE18" s="113">
        <v>6</v>
      </c>
      <c r="AF18" s="113">
        <v>3</v>
      </c>
      <c r="AG18" s="114" t="str">
        <f t="shared" si="4"/>
        <v>0</v>
      </c>
      <c r="AH18" s="115">
        <f t="shared" si="5"/>
        <v>15</v>
      </c>
      <c r="AI18" s="115">
        <f t="shared" si="0"/>
        <v>6</v>
      </c>
      <c r="AJ18" s="115">
        <f t="shared" si="6"/>
        <v>3</v>
      </c>
      <c r="AK18" s="115">
        <f t="shared" si="1"/>
        <v>6</v>
      </c>
      <c r="AL18" s="105"/>
      <c r="AM18" s="105"/>
      <c r="AN18" s="105"/>
      <c r="AO18" s="105">
        <v>8</v>
      </c>
      <c r="AP18" s="115">
        <f t="shared" si="7"/>
        <v>11</v>
      </c>
      <c r="AQ18" s="115">
        <f t="shared" si="2"/>
        <v>22</v>
      </c>
      <c r="AR18" s="115">
        <v>2</v>
      </c>
      <c r="AS18" s="115">
        <f t="shared" si="8"/>
        <v>11</v>
      </c>
      <c r="AT18" s="115">
        <f t="shared" si="9"/>
        <v>22</v>
      </c>
      <c r="AU18" s="115">
        <v>2</v>
      </c>
      <c r="AV18" s="115" t="s">
        <v>93</v>
      </c>
      <c r="AW18" s="115">
        <v>38</v>
      </c>
      <c r="AX18" s="115">
        <v>22</v>
      </c>
      <c r="AY18" s="115">
        <v>2</v>
      </c>
      <c r="AZ18" s="115">
        <f t="shared" si="3"/>
        <v>6</v>
      </c>
      <c r="BA18" s="98"/>
      <c r="BB18" s="105"/>
      <c r="BC18" s="105"/>
      <c r="BD18" s="105"/>
      <c r="BE18" s="105">
        <v>4</v>
      </c>
      <c r="BF18" s="105"/>
      <c r="BG18" s="105"/>
      <c r="BH18" s="105" t="str">
        <f t="shared" si="10"/>
        <v>0</v>
      </c>
      <c r="BI18" s="98">
        <f t="shared" si="11"/>
        <v>6</v>
      </c>
      <c r="BJ18" s="105">
        <v>1</v>
      </c>
    </row>
    <row r="19" spans="1:62" x14ac:dyDescent="0.2">
      <c r="A19" s="97"/>
      <c r="B19" s="98"/>
      <c r="C19" s="99"/>
      <c r="D19" s="99"/>
      <c r="E19" s="100"/>
      <c r="F19" s="101"/>
      <c r="G19" s="101"/>
      <c r="H19" s="101"/>
      <c r="I19" s="102"/>
      <c r="J19" s="103"/>
      <c r="K19" s="104"/>
      <c r="L19" s="103"/>
      <c r="M19" s="105"/>
      <c r="N19" s="106"/>
      <c r="O19" s="101"/>
      <c r="P19" s="107"/>
      <c r="Q19" s="105"/>
      <c r="R19" s="108"/>
      <c r="S19" s="105"/>
      <c r="T19" s="105"/>
      <c r="U19" s="109"/>
      <c r="V19" s="104"/>
      <c r="W19" s="110"/>
      <c r="X19" s="111"/>
      <c r="Y19" s="109"/>
      <c r="Z19" s="105"/>
      <c r="AA19" s="105"/>
      <c r="AB19" s="112"/>
      <c r="AC19" s="113">
        <v>2</v>
      </c>
      <c r="AD19" s="113">
        <v>12</v>
      </c>
      <c r="AE19" s="113">
        <v>6</v>
      </c>
      <c r="AF19" s="113">
        <v>3</v>
      </c>
      <c r="AG19" s="114" t="str">
        <f t="shared" si="4"/>
        <v>0</v>
      </c>
      <c r="AH19" s="115">
        <f t="shared" si="5"/>
        <v>15</v>
      </c>
      <c r="AI19" s="115">
        <f t="shared" si="0"/>
        <v>6</v>
      </c>
      <c r="AJ19" s="115">
        <f t="shared" si="6"/>
        <v>3</v>
      </c>
      <c r="AK19" s="115">
        <f t="shared" si="1"/>
        <v>6</v>
      </c>
      <c r="AL19" s="105"/>
      <c r="AM19" s="105"/>
      <c r="AN19" s="105"/>
      <c r="AO19" s="105">
        <v>8</v>
      </c>
      <c r="AP19" s="115">
        <f t="shared" si="7"/>
        <v>11</v>
      </c>
      <c r="AQ19" s="115">
        <f t="shared" si="2"/>
        <v>22</v>
      </c>
      <c r="AR19" s="115">
        <v>2</v>
      </c>
      <c r="AS19" s="115">
        <f t="shared" si="8"/>
        <v>11</v>
      </c>
      <c r="AT19" s="115">
        <f t="shared" si="9"/>
        <v>22</v>
      </c>
      <c r="AU19" s="115">
        <v>2</v>
      </c>
      <c r="AV19" s="115" t="s">
        <v>93</v>
      </c>
      <c r="AW19" s="115">
        <v>38</v>
      </c>
      <c r="AX19" s="115">
        <v>22</v>
      </c>
      <c r="AY19" s="115">
        <v>2</v>
      </c>
      <c r="AZ19" s="115">
        <f t="shared" si="3"/>
        <v>6</v>
      </c>
      <c r="BA19" s="98"/>
      <c r="BB19" s="105"/>
      <c r="BC19" s="105"/>
      <c r="BD19" s="105"/>
      <c r="BE19" s="105">
        <v>4</v>
      </c>
      <c r="BF19" s="105"/>
      <c r="BG19" s="105"/>
      <c r="BH19" s="105" t="str">
        <f t="shared" si="10"/>
        <v>0</v>
      </c>
      <c r="BI19" s="98">
        <f t="shared" si="11"/>
        <v>6</v>
      </c>
      <c r="BJ19" s="105">
        <v>1</v>
      </c>
    </row>
    <row r="20" spans="1:62" x14ac:dyDescent="0.2">
      <c r="A20" s="97"/>
      <c r="B20" s="98"/>
      <c r="C20" s="99"/>
      <c r="D20" s="99"/>
      <c r="E20" s="106"/>
      <c r="F20" s="105"/>
      <c r="G20" s="105"/>
      <c r="H20" s="105"/>
      <c r="I20" s="102"/>
      <c r="J20" s="103"/>
      <c r="K20" s="104"/>
      <c r="L20" s="103"/>
      <c r="M20" s="105"/>
      <c r="N20" s="106"/>
      <c r="O20" s="105"/>
      <c r="P20" s="107"/>
      <c r="Q20" s="105"/>
      <c r="R20" s="108"/>
      <c r="S20" s="105"/>
      <c r="T20" s="105"/>
      <c r="U20" s="109"/>
      <c r="V20" s="104"/>
      <c r="W20" s="110"/>
      <c r="X20" s="111"/>
      <c r="Y20" s="109"/>
      <c r="Z20" s="105"/>
      <c r="AA20" s="105"/>
      <c r="AB20" s="112"/>
      <c r="AC20" s="113">
        <v>2</v>
      </c>
      <c r="AD20" s="113">
        <v>12</v>
      </c>
      <c r="AE20" s="113">
        <v>6</v>
      </c>
      <c r="AF20" s="113">
        <v>3</v>
      </c>
      <c r="AG20" s="114" t="str">
        <f t="shared" si="4"/>
        <v>0</v>
      </c>
      <c r="AH20" s="115">
        <f t="shared" si="5"/>
        <v>15</v>
      </c>
      <c r="AI20" s="115">
        <f t="shared" si="0"/>
        <v>6</v>
      </c>
      <c r="AJ20" s="115">
        <f t="shared" si="6"/>
        <v>3</v>
      </c>
      <c r="AK20" s="115">
        <f t="shared" si="1"/>
        <v>6</v>
      </c>
      <c r="AL20" s="105"/>
      <c r="AM20" s="105"/>
      <c r="AN20" s="105"/>
      <c r="AO20" s="105">
        <v>8</v>
      </c>
      <c r="AP20" s="115">
        <f t="shared" si="7"/>
        <v>11</v>
      </c>
      <c r="AQ20" s="115">
        <f t="shared" si="2"/>
        <v>22</v>
      </c>
      <c r="AR20" s="115">
        <v>2</v>
      </c>
      <c r="AS20" s="115">
        <f t="shared" si="8"/>
        <v>11</v>
      </c>
      <c r="AT20" s="115">
        <f t="shared" si="9"/>
        <v>22</v>
      </c>
      <c r="AU20" s="115">
        <v>2</v>
      </c>
      <c r="AV20" s="115" t="s">
        <v>93</v>
      </c>
      <c r="AW20" s="115">
        <v>38</v>
      </c>
      <c r="AX20" s="115">
        <v>22</v>
      </c>
      <c r="AY20" s="115">
        <v>2</v>
      </c>
      <c r="AZ20" s="115">
        <f t="shared" si="3"/>
        <v>6</v>
      </c>
      <c r="BA20" s="98"/>
      <c r="BB20" s="105"/>
      <c r="BC20" s="105"/>
      <c r="BD20" s="105"/>
      <c r="BE20" s="105">
        <v>4</v>
      </c>
      <c r="BF20" s="105"/>
      <c r="BG20" s="105"/>
      <c r="BH20" s="105" t="str">
        <f t="shared" si="10"/>
        <v>0</v>
      </c>
      <c r="BI20" s="98">
        <f t="shared" si="11"/>
        <v>6</v>
      </c>
      <c r="BJ20" s="105">
        <v>1</v>
      </c>
    </row>
    <row r="21" spans="1:62" x14ac:dyDescent="0.2">
      <c r="A21" s="97"/>
      <c r="B21" s="98"/>
      <c r="C21" s="99"/>
      <c r="D21" s="99"/>
      <c r="E21" s="106"/>
      <c r="F21" s="105"/>
      <c r="G21" s="105"/>
      <c r="H21" s="105"/>
      <c r="I21" s="102"/>
      <c r="J21" s="103"/>
      <c r="K21" s="104"/>
      <c r="L21" s="103"/>
      <c r="M21" s="105"/>
      <c r="N21" s="106"/>
      <c r="O21" s="105"/>
      <c r="P21" s="107"/>
      <c r="Q21" s="105"/>
      <c r="R21" s="108"/>
      <c r="S21" s="105"/>
      <c r="T21" s="105"/>
      <c r="U21" s="109"/>
      <c r="V21" s="104"/>
      <c r="W21" s="110"/>
      <c r="X21" s="111"/>
      <c r="Y21" s="109"/>
      <c r="Z21" s="105"/>
      <c r="AA21" s="105"/>
      <c r="AB21" s="112"/>
      <c r="AC21" s="113">
        <v>2</v>
      </c>
      <c r="AD21" s="113">
        <v>12</v>
      </c>
      <c r="AE21" s="113">
        <v>6</v>
      </c>
      <c r="AF21" s="113">
        <v>3</v>
      </c>
      <c r="AG21" s="114" t="str">
        <f t="shared" si="4"/>
        <v>0</v>
      </c>
      <c r="AH21" s="115">
        <f t="shared" si="5"/>
        <v>15</v>
      </c>
      <c r="AI21" s="115">
        <f t="shared" si="0"/>
        <v>6</v>
      </c>
      <c r="AJ21" s="115">
        <f t="shared" si="6"/>
        <v>3</v>
      </c>
      <c r="AK21" s="115">
        <f t="shared" si="1"/>
        <v>6</v>
      </c>
      <c r="AL21" s="105"/>
      <c r="AM21" s="105"/>
      <c r="AN21" s="105"/>
      <c r="AO21" s="105">
        <v>8</v>
      </c>
      <c r="AP21" s="115">
        <f t="shared" si="7"/>
        <v>11</v>
      </c>
      <c r="AQ21" s="115">
        <f t="shared" si="2"/>
        <v>22</v>
      </c>
      <c r="AR21" s="115">
        <v>2</v>
      </c>
      <c r="AS21" s="115">
        <f t="shared" si="8"/>
        <v>11</v>
      </c>
      <c r="AT21" s="115">
        <f t="shared" si="9"/>
        <v>22</v>
      </c>
      <c r="AU21" s="115">
        <v>2</v>
      </c>
      <c r="AV21" s="115" t="s">
        <v>93</v>
      </c>
      <c r="AW21" s="115">
        <v>38</v>
      </c>
      <c r="AX21" s="115">
        <v>22</v>
      </c>
      <c r="AY21" s="115">
        <v>2</v>
      </c>
      <c r="AZ21" s="115">
        <f t="shared" si="3"/>
        <v>6</v>
      </c>
      <c r="BA21" s="98"/>
      <c r="BB21" s="105"/>
      <c r="BC21" s="105"/>
      <c r="BD21" s="105"/>
      <c r="BE21" s="105">
        <v>4</v>
      </c>
      <c r="BF21" s="105"/>
      <c r="BG21" s="105"/>
      <c r="BH21" s="105" t="str">
        <f t="shared" si="10"/>
        <v>0</v>
      </c>
      <c r="BI21" s="98">
        <f t="shared" si="11"/>
        <v>6</v>
      </c>
      <c r="BJ21" s="105">
        <v>1</v>
      </c>
    </row>
    <row r="22" spans="1:62" x14ac:dyDescent="0.2">
      <c r="A22" s="97"/>
      <c r="B22" s="98"/>
      <c r="C22" s="99"/>
      <c r="D22" s="99"/>
      <c r="E22" s="106"/>
      <c r="F22" s="105"/>
      <c r="G22" s="105"/>
      <c r="H22" s="105"/>
      <c r="I22" s="102"/>
      <c r="J22" s="103"/>
      <c r="K22" s="104"/>
      <c r="L22" s="103"/>
      <c r="M22" s="105"/>
      <c r="N22" s="106"/>
      <c r="O22" s="105"/>
      <c r="P22" s="107"/>
      <c r="Q22" s="105"/>
      <c r="R22" s="108"/>
      <c r="S22" s="105"/>
      <c r="T22" s="105"/>
      <c r="U22" s="109"/>
      <c r="V22" s="104"/>
      <c r="W22" s="110"/>
      <c r="X22" s="111"/>
      <c r="Y22" s="109"/>
      <c r="Z22" s="105"/>
      <c r="AA22" s="105"/>
      <c r="AB22" s="112"/>
      <c r="AC22" s="113">
        <v>2</v>
      </c>
      <c r="AD22" s="113">
        <v>12</v>
      </c>
      <c r="AE22" s="113">
        <v>6</v>
      </c>
      <c r="AF22" s="113">
        <v>3</v>
      </c>
      <c r="AG22" s="114" t="str">
        <f t="shared" si="4"/>
        <v>0</v>
      </c>
      <c r="AH22" s="115">
        <f t="shared" si="5"/>
        <v>15</v>
      </c>
      <c r="AI22" s="115">
        <f t="shared" si="0"/>
        <v>6</v>
      </c>
      <c r="AJ22" s="115">
        <f t="shared" si="6"/>
        <v>3</v>
      </c>
      <c r="AK22" s="115">
        <f t="shared" si="1"/>
        <v>6</v>
      </c>
      <c r="AL22" s="105"/>
      <c r="AM22" s="105"/>
      <c r="AN22" s="105"/>
      <c r="AO22" s="105">
        <v>8</v>
      </c>
      <c r="AP22" s="115">
        <f t="shared" si="7"/>
        <v>11</v>
      </c>
      <c r="AQ22" s="115">
        <f t="shared" si="2"/>
        <v>22</v>
      </c>
      <c r="AR22" s="115">
        <v>2</v>
      </c>
      <c r="AS22" s="115">
        <f t="shared" si="8"/>
        <v>11</v>
      </c>
      <c r="AT22" s="115">
        <f t="shared" si="9"/>
        <v>22</v>
      </c>
      <c r="AU22" s="115">
        <v>2</v>
      </c>
      <c r="AV22" s="115" t="s">
        <v>93</v>
      </c>
      <c r="AW22" s="115">
        <v>38</v>
      </c>
      <c r="AX22" s="115">
        <v>22</v>
      </c>
      <c r="AY22" s="115">
        <v>2</v>
      </c>
      <c r="AZ22" s="115">
        <f t="shared" si="3"/>
        <v>6</v>
      </c>
      <c r="BA22" s="98"/>
      <c r="BB22" s="105"/>
      <c r="BC22" s="105"/>
      <c r="BD22" s="105"/>
      <c r="BE22" s="105">
        <v>4</v>
      </c>
      <c r="BF22" s="105"/>
      <c r="BG22" s="105"/>
      <c r="BH22" s="105" t="str">
        <f t="shared" si="10"/>
        <v>0</v>
      </c>
      <c r="BI22" s="98">
        <f t="shared" si="11"/>
        <v>6</v>
      </c>
      <c r="BJ22" s="105">
        <v>1</v>
      </c>
    </row>
    <row r="23" spans="1:62" x14ac:dyDescent="0.2">
      <c r="A23" s="97"/>
      <c r="B23" s="98"/>
      <c r="C23" s="99"/>
      <c r="D23" s="99"/>
      <c r="E23" s="106"/>
      <c r="F23" s="105"/>
      <c r="G23" s="105"/>
      <c r="H23" s="105"/>
      <c r="I23" s="102"/>
      <c r="J23" s="103"/>
      <c r="K23" s="104"/>
      <c r="L23" s="103"/>
      <c r="M23" s="105"/>
      <c r="N23" s="106"/>
      <c r="O23" s="105"/>
      <c r="P23" s="107"/>
      <c r="Q23" s="105"/>
      <c r="R23" s="108"/>
      <c r="S23" s="105"/>
      <c r="T23" s="105"/>
      <c r="U23" s="109"/>
      <c r="V23" s="104"/>
      <c r="W23" s="110"/>
      <c r="X23" s="111"/>
      <c r="Y23" s="109"/>
      <c r="Z23" s="105"/>
      <c r="AA23" s="105"/>
      <c r="AB23" s="112"/>
      <c r="AC23" s="113">
        <v>2</v>
      </c>
      <c r="AD23" s="113">
        <v>12</v>
      </c>
      <c r="AE23" s="113">
        <v>6</v>
      </c>
      <c r="AF23" s="113">
        <v>3</v>
      </c>
      <c r="AG23" s="114" t="str">
        <f t="shared" si="4"/>
        <v>0</v>
      </c>
      <c r="AH23" s="115">
        <f t="shared" si="5"/>
        <v>15</v>
      </c>
      <c r="AI23" s="115">
        <f t="shared" si="0"/>
        <v>6</v>
      </c>
      <c r="AJ23" s="115">
        <f t="shared" si="6"/>
        <v>3</v>
      </c>
      <c r="AK23" s="115">
        <f t="shared" si="1"/>
        <v>6</v>
      </c>
      <c r="AL23" s="105"/>
      <c r="AM23" s="105"/>
      <c r="AN23" s="105"/>
      <c r="AO23" s="105">
        <v>8</v>
      </c>
      <c r="AP23" s="115">
        <f t="shared" si="7"/>
        <v>11</v>
      </c>
      <c r="AQ23" s="115">
        <f t="shared" si="2"/>
        <v>22</v>
      </c>
      <c r="AR23" s="115">
        <v>2</v>
      </c>
      <c r="AS23" s="115">
        <f t="shared" si="8"/>
        <v>11</v>
      </c>
      <c r="AT23" s="115">
        <f t="shared" si="9"/>
        <v>22</v>
      </c>
      <c r="AU23" s="115">
        <v>2</v>
      </c>
      <c r="AV23" s="115" t="s">
        <v>93</v>
      </c>
      <c r="AW23" s="115">
        <v>38</v>
      </c>
      <c r="AX23" s="115">
        <v>22</v>
      </c>
      <c r="AY23" s="115">
        <v>2</v>
      </c>
      <c r="AZ23" s="115">
        <f t="shared" si="3"/>
        <v>6</v>
      </c>
      <c r="BA23" s="98"/>
      <c r="BB23" s="105"/>
      <c r="BC23" s="105"/>
      <c r="BD23" s="105"/>
      <c r="BE23" s="105">
        <v>4</v>
      </c>
      <c r="BF23" s="105"/>
      <c r="BG23" s="105"/>
      <c r="BH23" s="105" t="str">
        <f t="shared" si="10"/>
        <v>0</v>
      </c>
      <c r="BI23" s="98">
        <f t="shared" si="11"/>
        <v>6</v>
      </c>
      <c r="BJ23" s="105">
        <v>1</v>
      </c>
    </row>
    <row r="24" spans="1:62" x14ac:dyDescent="0.2">
      <c r="A24" s="97"/>
      <c r="B24" s="98"/>
      <c r="C24" s="99"/>
      <c r="D24" s="99"/>
      <c r="E24" s="106"/>
      <c r="F24" s="105"/>
      <c r="G24" s="105"/>
      <c r="H24" s="105"/>
      <c r="I24" s="102"/>
      <c r="J24" s="103"/>
      <c r="K24" s="104"/>
      <c r="L24" s="103"/>
      <c r="M24" s="105"/>
      <c r="N24" s="106"/>
      <c r="O24" s="105"/>
      <c r="P24" s="107"/>
      <c r="Q24" s="105"/>
      <c r="R24" s="108"/>
      <c r="S24" s="105"/>
      <c r="T24" s="105"/>
      <c r="U24" s="109"/>
      <c r="V24" s="104"/>
      <c r="W24" s="110"/>
      <c r="X24" s="111"/>
      <c r="Y24" s="109"/>
      <c r="Z24" s="105"/>
      <c r="AA24" s="105"/>
      <c r="AB24" s="112"/>
      <c r="AC24" s="113">
        <v>2</v>
      </c>
      <c r="AD24" s="113">
        <v>12</v>
      </c>
      <c r="AE24" s="113">
        <v>6</v>
      </c>
      <c r="AF24" s="113">
        <v>3</v>
      </c>
      <c r="AG24" s="114" t="str">
        <f t="shared" si="4"/>
        <v>0</v>
      </c>
      <c r="AH24" s="115">
        <f t="shared" si="5"/>
        <v>15</v>
      </c>
      <c r="AI24" s="115">
        <f t="shared" si="0"/>
        <v>6</v>
      </c>
      <c r="AJ24" s="115">
        <f t="shared" si="6"/>
        <v>3</v>
      </c>
      <c r="AK24" s="115">
        <f t="shared" si="1"/>
        <v>6</v>
      </c>
      <c r="AL24" s="105"/>
      <c r="AM24" s="105"/>
      <c r="AN24" s="105"/>
      <c r="AO24" s="105">
        <v>8</v>
      </c>
      <c r="AP24" s="115">
        <f t="shared" si="7"/>
        <v>11</v>
      </c>
      <c r="AQ24" s="115">
        <f t="shared" si="2"/>
        <v>22</v>
      </c>
      <c r="AR24" s="115">
        <v>2</v>
      </c>
      <c r="AS24" s="115">
        <f t="shared" si="8"/>
        <v>11</v>
      </c>
      <c r="AT24" s="115">
        <f t="shared" si="9"/>
        <v>22</v>
      </c>
      <c r="AU24" s="115">
        <v>2</v>
      </c>
      <c r="AV24" s="115" t="s">
        <v>93</v>
      </c>
      <c r="AW24" s="115">
        <v>38</v>
      </c>
      <c r="AX24" s="115">
        <v>22</v>
      </c>
      <c r="AY24" s="115">
        <v>2</v>
      </c>
      <c r="AZ24" s="115">
        <f t="shared" si="3"/>
        <v>6</v>
      </c>
      <c r="BA24" s="98"/>
      <c r="BB24" s="105"/>
      <c r="BC24" s="105"/>
      <c r="BD24" s="105"/>
      <c r="BE24" s="105">
        <v>4</v>
      </c>
      <c r="BF24" s="105"/>
      <c r="BG24" s="105"/>
      <c r="BH24" s="105" t="str">
        <f t="shared" si="10"/>
        <v>0</v>
      </c>
      <c r="BI24" s="98">
        <f t="shared" si="11"/>
        <v>6</v>
      </c>
      <c r="BJ24" s="105">
        <v>1</v>
      </c>
    </row>
    <row r="25" spans="1:62" x14ac:dyDescent="0.2">
      <c r="A25" s="97"/>
      <c r="B25" s="98"/>
      <c r="C25" s="99"/>
      <c r="D25" s="99"/>
      <c r="E25" s="106"/>
      <c r="F25" s="105"/>
      <c r="G25" s="105"/>
      <c r="H25" s="105"/>
      <c r="I25" s="102"/>
      <c r="J25" s="103"/>
      <c r="K25" s="104"/>
      <c r="L25" s="103"/>
      <c r="M25" s="105"/>
      <c r="N25" s="106"/>
      <c r="O25" s="105"/>
      <c r="P25" s="107"/>
      <c r="Q25" s="105"/>
      <c r="R25" s="108"/>
      <c r="S25" s="105"/>
      <c r="T25" s="105"/>
      <c r="U25" s="109"/>
      <c r="V25" s="104"/>
      <c r="W25" s="110"/>
      <c r="X25" s="111"/>
      <c r="Y25" s="109"/>
      <c r="Z25" s="105"/>
      <c r="AA25" s="105"/>
      <c r="AB25" s="112"/>
      <c r="AC25" s="113">
        <v>2</v>
      </c>
      <c r="AD25" s="113">
        <v>12</v>
      </c>
      <c r="AE25" s="113">
        <v>6</v>
      </c>
      <c r="AF25" s="113">
        <v>3</v>
      </c>
      <c r="AG25" s="114" t="str">
        <f t="shared" si="4"/>
        <v>0</v>
      </c>
      <c r="AH25" s="115">
        <f t="shared" si="5"/>
        <v>15</v>
      </c>
      <c r="AI25" s="115">
        <f t="shared" si="0"/>
        <v>6</v>
      </c>
      <c r="AJ25" s="115">
        <f t="shared" si="6"/>
        <v>3</v>
      </c>
      <c r="AK25" s="115">
        <f t="shared" si="1"/>
        <v>6</v>
      </c>
      <c r="AL25" s="105"/>
      <c r="AM25" s="105"/>
      <c r="AN25" s="105"/>
      <c r="AO25" s="105">
        <v>8</v>
      </c>
      <c r="AP25" s="115">
        <f t="shared" si="7"/>
        <v>11</v>
      </c>
      <c r="AQ25" s="115">
        <f t="shared" si="2"/>
        <v>22</v>
      </c>
      <c r="AR25" s="115">
        <v>2</v>
      </c>
      <c r="AS25" s="115">
        <f t="shared" si="8"/>
        <v>11</v>
      </c>
      <c r="AT25" s="115">
        <f t="shared" si="9"/>
        <v>22</v>
      </c>
      <c r="AU25" s="115">
        <v>2</v>
      </c>
      <c r="AV25" s="115" t="s">
        <v>93</v>
      </c>
      <c r="AW25" s="115">
        <v>38</v>
      </c>
      <c r="AX25" s="115">
        <v>22</v>
      </c>
      <c r="AY25" s="115">
        <v>2</v>
      </c>
      <c r="AZ25" s="115">
        <f t="shared" si="3"/>
        <v>6</v>
      </c>
      <c r="BA25" s="98"/>
      <c r="BB25" s="105"/>
      <c r="BC25" s="105"/>
      <c r="BD25" s="105"/>
      <c r="BE25" s="105">
        <v>4</v>
      </c>
      <c r="BF25" s="105"/>
      <c r="BG25" s="105"/>
      <c r="BH25" s="105" t="str">
        <f t="shared" si="10"/>
        <v>0</v>
      </c>
      <c r="BI25" s="98">
        <f t="shared" si="11"/>
        <v>6</v>
      </c>
      <c r="BJ25" s="105">
        <v>1</v>
      </c>
    </row>
    <row r="26" spans="1:62" x14ac:dyDescent="0.2">
      <c r="A26" s="98"/>
      <c r="B26" s="98"/>
      <c r="C26" s="99"/>
      <c r="D26" s="99"/>
      <c r="E26" s="106"/>
      <c r="F26" s="105"/>
      <c r="G26" s="105"/>
      <c r="H26" s="105"/>
      <c r="I26" s="102"/>
      <c r="J26" s="103"/>
      <c r="K26" s="104"/>
      <c r="L26" s="103"/>
      <c r="M26" s="105"/>
      <c r="N26" s="106"/>
      <c r="O26" s="105"/>
      <c r="P26" s="107"/>
      <c r="Q26" s="105"/>
      <c r="R26" s="108"/>
      <c r="S26" s="105"/>
      <c r="T26" s="105"/>
      <c r="U26" s="109"/>
      <c r="V26" s="104"/>
      <c r="W26" s="110"/>
      <c r="X26" s="111"/>
      <c r="Y26" s="109"/>
      <c r="Z26" s="105"/>
      <c r="AA26" s="105"/>
      <c r="AB26" s="112"/>
      <c r="AC26" s="113">
        <v>2</v>
      </c>
      <c r="AD26" s="113">
        <v>12</v>
      </c>
      <c r="AE26" s="113">
        <v>6</v>
      </c>
      <c r="AF26" s="113">
        <v>3</v>
      </c>
      <c r="AG26" s="114" t="str">
        <f t="shared" si="4"/>
        <v>0</v>
      </c>
      <c r="AH26" s="115">
        <f t="shared" si="5"/>
        <v>15</v>
      </c>
      <c r="AI26" s="115">
        <f t="shared" si="0"/>
        <v>6</v>
      </c>
      <c r="AJ26" s="115">
        <f t="shared" si="6"/>
        <v>3</v>
      </c>
      <c r="AK26" s="115">
        <f t="shared" si="1"/>
        <v>6</v>
      </c>
      <c r="AL26" s="105"/>
      <c r="AM26" s="105"/>
      <c r="AN26" s="105"/>
      <c r="AO26" s="105">
        <v>8</v>
      </c>
      <c r="AP26" s="115">
        <f t="shared" si="7"/>
        <v>11</v>
      </c>
      <c r="AQ26" s="115">
        <f t="shared" si="2"/>
        <v>22</v>
      </c>
      <c r="AR26" s="115">
        <v>2</v>
      </c>
      <c r="AS26" s="115">
        <f t="shared" si="8"/>
        <v>11</v>
      </c>
      <c r="AT26" s="115">
        <f t="shared" si="9"/>
        <v>22</v>
      </c>
      <c r="AU26" s="115">
        <v>2</v>
      </c>
      <c r="AV26" s="115" t="s">
        <v>93</v>
      </c>
      <c r="AW26" s="115">
        <v>38</v>
      </c>
      <c r="AX26" s="115">
        <v>22</v>
      </c>
      <c r="AY26" s="115">
        <v>2</v>
      </c>
      <c r="AZ26" s="115">
        <f t="shared" si="3"/>
        <v>6</v>
      </c>
      <c r="BA26" s="98"/>
      <c r="BB26" s="105"/>
      <c r="BC26" s="105"/>
      <c r="BD26" s="105"/>
      <c r="BE26" s="105">
        <v>4</v>
      </c>
      <c r="BF26" s="105"/>
      <c r="BG26" s="105"/>
      <c r="BH26" s="105" t="str">
        <f t="shared" si="10"/>
        <v>0</v>
      </c>
      <c r="BI26" s="98">
        <f t="shared" si="11"/>
        <v>6</v>
      </c>
      <c r="BJ26" s="105">
        <v>1</v>
      </c>
    </row>
    <row r="27" spans="1:62" x14ac:dyDescent="0.2">
      <c r="A27" s="98"/>
      <c r="B27" s="98"/>
      <c r="C27" s="99"/>
      <c r="D27" s="99"/>
      <c r="E27" s="106"/>
      <c r="F27" s="105"/>
      <c r="G27" s="105"/>
      <c r="H27" s="105"/>
      <c r="I27" s="102"/>
      <c r="J27" s="117"/>
      <c r="K27" s="104"/>
      <c r="L27" s="103"/>
      <c r="M27" s="105"/>
      <c r="N27" s="106"/>
      <c r="O27" s="105"/>
      <c r="P27" s="107"/>
      <c r="Q27" s="105"/>
      <c r="R27" s="108"/>
      <c r="S27" s="105"/>
      <c r="T27" s="105"/>
      <c r="U27" s="109"/>
      <c r="V27" s="104"/>
      <c r="W27" s="110"/>
      <c r="X27" s="111"/>
      <c r="Y27" s="109"/>
      <c r="Z27" s="105"/>
      <c r="AA27" s="105"/>
      <c r="AB27" s="112"/>
      <c r="AC27" s="113">
        <v>2</v>
      </c>
      <c r="AD27" s="113">
        <v>12</v>
      </c>
      <c r="AE27" s="113">
        <v>6</v>
      </c>
      <c r="AF27" s="113">
        <v>3</v>
      </c>
      <c r="AG27" s="114" t="str">
        <f t="shared" si="4"/>
        <v>0</v>
      </c>
      <c r="AH27" s="115">
        <f t="shared" si="5"/>
        <v>15</v>
      </c>
      <c r="AI27" s="115">
        <f t="shared" si="0"/>
        <v>6</v>
      </c>
      <c r="AJ27" s="115">
        <f t="shared" si="6"/>
        <v>3</v>
      </c>
      <c r="AK27" s="115">
        <f t="shared" si="1"/>
        <v>6</v>
      </c>
      <c r="AL27" s="105"/>
      <c r="AM27" s="105"/>
      <c r="AN27" s="105"/>
      <c r="AO27" s="105">
        <v>8</v>
      </c>
      <c r="AP27" s="115">
        <f t="shared" si="7"/>
        <v>11</v>
      </c>
      <c r="AQ27" s="115">
        <f t="shared" si="2"/>
        <v>22</v>
      </c>
      <c r="AR27" s="115">
        <v>2</v>
      </c>
      <c r="AS27" s="115">
        <f t="shared" si="8"/>
        <v>11</v>
      </c>
      <c r="AT27" s="115">
        <f t="shared" si="9"/>
        <v>22</v>
      </c>
      <c r="AU27" s="115">
        <v>2</v>
      </c>
      <c r="AV27" s="115" t="s">
        <v>93</v>
      </c>
      <c r="AW27" s="115">
        <v>38</v>
      </c>
      <c r="AX27" s="115">
        <v>22</v>
      </c>
      <c r="AY27" s="115">
        <v>2</v>
      </c>
      <c r="AZ27" s="115">
        <f t="shared" si="3"/>
        <v>6</v>
      </c>
      <c r="BA27" s="98"/>
      <c r="BB27" s="105"/>
      <c r="BC27" s="105"/>
      <c r="BD27" s="105"/>
      <c r="BE27" s="105">
        <v>4</v>
      </c>
      <c r="BF27" s="105"/>
      <c r="BG27" s="105"/>
      <c r="BH27" s="105" t="str">
        <f t="shared" si="10"/>
        <v>0</v>
      </c>
      <c r="BI27" s="98">
        <f t="shared" si="11"/>
        <v>6</v>
      </c>
      <c r="BJ27" s="105">
        <v>1</v>
      </c>
    </row>
    <row r="28" spans="1:62" x14ac:dyDescent="0.2">
      <c r="A28" s="98"/>
      <c r="B28" s="98"/>
      <c r="C28" s="118"/>
      <c r="D28" s="119"/>
      <c r="E28" s="106"/>
      <c r="F28" s="105"/>
      <c r="G28" s="105"/>
      <c r="H28" s="105"/>
      <c r="I28" s="102"/>
      <c r="J28" s="104"/>
      <c r="K28" s="104"/>
      <c r="L28" s="103"/>
      <c r="M28" s="105"/>
      <c r="N28" s="106"/>
      <c r="O28" s="105"/>
      <c r="P28" s="107"/>
      <c r="Q28" s="105"/>
      <c r="R28" s="108"/>
      <c r="S28" s="105"/>
      <c r="T28" s="105"/>
      <c r="U28" s="109"/>
      <c r="V28" s="104"/>
      <c r="W28" s="104"/>
      <c r="X28" s="104"/>
      <c r="Y28" s="109"/>
      <c r="Z28" s="105"/>
      <c r="AA28" s="105"/>
      <c r="AB28" s="112"/>
      <c r="AC28" s="113">
        <v>2</v>
      </c>
      <c r="AD28" s="113">
        <v>12</v>
      </c>
      <c r="AE28" s="113">
        <v>6</v>
      </c>
      <c r="AF28" s="113">
        <v>3</v>
      </c>
      <c r="AG28" s="114" t="str">
        <f t="shared" si="4"/>
        <v>0</v>
      </c>
      <c r="AH28" s="115">
        <f t="shared" si="5"/>
        <v>15</v>
      </c>
      <c r="AI28" s="115">
        <f t="shared" si="0"/>
        <v>6</v>
      </c>
      <c r="AJ28" s="115">
        <f t="shared" si="6"/>
        <v>3</v>
      </c>
      <c r="AK28" s="115">
        <f t="shared" si="1"/>
        <v>6</v>
      </c>
      <c r="AL28" s="105"/>
      <c r="AM28" s="105"/>
      <c r="AN28" s="105"/>
      <c r="AO28" s="105">
        <v>8</v>
      </c>
      <c r="AP28" s="115">
        <f t="shared" si="7"/>
        <v>11</v>
      </c>
      <c r="AQ28" s="115">
        <f t="shared" si="2"/>
        <v>22</v>
      </c>
      <c r="AR28" s="115">
        <v>2</v>
      </c>
      <c r="AS28" s="115">
        <f t="shared" si="8"/>
        <v>11</v>
      </c>
      <c r="AT28" s="115">
        <f t="shared" si="9"/>
        <v>22</v>
      </c>
      <c r="AU28" s="115">
        <v>2</v>
      </c>
      <c r="AV28" s="115" t="s">
        <v>93</v>
      </c>
      <c r="AW28" s="115">
        <v>38</v>
      </c>
      <c r="AX28" s="115">
        <v>22</v>
      </c>
      <c r="AY28" s="115">
        <v>2</v>
      </c>
      <c r="AZ28" s="115">
        <f t="shared" si="3"/>
        <v>6</v>
      </c>
      <c r="BA28" s="98"/>
      <c r="BB28" s="105"/>
      <c r="BC28" s="105"/>
      <c r="BD28" s="105"/>
      <c r="BE28" s="105">
        <v>4</v>
      </c>
      <c r="BF28" s="105"/>
      <c r="BG28" s="105"/>
      <c r="BH28" s="105" t="str">
        <f t="shared" si="10"/>
        <v>0</v>
      </c>
      <c r="BI28" s="98">
        <f t="shared" si="11"/>
        <v>6</v>
      </c>
      <c r="BJ28" s="105">
        <v>1</v>
      </c>
    </row>
    <row r="29" spans="1:62" x14ac:dyDescent="0.2">
      <c r="A29" s="98"/>
      <c r="B29" s="98"/>
      <c r="C29" s="99"/>
      <c r="D29" s="119"/>
      <c r="E29" s="106"/>
      <c r="F29" s="105"/>
      <c r="G29" s="105"/>
      <c r="H29" s="105"/>
      <c r="I29" s="102"/>
      <c r="J29" s="104"/>
      <c r="K29" s="104"/>
      <c r="L29" s="103"/>
      <c r="M29" s="105"/>
      <c r="N29" s="106"/>
      <c r="O29" s="105"/>
      <c r="P29" s="107"/>
      <c r="Q29" s="105"/>
      <c r="R29" s="108"/>
      <c r="S29" s="105"/>
      <c r="T29" s="105"/>
      <c r="U29" s="109"/>
      <c r="V29" s="104"/>
      <c r="W29" s="104"/>
      <c r="X29" s="104"/>
      <c r="Y29" s="109"/>
      <c r="Z29" s="105"/>
      <c r="AA29" s="105"/>
      <c r="AB29" s="112"/>
      <c r="AC29" s="113">
        <v>2</v>
      </c>
      <c r="AD29" s="113">
        <v>12</v>
      </c>
      <c r="AE29" s="113">
        <v>6</v>
      </c>
      <c r="AF29" s="113">
        <v>3</v>
      </c>
      <c r="AG29" s="114" t="str">
        <f t="shared" si="4"/>
        <v>0</v>
      </c>
      <c r="AH29" s="115">
        <f t="shared" si="5"/>
        <v>15</v>
      </c>
      <c r="AI29" s="115">
        <f t="shared" si="0"/>
        <v>6</v>
      </c>
      <c r="AJ29" s="115">
        <f t="shared" si="6"/>
        <v>3</v>
      </c>
      <c r="AK29" s="115">
        <f t="shared" si="1"/>
        <v>6</v>
      </c>
      <c r="AL29" s="105"/>
      <c r="AM29" s="105"/>
      <c r="AN29" s="105"/>
      <c r="AO29" s="105">
        <v>8</v>
      </c>
      <c r="AP29" s="115">
        <f t="shared" si="7"/>
        <v>11</v>
      </c>
      <c r="AQ29" s="115">
        <f t="shared" si="2"/>
        <v>22</v>
      </c>
      <c r="AR29" s="115">
        <v>2</v>
      </c>
      <c r="AS29" s="115">
        <f t="shared" si="8"/>
        <v>11</v>
      </c>
      <c r="AT29" s="115">
        <f t="shared" si="9"/>
        <v>22</v>
      </c>
      <c r="AU29" s="115">
        <v>2</v>
      </c>
      <c r="AV29" s="115" t="s">
        <v>93</v>
      </c>
      <c r="AW29" s="115">
        <v>38</v>
      </c>
      <c r="AX29" s="115">
        <v>22</v>
      </c>
      <c r="AY29" s="115">
        <v>2</v>
      </c>
      <c r="AZ29" s="115">
        <f t="shared" si="3"/>
        <v>6</v>
      </c>
      <c r="BA29" s="98"/>
      <c r="BB29" s="105"/>
      <c r="BC29" s="105"/>
      <c r="BD29" s="105"/>
      <c r="BE29" s="105">
        <v>4</v>
      </c>
      <c r="BF29" s="105"/>
      <c r="BG29" s="105"/>
      <c r="BH29" s="105" t="str">
        <f t="shared" si="10"/>
        <v>0</v>
      </c>
      <c r="BI29" s="98">
        <f t="shared" si="11"/>
        <v>6</v>
      </c>
      <c r="BJ29" s="105">
        <v>1</v>
      </c>
    </row>
    <row r="30" spans="1:62" x14ac:dyDescent="0.2">
      <c r="A30" s="98"/>
      <c r="B30" s="98"/>
      <c r="C30" s="118"/>
      <c r="D30" s="119"/>
      <c r="E30" s="106"/>
      <c r="F30" s="105"/>
      <c r="G30" s="105"/>
      <c r="H30" s="105"/>
      <c r="I30" s="102"/>
      <c r="J30" s="104"/>
      <c r="K30" s="104"/>
      <c r="L30" s="103"/>
      <c r="M30" s="105"/>
      <c r="N30" s="106"/>
      <c r="O30" s="105"/>
      <c r="P30" s="107"/>
      <c r="Q30" s="105"/>
      <c r="R30" s="108"/>
      <c r="S30" s="105"/>
      <c r="T30" s="105"/>
      <c r="U30" s="109"/>
      <c r="V30" s="104"/>
      <c r="W30" s="104"/>
      <c r="X30" s="104"/>
      <c r="Y30" s="109"/>
      <c r="Z30" s="105"/>
      <c r="AA30" s="105"/>
      <c r="AB30" s="112"/>
      <c r="AC30" s="113">
        <v>2</v>
      </c>
      <c r="AD30" s="113">
        <v>12</v>
      </c>
      <c r="AE30" s="113">
        <v>6</v>
      </c>
      <c r="AF30" s="113">
        <v>3</v>
      </c>
      <c r="AG30" s="114" t="str">
        <f t="shared" si="4"/>
        <v>0</v>
      </c>
      <c r="AH30" s="115">
        <f t="shared" si="5"/>
        <v>15</v>
      </c>
      <c r="AI30" s="115">
        <f t="shared" si="0"/>
        <v>6</v>
      </c>
      <c r="AJ30" s="115">
        <f t="shared" si="6"/>
        <v>3</v>
      </c>
      <c r="AK30" s="115">
        <f t="shared" si="1"/>
        <v>6</v>
      </c>
      <c r="AL30" s="105"/>
      <c r="AM30" s="105"/>
      <c r="AN30" s="105"/>
      <c r="AO30" s="105">
        <v>8</v>
      </c>
      <c r="AP30" s="115">
        <f t="shared" si="7"/>
        <v>11</v>
      </c>
      <c r="AQ30" s="115">
        <f t="shared" si="2"/>
        <v>22</v>
      </c>
      <c r="AR30" s="115">
        <v>2</v>
      </c>
      <c r="AS30" s="115">
        <f t="shared" si="8"/>
        <v>11</v>
      </c>
      <c r="AT30" s="115">
        <f t="shared" si="9"/>
        <v>22</v>
      </c>
      <c r="AU30" s="115">
        <v>2</v>
      </c>
      <c r="AV30" s="115" t="s">
        <v>93</v>
      </c>
      <c r="AW30" s="115">
        <v>38</v>
      </c>
      <c r="AX30" s="115">
        <v>22</v>
      </c>
      <c r="AY30" s="115">
        <v>2</v>
      </c>
      <c r="AZ30" s="115">
        <f t="shared" si="3"/>
        <v>6</v>
      </c>
      <c r="BA30" s="98"/>
      <c r="BB30" s="105"/>
      <c r="BC30" s="105"/>
      <c r="BD30" s="105"/>
      <c r="BE30" s="105">
        <v>4</v>
      </c>
      <c r="BF30" s="105"/>
      <c r="BG30" s="105"/>
      <c r="BH30" s="105" t="str">
        <f t="shared" si="10"/>
        <v>0</v>
      </c>
      <c r="BI30" s="98">
        <f t="shared" si="11"/>
        <v>6</v>
      </c>
      <c r="BJ30" s="105">
        <v>1</v>
      </c>
    </row>
    <row r="31" spans="1:62" x14ac:dyDescent="0.2">
      <c r="A31" s="98"/>
      <c r="B31" s="98"/>
      <c r="C31" s="118"/>
      <c r="D31" s="119"/>
      <c r="E31" s="106"/>
      <c r="F31" s="105"/>
      <c r="G31" s="105"/>
      <c r="H31" s="105"/>
      <c r="I31" s="102"/>
      <c r="J31" s="104"/>
      <c r="K31" s="104"/>
      <c r="L31" s="103"/>
      <c r="M31" s="105"/>
      <c r="N31" s="106"/>
      <c r="O31" s="105"/>
      <c r="P31" s="107"/>
      <c r="Q31" s="105"/>
      <c r="R31" s="108"/>
      <c r="S31" s="105"/>
      <c r="T31" s="105"/>
      <c r="U31" s="109"/>
      <c r="V31" s="104"/>
      <c r="W31" s="104"/>
      <c r="X31" s="104"/>
      <c r="Y31" s="109"/>
      <c r="Z31" s="105"/>
      <c r="AA31" s="105"/>
      <c r="AB31" s="112"/>
      <c r="AC31" s="113">
        <v>2</v>
      </c>
      <c r="AD31" s="113">
        <v>12</v>
      </c>
      <c r="AE31" s="113">
        <v>6</v>
      </c>
      <c r="AF31" s="113">
        <v>3</v>
      </c>
      <c r="AG31" s="114" t="str">
        <f t="shared" si="4"/>
        <v>0</v>
      </c>
      <c r="AH31" s="115">
        <f t="shared" si="5"/>
        <v>15</v>
      </c>
      <c r="AI31" s="115">
        <f t="shared" si="0"/>
        <v>6</v>
      </c>
      <c r="AJ31" s="115">
        <f t="shared" si="6"/>
        <v>3</v>
      </c>
      <c r="AK31" s="115">
        <f t="shared" si="1"/>
        <v>6</v>
      </c>
      <c r="AL31" s="105"/>
      <c r="AM31" s="105"/>
      <c r="AN31" s="105"/>
      <c r="AO31" s="105">
        <v>8</v>
      </c>
      <c r="AP31" s="115">
        <f t="shared" si="7"/>
        <v>11</v>
      </c>
      <c r="AQ31" s="115">
        <f t="shared" si="2"/>
        <v>22</v>
      </c>
      <c r="AR31" s="115">
        <v>2</v>
      </c>
      <c r="AS31" s="115">
        <f t="shared" si="8"/>
        <v>11</v>
      </c>
      <c r="AT31" s="115">
        <f t="shared" si="9"/>
        <v>22</v>
      </c>
      <c r="AU31" s="115">
        <v>2</v>
      </c>
      <c r="AV31" s="115" t="s">
        <v>93</v>
      </c>
      <c r="AW31" s="115">
        <v>38</v>
      </c>
      <c r="AX31" s="115">
        <v>22</v>
      </c>
      <c r="AY31" s="115">
        <v>2</v>
      </c>
      <c r="AZ31" s="115">
        <f t="shared" si="3"/>
        <v>6</v>
      </c>
      <c r="BA31" s="98"/>
      <c r="BB31" s="105"/>
      <c r="BC31" s="105"/>
      <c r="BD31" s="105"/>
      <c r="BE31" s="105">
        <v>4</v>
      </c>
      <c r="BF31" s="105"/>
      <c r="BG31" s="105"/>
      <c r="BH31" s="105" t="str">
        <f t="shared" si="10"/>
        <v>0</v>
      </c>
      <c r="BI31" s="98">
        <f t="shared" si="11"/>
        <v>6</v>
      </c>
      <c r="BJ31" s="105">
        <v>1</v>
      </c>
    </row>
    <row r="32" spans="1:62" x14ac:dyDescent="0.2">
      <c r="A32" s="98"/>
      <c r="B32" s="98"/>
      <c r="C32" s="118"/>
      <c r="D32" s="119"/>
      <c r="E32" s="106"/>
      <c r="F32" s="105"/>
      <c r="G32" s="105"/>
      <c r="H32" s="105"/>
      <c r="I32" s="102"/>
      <c r="J32" s="104"/>
      <c r="K32" s="104"/>
      <c r="L32" s="103"/>
      <c r="M32" s="105"/>
      <c r="N32" s="106"/>
      <c r="O32" s="105"/>
      <c r="P32" s="107"/>
      <c r="Q32" s="105"/>
      <c r="R32" s="108"/>
      <c r="S32" s="105"/>
      <c r="T32" s="105"/>
      <c r="U32" s="109"/>
      <c r="V32" s="104"/>
      <c r="W32" s="104"/>
      <c r="X32" s="104"/>
      <c r="Y32" s="109"/>
      <c r="Z32" s="105"/>
      <c r="AA32" s="105"/>
      <c r="AB32" s="112"/>
      <c r="AC32" s="113">
        <v>2</v>
      </c>
      <c r="AD32" s="113">
        <v>12</v>
      </c>
      <c r="AE32" s="113">
        <v>6</v>
      </c>
      <c r="AF32" s="113">
        <v>3</v>
      </c>
      <c r="AG32" s="114" t="str">
        <f t="shared" si="4"/>
        <v>0</v>
      </c>
      <c r="AH32" s="115">
        <f t="shared" si="5"/>
        <v>15</v>
      </c>
      <c r="AI32" s="115">
        <f t="shared" si="0"/>
        <v>6</v>
      </c>
      <c r="AJ32" s="115">
        <f t="shared" si="6"/>
        <v>3</v>
      </c>
      <c r="AK32" s="115">
        <f t="shared" si="1"/>
        <v>6</v>
      </c>
      <c r="AL32" s="105"/>
      <c r="AM32" s="105"/>
      <c r="AN32" s="105"/>
      <c r="AO32" s="105">
        <v>8</v>
      </c>
      <c r="AP32" s="115">
        <f t="shared" si="7"/>
        <v>11</v>
      </c>
      <c r="AQ32" s="115">
        <f t="shared" si="2"/>
        <v>22</v>
      </c>
      <c r="AR32" s="115">
        <v>2</v>
      </c>
      <c r="AS32" s="115">
        <f t="shared" si="8"/>
        <v>11</v>
      </c>
      <c r="AT32" s="115">
        <f t="shared" si="9"/>
        <v>22</v>
      </c>
      <c r="AU32" s="115">
        <v>2</v>
      </c>
      <c r="AV32" s="115" t="s">
        <v>93</v>
      </c>
      <c r="AW32" s="115">
        <v>38</v>
      </c>
      <c r="AX32" s="115">
        <v>22</v>
      </c>
      <c r="AY32" s="115">
        <v>2</v>
      </c>
      <c r="AZ32" s="115">
        <f t="shared" si="3"/>
        <v>6</v>
      </c>
      <c r="BA32" s="98"/>
      <c r="BB32" s="105"/>
      <c r="BC32" s="105"/>
      <c r="BD32" s="105"/>
      <c r="BE32" s="105">
        <v>4</v>
      </c>
      <c r="BF32" s="105"/>
      <c r="BG32" s="105"/>
      <c r="BH32" s="105" t="str">
        <f t="shared" si="10"/>
        <v>0</v>
      </c>
      <c r="BI32" s="98">
        <f t="shared" si="11"/>
        <v>6</v>
      </c>
      <c r="BJ32" s="105">
        <v>1</v>
      </c>
    </row>
    <row r="33" spans="1:62" x14ac:dyDescent="0.2">
      <c r="A33" s="98"/>
      <c r="B33" s="98"/>
      <c r="C33" s="99"/>
      <c r="D33" s="119"/>
      <c r="E33" s="106"/>
      <c r="F33" s="105"/>
      <c r="G33" s="105"/>
      <c r="H33" s="105"/>
      <c r="I33" s="102"/>
      <c r="J33" s="104"/>
      <c r="K33" s="104"/>
      <c r="L33" s="103"/>
      <c r="M33" s="105"/>
      <c r="N33" s="106"/>
      <c r="O33" s="105"/>
      <c r="P33" s="107"/>
      <c r="Q33" s="105"/>
      <c r="R33" s="108"/>
      <c r="S33" s="105"/>
      <c r="T33" s="105"/>
      <c r="U33" s="109"/>
      <c r="V33" s="104"/>
      <c r="W33" s="104"/>
      <c r="X33" s="104"/>
      <c r="Y33" s="109"/>
      <c r="Z33" s="105"/>
      <c r="AA33" s="105"/>
      <c r="AB33" s="112"/>
      <c r="AC33" s="113">
        <v>2</v>
      </c>
      <c r="AD33" s="113">
        <v>12</v>
      </c>
      <c r="AE33" s="113">
        <v>6</v>
      </c>
      <c r="AF33" s="113">
        <v>3</v>
      </c>
      <c r="AG33" s="114" t="str">
        <f t="shared" si="4"/>
        <v>0</v>
      </c>
      <c r="AH33" s="115">
        <f t="shared" si="5"/>
        <v>15</v>
      </c>
      <c r="AI33" s="115">
        <f t="shared" si="0"/>
        <v>6</v>
      </c>
      <c r="AJ33" s="115">
        <f t="shared" si="6"/>
        <v>3</v>
      </c>
      <c r="AK33" s="115">
        <f t="shared" si="1"/>
        <v>6</v>
      </c>
      <c r="AL33" s="105"/>
      <c r="AM33" s="105"/>
      <c r="AN33" s="105"/>
      <c r="AO33" s="105">
        <v>8</v>
      </c>
      <c r="AP33" s="115">
        <f t="shared" si="7"/>
        <v>11</v>
      </c>
      <c r="AQ33" s="115">
        <f t="shared" si="2"/>
        <v>22</v>
      </c>
      <c r="AR33" s="115">
        <v>2</v>
      </c>
      <c r="AS33" s="115">
        <f t="shared" si="8"/>
        <v>11</v>
      </c>
      <c r="AT33" s="115">
        <f t="shared" si="9"/>
        <v>22</v>
      </c>
      <c r="AU33" s="115">
        <v>2</v>
      </c>
      <c r="AV33" s="115" t="s">
        <v>93</v>
      </c>
      <c r="AW33" s="115">
        <v>38</v>
      </c>
      <c r="AX33" s="115">
        <v>22</v>
      </c>
      <c r="AY33" s="115">
        <v>2</v>
      </c>
      <c r="AZ33" s="115">
        <f t="shared" si="3"/>
        <v>6</v>
      </c>
      <c r="BA33" s="98"/>
      <c r="BB33" s="105"/>
      <c r="BC33" s="105"/>
      <c r="BD33" s="105"/>
      <c r="BE33" s="105">
        <v>4</v>
      </c>
      <c r="BF33" s="105"/>
      <c r="BG33" s="105"/>
      <c r="BH33" s="105" t="str">
        <f t="shared" si="10"/>
        <v>0</v>
      </c>
      <c r="BI33" s="98">
        <f t="shared" si="11"/>
        <v>6</v>
      </c>
      <c r="BJ33" s="105">
        <v>1</v>
      </c>
    </row>
    <row r="34" spans="1:62" x14ac:dyDescent="0.2">
      <c r="A34" s="98"/>
      <c r="B34" s="98"/>
      <c r="C34" s="99"/>
      <c r="D34" s="119"/>
      <c r="E34" s="106"/>
      <c r="F34" s="105"/>
      <c r="G34" s="105"/>
      <c r="H34" s="105"/>
      <c r="I34" s="102"/>
      <c r="J34" s="104"/>
      <c r="K34" s="104"/>
      <c r="L34" s="103"/>
      <c r="M34" s="105"/>
      <c r="N34" s="106"/>
      <c r="O34" s="105"/>
      <c r="P34" s="107"/>
      <c r="Q34" s="105"/>
      <c r="R34" s="120"/>
      <c r="S34" s="105"/>
      <c r="T34" s="105"/>
      <c r="U34" s="109"/>
      <c r="V34" s="104"/>
      <c r="W34" s="104"/>
      <c r="X34" s="104"/>
      <c r="Y34" s="109"/>
      <c r="Z34" s="105"/>
      <c r="AA34" s="105"/>
      <c r="AB34" s="112"/>
      <c r="AC34" s="113">
        <v>2</v>
      </c>
      <c r="AD34" s="113">
        <v>12</v>
      </c>
      <c r="AE34" s="113">
        <v>6</v>
      </c>
      <c r="AF34" s="113">
        <v>3</v>
      </c>
      <c r="AG34" s="114" t="str">
        <f t="shared" si="4"/>
        <v>0</v>
      </c>
      <c r="AH34" s="115">
        <f t="shared" si="5"/>
        <v>15</v>
      </c>
      <c r="AI34" s="115">
        <f t="shared" si="0"/>
        <v>6</v>
      </c>
      <c r="AJ34" s="115">
        <f t="shared" si="6"/>
        <v>3</v>
      </c>
      <c r="AK34" s="115">
        <f t="shared" si="1"/>
        <v>6</v>
      </c>
      <c r="AL34" s="105"/>
      <c r="AM34" s="105"/>
      <c r="AN34" s="105"/>
      <c r="AO34" s="105">
        <v>8</v>
      </c>
      <c r="AP34" s="115">
        <f t="shared" si="7"/>
        <v>11</v>
      </c>
      <c r="AQ34" s="115">
        <f t="shared" si="2"/>
        <v>22</v>
      </c>
      <c r="AR34" s="115">
        <v>2</v>
      </c>
      <c r="AS34" s="115">
        <f t="shared" si="8"/>
        <v>11</v>
      </c>
      <c r="AT34" s="115">
        <f t="shared" si="9"/>
        <v>22</v>
      </c>
      <c r="AU34" s="115">
        <v>2</v>
      </c>
      <c r="AV34" s="115" t="s">
        <v>93</v>
      </c>
      <c r="AW34" s="115">
        <v>38</v>
      </c>
      <c r="AX34" s="115">
        <v>22</v>
      </c>
      <c r="AY34" s="115">
        <v>2</v>
      </c>
      <c r="AZ34" s="115">
        <f t="shared" si="3"/>
        <v>6</v>
      </c>
      <c r="BA34" s="98"/>
      <c r="BB34" s="105"/>
      <c r="BC34" s="105"/>
      <c r="BD34" s="105"/>
      <c r="BE34" s="105">
        <v>4</v>
      </c>
      <c r="BF34" s="105"/>
      <c r="BG34" s="105"/>
      <c r="BH34" s="105" t="str">
        <f t="shared" si="10"/>
        <v>0</v>
      </c>
      <c r="BI34" s="98">
        <f t="shared" si="11"/>
        <v>6</v>
      </c>
      <c r="BJ34" s="105">
        <v>1</v>
      </c>
    </row>
    <row r="35" spans="1:62" x14ac:dyDescent="0.2">
      <c r="A35" s="98"/>
      <c r="B35" s="98"/>
      <c r="C35" s="118"/>
      <c r="D35" s="119"/>
      <c r="E35" s="106"/>
      <c r="F35" s="105"/>
      <c r="G35" s="105"/>
      <c r="H35" s="105"/>
      <c r="I35" s="102"/>
      <c r="J35" s="117"/>
      <c r="K35" s="104"/>
      <c r="L35" s="103"/>
      <c r="M35" s="105"/>
      <c r="N35" s="106"/>
      <c r="O35" s="105"/>
      <c r="P35" s="107"/>
      <c r="Q35" s="105"/>
      <c r="R35" s="120"/>
      <c r="S35" s="105"/>
      <c r="T35" s="105"/>
      <c r="U35" s="109"/>
      <c r="V35" s="104"/>
      <c r="W35" s="104"/>
      <c r="X35" s="104"/>
      <c r="Y35" s="109"/>
      <c r="Z35" s="105"/>
      <c r="AA35" s="105"/>
      <c r="AB35" s="112"/>
      <c r="AC35" s="113">
        <v>2</v>
      </c>
      <c r="AD35" s="113">
        <v>12</v>
      </c>
      <c r="AE35" s="113">
        <v>6</v>
      </c>
      <c r="AF35" s="113">
        <v>3</v>
      </c>
      <c r="AG35" s="114" t="str">
        <f t="shared" si="4"/>
        <v>0</v>
      </c>
      <c r="AH35" s="115">
        <f t="shared" si="5"/>
        <v>15</v>
      </c>
      <c r="AI35" s="115">
        <f t="shared" si="0"/>
        <v>6</v>
      </c>
      <c r="AJ35" s="115">
        <f t="shared" si="6"/>
        <v>3</v>
      </c>
      <c r="AK35" s="115">
        <f t="shared" si="1"/>
        <v>6</v>
      </c>
      <c r="AL35" s="105"/>
      <c r="AM35" s="105"/>
      <c r="AN35" s="105"/>
      <c r="AO35" s="105">
        <v>8</v>
      </c>
      <c r="AP35" s="115">
        <f t="shared" si="7"/>
        <v>11</v>
      </c>
      <c r="AQ35" s="115">
        <f t="shared" si="2"/>
        <v>22</v>
      </c>
      <c r="AR35" s="115">
        <v>2</v>
      </c>
      <c r="AS35" s="115">
        <f t="shared" si="8"/>
        <v>11</v>
      </c>
      <c r="AT35" s="115">
        <f t="shared" si="9"/>
        <v>22</v>
      </c>
      <c r="AU35" s="115">
        <v>2</v>
      </c>
      <c r="AV35" s="115" t="s">
        <v>93</v>
      </c>
      <c r="AW35" s="115">
        <v>38</v>
      </c>
      <c r="AX35" s="115">
        <v>22</v>
      </c>
      <c r="AY35" s="115">
        <v>2</v>
      </c>
      <c r="AZ35" s="115">
        <f t="shared" si="3"/>
        <v>6</v>
      </c>
      <c r="BA35" s="98"/>
      <c r="BB35" s="105"/>
      <c r="BC35" s="105"/>
      <c r="BD35" s="105"/>
      <c r="BE35" s="105">
        <v>4</v>
      </c>
      <c r="BF35" s="105"/>
      <c r="BG35" s="105"/>
      <c r="BH35" s="105" t="str">
        <f t="shared" si="10"/>
        <v>0</v>
      </c>
      <c r="BI35" s="98">
        <f t="shared" si="11"/>
        <v>6</v>
      </c>
      <c r="BJ35" s="105">
        <v>1</v>
      </c>
    </row>
    <row r="36" spans="1:62" x14ac:dyDescent="0.2">
      <c r="A36" s="98"/>
      <c r="B36" s="98"/>
      <c r="C36" s="118"/>
      <c r="D36" s="119"/>
      <c r="E36" s="106"/>
      <c r="F36" s="105"/>
      <c r="G36" s="105"/>
      <c r="H36" s="105"/>
      <c r="I36" s="102"/>
      <c r="J36" s="104"/>
      <c r="K36" s="104"/>
      <c r="L36" s="103"/>
      <c r="M36" s="105"/>
      <c r="N36" s="106"/>
      <c r="O36" s="105"/>
      <c r="P36" s="107"/>
      <c r="Q36" s="105"/>
      <c r="R36" s="120"/>
      <c r="S36" s="105"/>
      <c r="T36" s="105"/>
      <c r="U36" s="109"/>
      <c r="V36" s="104"/>
      <c r="W36" s="104"/>
      <c r="X36" s="104"/>
      <c r="Y36" s="109"/>
      <c r="Z36" s="105"/>
      <c r="AA36" s="105"/>
      <c r="AB36" s="112"/>
      <c r="AC36" s="113">
        <v>2</v>
      </c>
      <c r="AD36" s="113">
        <v>12</v>
      </c>
      <c r="AE36" s="113">
        <v>6</v>
      </c>
      <c r="AF36" s="113">
        <v>3</v>
      </c>
      <c r="AG36" s="114" t="str">
        <f t="shared" si="4"/>
        <v>0</v>
      </c>
      <c r="AH36" s="115">
        <f t="shared" si="5"/>
        <v>15</v>
      </c>
      <c r="AI36" s="115">
        <f t="shared" si="0"/>
        <v>6</v>
      </c>
      <c r="AJ36" s="115">
        <f t="shared" si="6"/>
        <v>3</v>
      </c>
      <c r="AK36" s="115">
        <f t="shared" si="1"/>
        <v>6</v>
      </c>
      <c r="AL36" s="105"/>
      <c r="AM36" s="105"/>
      <c r="AN36" s="105"/>
      <c r="AO36" s="105">
        <v>8</v>
      </c>
      <c r="AP36" s="115">
        <f t="shared" si="7"/>
        <v>11</v>
      </c>
      <c r="AQ36" s="115">
        <f t="shared" si="2"/>
        <v>22</v>
      </c>
      <c r="AR36" s="115">
        <v>2</v>
      </c>
      <c r="AS36" s="115">
        <f t="shared" si="8"/>
        <v>11</v>
      </c>
      <c r="AT36" s="115">
        <f t="shared" si="9"/>
        <v>22</v>
      </c>
      <c r="AU36" s="115">
        <v>2</v>
      </c>
      <c r="AV36" s="115" t="s">
        <v>93</v>
      </c>
      <c r="AW36" s="115">
        <v>38</v>
      </c>
      <c r="AX36" s="115">
        <v>22</v>
      </c>
      <c r="AY36" s="115">
        <v>2</v>
      </c>
      <c r="AZ36" s="115">
        <f t="shared" si="3"/>
        <v>6</v>
      </c>
      <c r="BA36" s="98"/>
      <c r="BB36" s="105"/>
      <c r="BC36" s="105"/>
      <c r="BD36" s="105"/>
      <c r="BE36" s="105">
        <v>4</v>
      </c>
      <c r="BF36" s="105"/>
      <c r="BG36" s="105"/>
      <c r="BH36" s="105" t="str">
        <f t="shared" si="10"/>
        <v>0</v>
      </c>
      <c r="BI36" s="98">
        <f t="shared" si="11"/>
        <v>6</v>
      </c>
      <c r="BJ36" s="105">
        <v>1</v>
      </c>
    </row>
    <row r="37" spans="1:62" x14ac:dyDescent="0.2">
      <c r="A37" s="98"/>
      <c r="B37" s="98"/>
      <c r="C37" s="99"/>
      <c r="D37" s="119"/>
      <c r="E37" s="106"/>
      <c r="F37" s="105"/>
      <c r="G37" s="105"/>
      <c r="H37" s="105"/>
      <c r="I37" s="102"/>
      <c r="J37" s="104"/>
      <c r="K37" s="104"/>
      <c r="L37" s="103"/>
      <c r="M37" s="105"/>
      <c r="N37" s="106"/>
      <c r="O37" s="105"/>
      <c r="P37" s="107"/>
      <c r="Q37" s="105"/>
      <c r="R37" s="120"/>
      <c r="S37" s="105"/>
      <c r="T37" s="105"/>
      <c r="U37" s="109"/>
      <c r="V37" s="104"/>
      <c r="W37" s="104"/>
      <c r="X37" s="104"/>
      <c r="Y37" s="109"/>
      <c r="Z37" s="105"/>
      <c r="AA37" s="105"/>
      <c r="AB37" s="112"/>
      <c r="AC37" s="113">
        <v>2</v>
      </c>
      <c r="AD37" s="113">
        <v>12</v>
      </c>
      <c r="AE37" s="113">
        <v>6</v>
      </c>
      <c r="AF37" s="113">
        <v>3</v>
      </c>
      <c r="AG37" s="114" t="str">
        <f t="shared" si="4"/>
        <v>0</v>
      </c>
      <c r="AH37" s="115">
        <f t="shared" si="5"/>
        <v>15</v>
      </c>
      <c r="AI37" s="115">
        <f t="shared" si="0"/>
        <v>6</v>
      </c>
      <c r="AJ37" s="115">
        <f t="shared" si="6"/>
        <v>3</v>
      </c>
      <c r="AK37" s="115">
        <f t="shared" si="1"/>
        <v>6</v>
      </c>
      <c r="AL37" s="105"/>
      <c r="AM37" s="105"/>
      <c r="AN37" s="105"/>
      <c r="AO37" s="105">
        <v>8</v>
      </c>
      <c r="AP37" s="115">
        <f t="shared" si="7"/>
        <v>11</v>
      </c>
      <c r="AQ37" s="115">
        <f t="shared" si="2"/>
        <v>22</v>
      </c>
      <c r="AR37" s="115">
        <v>2</v>
      </c>
      <c r="AS37" s="115">
        <f t="shared" si="8"/>
        <v>11</v>
      </c>
      <c r="AT37" s="115">
        <f t="shared" si="9"/>
        <v>22</v>
      </c>
      <c r="AU37" s="115">
        <v>2</v>
      </c>
      <c r="AV37" s="115" t="s">
        <v>93</v>
      </c>
      <c r="AW37" s="115">
        <v>38</v>
      </c>
      <c r="AX37" s="115">
        <v>22</v>
      </c>
      <c r="AY37" s="115">
        <v>2</v>
      </c>
      <c r="AZ37" s="115">
        <f t="shared" si="3"/>
        <v>6</v>
      </c>
      <c r="BA37" s="98"/>
      <c r="BB37" s="105"/>
      <c r="BC37" s="105"/>
      <c r="BD37" s="105"/>
      <c r="BE37" s="105">
        <v>4</v>
      </c>
      <c r="BF37" s="105"/>
      <c r="BG37" s="105"/>
      <c r="BH37" s="105" t="str">
        <f t="shared" si="10"/>
        <v>0</v>
      </c>
      <c r="BI37" s="98">
        <f t="shared" si="11"/>
        <v>6</v>
      </c>
      <c r="BJ37" s="105">
        <v>1</v>
      </c>
    </row>
    <row r="38" spans="1:62" x14ac:dyDescent="0.2">
      <c r="A38" s="98"/>
      <c r="B38" s="98"/>
      <c r="C38" s="99"/>
      <c r="D38" s="119"/>
      <c r="E38" s="106"/>
      <c r="F38" s="105"/>
      <c r="G38" s="105"/>
      <c r="H38" s="105"/>
      <c r="I38" s="102"/>
      <c r="J38" s="104"/>
      <c r="K38" s="104"/>
      <c r="L38" s="103"/>
      <c r="M38" s="105"/>
      <c r="N38" s="106"/>
      <c r="O38" s="105"/>
      <c r="P38" s="107"/>
      <c r="Q38" s="105"/>
      <c r="R38" s="120"/>
      <c r="S38" s="105"/>
      <c r="T38" s="105"/>
      <c r="U38" s="109"/>
      <c r="V38" s="104"/>
      <c r="W38" s="104"/>
      <c r="X38" s="104"/>
      <c r="Y38" s="109"/>
      <c r="Z38" s="105"/>
      <c r="AA38" s="105"/>
      <c r="AB38" s="112"/>
      <c r="AC38" s="113">
        <v>2</v>
      </c>
      <c r="AD38" s="113">
        <v>12</v>
      </c>
      <c r="AE38" s="113">
        <v>6</v>
      </c>
      <c r="AF38" s="113">
        <v>3</v>
      </c>
      <c r="AG38" s="114" t="str">
        <f t="shared" si="4"/>
        <v>0</v>
      </c>
      <c r="AH38" s="115">
        <f t="shared" si="5"/>
        <v>15</v>
      </c>
      <c r="AI38" s="115">
        <f t="shared" si="0"/>
        <v>6</v>
      </c>
      <c r="AJ38" s="115">
        <f t="shared" si="6"/>
        <v>3</v>
      </c>
      <c r="AK38" s="115">
        <f t="shared" si="1"/>
        <v>6</v>
      </c>
      <c r="AL38" s="105"/>
      <c r="AM38" s="105"/>
      <c r="AN38" s="105"/>
      <c r="AO38" s="105">
        <v>8</v>
      </c>
      <c r="AP38" s="115">
        <f t="shared" si="7"/>
        <v>11</v>
      </c>
      <c r="AQ38" s="115">
        <f t="shared" si="2"/>
        <v>22</v>
      </c>
      <c r="AR38" s="115">
        <v>2</v>
      </c>
      <c r="AS38" s="115">
        <f t="shared" si="8"/>
        <v>11</v>
      </c>
      <c r="AT38" s="115">
        <f t="shared" si="9"/>
        <v>22</v>
      </c>
      <c r="AU38" s="115">
        <v>2</v>
      </c>
      <c r="AV38" s="115" t="s">
        <v>93</v>
      </c>
      <c r="AW38" s="115">
        <v>38</v>
      </c>
      <c r="AX38" s="115">
        <v>22</v>
      </c>
      <c r="AY38" s="115">
        <v>2</v>
      </c>
      <c r="AZ38" s="115">
        <f t="shared" si="3"/>
        <v>6</v>
      </c>
      <c r="BA38" s="98"/>
      <c r="BB38" s="105"/>
      <c r="BC38" s="105"/>
      <c r="BD38" s="105"/>
      <c r="BE38" s="105">
        <v>4</v>
      </c>
      <c r="BF38" s="105"/>
      <c r="BG38" s="105"/>
      <c r="BH38" s="105" t="str">
        <f t="shared" si="10"/>
        <v>0</v>
      </c>
      <c r="BI38" s="98">
        <f t="shared" si="11"/>
        <v>6</v>
      </c>
      <c r="BJ38" s="105">
        <v>1</v>
      </c>
    </row>
    <row r="39" spans="1:62" x14ac:dyDescent="0.2">
      <c r="A39" s="98"/>
      <c r="B39" s="98"/>
      <c r="C39" s="118"/>
      <c r="D39" s="119"/>
      <c r="E39" s="106"/>
      <c r="F39" s="105"/>
      <c r="G39" s="105"/>
      <c r="H39" s="105"/>
      <c r="I39" s="102"/>
      <c r="J39" s="104"/>
      <c r="K39" s="104"/>
      <c r="L39" s="103"/>
      <c r="M39" s="105"/>
      <c r="N39" s="106"/>
      <c r="O39" s="105"/>
      <c r="P39" s="107"/>
      <c r="Q39" s="105"/>
      <c r="R39" s="120"/>
      <c r="S39" s="105"/>
      <c r="T39" s="105"/>
      <c r="U39" s="109"/>
      <c r="V39" s="104"/>
      <c r="W39" s="104"/>
      <c r="X39" s="104"/>
      <c r="Y39" s="109"/>
      <c r="Z39" s="105"/>
      <c r="AA39" s="105"/>
      <c r="AB39" s="112"/>
      <c r="AC39" s="113">
        <v>2</v>
      </c>
      <c r="AD39" s="113">
        <v>12</v>
      </c>
      <c r="AE39" s="113">
        <v>6</v>
      </c>
      <c r="AF39" s="113">
        <v>3</v>
      </c>
      <c r="AG39" s="114" t="str">
        <f t="shared" si="4"/>
        <v>0</v>
      </c>
      <c r="AH39" s="115">
        <f t="shared" si="5"/>
        <v>15</v>
      </c>
      <c r="AI39" s="115">
        <f t="shared" si="0"/>
        <v>6</v>
      </c>
      <c r="AJ39" s="115">
        <f t="shared" si="6"/>
        <v>3</v>
      </c>
      <c r="AK39" s="115">
        <f t="shared" si="1"/>
        <v>6</v>
      </c>
      <c r="AL39" s="105"/>
      <c r="AM39" s="105"/>
      <c r="AN39" s="105"/>
      <c r="AO39" s="105">
        <v>8</v>
      </c>
      <c r="AP39" s="115">
        <f t="shared" si="7"/>
        <v>11</v>
      </c>
      <c r="AQ39" s="115">
        <f t="shared" si="2"/>
        <v>22</v>
      </c>
      <c r="AR39" s="115">
        <v>2</v>
      </c>
      <c r="AS39" s="115">
        <f t="shared" si="8"/>
        <v>11</v>
      </c>
      <c r="AT39" s="115">
        <f t="shared" si="9"/>
        <v>22</v>
      </c>
      <c r="AU39" s="115">
        <v>2</v>
      </c>
      <c r="AV39" s="115" t="s">
        <v>93</v>
      </c>
      <c r="AW39" s="115">
        <v>38</v>
      </c>
      <c r="AX39" s="115">
        <v>22</v>
      </c>
      <c r="AY39" s="115">
        <v>2</v>
      </c>
      <c r="AZ39" s="115">
        <f t="shared" si="3"/>
        <v>6</v>
      </c>
      <c r="BA39" s="98"/>
      <c r="BB39" s="105"/>
      <c r="BC39" s="105"/>
      <c r="BD39" s="105"/>
      <c r="BE39" s="105">
        <v>4</v>
      </c>
      <c r="BF39" s="105"/>
      <c r="BG39" s="105"/>
      <c r="BH39" s="105" t="str">
        <f t="shared" si="10"/>
        <v>0</v>
      </c>
      <c r="BI39" s="98">
        <f t="shared" si="11"/>
        <v>6</v>
      </c>
      <c r="BJ39" s="105">
        <v>1</v>
      </c>
    </row>
    <row r="40" spans="1:62" x14ac:dyDescent="0.2">
      <c r="A40" s="98"/>
      <c r="B40" s="98"/>
      <c r="C40" s="118"/>
      <c r="D40" s="119"/>
      <c r="E40" s="106"/>
      <c r="F40" s="105"/>
      <c r="G40" s="105"/>
      <c r="H40" s="105"/>
      <c r="I40" s="102"/>
      <c r="J40" s="104"/>
      <c r="K40" s="104"/>
      <c r="L40" s="103"/>
      <c r="M40" s="105"/>
      <c r="N40" s="106"/>
      <c r="O40" s="105"/>
      <c r="P40" s="107"/>
      <c r="Q40" s="105"/>
      <c r="R40" s="120"/>
      <c r="S40" s="105"/>
      <c r="T40" s="105"/>
      <c r="U40" s="109"/>
      <c r="V40" s="104"/>
      <c r="W40" s="104"/>
      <c r="X40" s="104"/>
      <c r="Y40" s="109"/>
      <c r="Z40" s="105"/>
      <c r="AA40" s="105"/>
      <c r="AB40" s="112"/>
      <c r="AC40" s="113">
        <v>2</v>
      </c>
      <c r="AD40" s="113">
        <v>12</v>
      </c>
      <c r="AE40" s="113">
        <v>6</v>
      </c>
      <c r="AF40" s="113">
        <v>3</v>
      </c>
      <c r="AG40" s="114" t="str">
        <f t="shared" si="4"/>
        <v>0</v>
      </c>
      <c r="AH40" s="115">
        <f t="shared" si="5"/>
        <v>15</v>
      </c>
      <c r="AI40" s="115">
        <f t="shared" si="0"/>
        <v>6</v>
      </c>
      <c r="AJ40" s="115">
        <f t="shared" si="6"/>
        <v>3</v>
      </c>
      <c r="AK40" s="115">
        <f t="shared" si="1"/>
        <v>6</v>
      </c>
      <c r="AL40" s="105"/>
      <c r="AM40" s="105"/>
      <c r="AN40" s="105"/>
      <c r="AO40" s="105">
        <v>8</v>
      </c>
      <c r="AP40" s="115">
        <f t="shared" si="7"/>
        <v>11</v>
      </c>
      <c r="AQ40" s="115">
        <f t="shared" si="2"/>
        <v>22</v>
      </c>
      <c r="AR40" s="115">
        <v>2</v>
      </c>
      <c r="AS40" s="115">
        <f t="shared" si="8"/>
        <v>11</v>
      </c>
      <c r="AT40" s="115">
        <f t="shared" si="9"/>
        <v>22</v>
      </c>
      <c r="AU40" s="115">
        <v>2</v>
      </c>
      <c r="AV40" s="115" t="s">
        <v>93</v>
      </c>
      <c r="AW40" s="115">
        <v>38</v>
      </c>
      <c r="AX40" s="115">
        <v>22</v>
      </c>
      <c r="AY40" s="115">
        <v>2</v>
      </c>
      <c r="AZ40" s="115">
        <f t="shared" si="3"/>
        <v>6</v>
      </c>
      <c r="BA40" s="98"/>
      <c r="BB40" s="105"/>
      <c r="BC40" s="105"/>
      <c r="BD40" s="105"/>
      <c r="BE40" s="105">
        <v>4</v>
      </c>
      <c r="BF40" s="105"/>
      <c r="BG40" s="105"/>
      <c r="BH40" s="105" t="str">
        <f t="shared" si="10"/>
        <v>0</v>
      </c>
      <c r="BI40" s="98">
        <f t="shared" si="11"/>
        <v>6</v>
      </c>
      <c r="BJ40" s="105">
        <v>1</v>
      </c>
    </row>
    <row r="41" spans="1:62" x14ac:dyDescent="0.2">
      <c r="A41" s="98"/>
      <c r="B41" s="98"/>
      <c r="C41" s="118"/>
      <c r="D41" s="119"/>
      <c r="E41" s="106"/>
      <c r="F41" s="105"/>
      <c r="G41" s="105"/>
      <c r="H41" s="105"/>
      <c r="I41" s="102"/>
      <c r="J41" s="104"/>
      <c r="K41" s="104"/>
      <c r="L41" s="103"/>
      <c r="M41" s="121"/>
      <c r="N41" s="122"/>
      <c r="O41" s="105"/>
      <c r="P41" s="107"/>
      <c r="Q41" s="105"/>
      <c r="R41" s="120"/>
      <c r="S41" s="105"/>
      <c r="T41" s="105"/>
      <c r="U41" s="109"/>
      <c r="V41" s="104"/>
      <c r="W41" s="104"/>
      <c r="X41" s="104"/>
      <c r="Y41" s="109"/>
      <c r="Z41" s="105"/>
      <c r="AA41" s="105"/>
      <c r="AB41" s="112"/>
      <c r="AC41" s="113">
        <v>2</v>
      </c>
      <c r="AD41" s="113">
        <v>12</v>
      </c>
      <c r="AE41" s="113">
        <v>6</v>
      </c>
      <c r="AF41" s="113">
        <v>3</v>
      </c>
      <c r="AG41" s="114" t="str">
        <f t="shared" si="4"/>
        <v>0</v>
      </c>
      <c r="AH41" s="115">
        <f t="shared" si="5"/>
        <v>15</v>
      </c>
      <c r="AI41" s="115">
        <f t="shared" si="0"/>
        <v>6</v>
      </c>
      <c r="AJ41" s="115">
        <f t="shared" si="6"/>
        <v>3</v>
      </c>
      <c r="AK41" s="115">
        <f t="shared" si="1"/>
        <v>6</v>
      </c>
      <c r="AL41" s="105"/>
      <c r="AM41" s="105"/>
      <c r="AN41" s="105"/>
      <c r="AO41" s="105">
        <v>8</v>
      </c>
      <c r="AP41" s="115">
        <f t="shared" si="7"/>
        <v>11</v>
      </c>
      <c r="AQ41" s="115">
        <f t="shared" si="2"/>
        <v>22</v>
      </c>
      <c r="AR41" s="115">
        <v>2</v>
      </c>
      <c r="AS41" s="115">
        <f t="shared" si="8"/>
        <v>11</v>
      </c>
      <c r="AT41" s="115">
        <f t="shared" si="9"/>
        <v>22</v>
      </c>
      <c r="AU41" s="115">
        <v>2</v>
      </c>
      <c r="AV41" s="115" t="s">
        <v>93</v>
      </c>
      <c r="AW41" s="115">
        <v>38</v>
      </c>
      <c r="AX41" s="115">
        <v>22</v>
      </c>
      <c r="AY41" s="115">
        <v>2</v>
      </c>
      <c r="AZ41" s="115">
        <f t="shared" si="3"/>
        <v>6</v>
      </c>
      <c r="BA41" s="98"/>
      <c r="BB41" s="105"/>
      <c r="BC41" s="105"/>
      <c r="BD41" s="105"/>
      <c r="BE41" s="105">
        <v>4</v>
      </c>
      <c r="BF41" s="105"/>
      <c r="BG41" s="105"/>
      <c r="BH41" s="105" t="str">
        <f t="shared" si="10"/>
        <v>0</v>
      </c>
      <c r="BI41" s="98">
        <f t="shared" si="11"/>
        <v>6</v>
      </c>
      <c r="BJ41" s="105">
        <v>1</v>
      </c>
    </row>
    <row r="42" spans="1:62" x14ac:dyDescent="0.2">
      <c r="A42" s="98"/>
      <c r="B42" s="98"/>
      <c r="C42" s="99"/>
      <c r="D42" s="119"/>
      <c r="E42" s="106"/>
      <c r="F42" s="105"/>
      <c r="G42" s="105"/>
      <c r="H42" s="105"/>
      <c r="I42" s="102"/>
      <c r="J42" s="104"/>
      <c r="K42" s="104"/>
      <c r="L42" s="103"/>
      <c r="M42" s="121"/>
      <c r="N42" s="122"/>
      <c r="O42" s="105"/>
      <c r="P42" s="107"/>
      <c r="Q42" s="105"/>
      <c r="R42" s="120"/>
      <c r="S42" s="105"/>
      <c r="T42" s="105"/>
      <c r="U42" s="109"/>
      <c r="V42" s="104"/>
      <c r="W42" s="104"/>
      <c r="X42" s="104"/>
      <c r="Y42" s="109"/>
      <c r="Z42" s="105"/>
      <c r="AA42" s="105"/>
      <c r="AB42" s="112"/>
      <c r="AC42" s="113">
        <v>2</v>
      </c>
      <c r="AD42" s="113">
        <v>12</v>
      </c>
      <c r="AE42" s="113">
        <v>6</v>
      </c>
      <c r="AF42" s="113">
        <v>3</v>
      </c>
      <c r="AG42" s="114" t="str">
        <f t="shared" si="4"/>
        <v>0</v>
      </c>
      <c r="AH42" s="115">
        <f t="shared" si="5"/>
        <v>15</v>
      </c>
      <c r="AI42" s="115">
        <f t="shared" ref="AI42:AI74" si="12">SUM(I42+J42+V42*2+AE42+AG42)</f>
        <v>6</v>
      </c>
      <c r="AJ42" s="115">
        <f t="shared" si="6"/>
        <v>3</v>
      </c>
      <c r="AK42" s="115">
        <f t="shared" ref="AK42:AK73" si="13">SUM(AI42-V42*2)</f>
        <v>6</v>
      </c>
      <c r="AL42" s="105"/>
      <c r="AM42" s="105"/>
      <c r="AN42" s="105"/>
      <c r="AO42" s="105">
        <v>8</v>
      </c>
      <c r="AP42" s="115">
        <f t="shared" si="7"/>
        <v>11</v>
      </c>
      <c r="AQ42" s="115">
        <f t="shared" si="2"/>
        <v>22</v>
      </c>
      <c r="AR42" s="115">
        <v>2</v>
      </c>
      <c r="AS42" s="115">
        <f t="shared" si="8"/>
        <v>11</v>
      </c>
      <c r="AT42" s="115">
        <f t="shared" si="9"/>
        <v>22</v>
      </c>
      <c r="AU42" s="115">
        <v>2</v>
      </c>
      <c r="AV42" s="115" t="s">
        <v>93</v>
      </c>
      <c r="AW42" s="115">
        <v>38</v>
      </c>
      <c r="AX42" s="115">
        <v>22</v>
      </c>
      <c r="AY42" s="115">
        <v>2</v>
      </c>
      <c r="AZ42" s="115">
        <f t="shared" si="3"/>
        <v>6</v>
      </c>
      <c r="BA42" s="98"/>
      <c r="BB42" s="105"/>
      <c r="BC42" s="105"/>
      <c r="BD42" s="105"/>
      <c r="BE42" s="105">
        <v>4</v>
      </c>
      <c r="BF42" s="105"/>
      <c r="BG42" s="105"/>
      <c r="BH42" s="105" t="str">
        <f t="shared" si="10"/>
        <v>0</v>
      </c>
      <c r="BI42" s="98">
        <f t="shared" si="11"/>
        <v>6</v>
      </c>
      <c r="BJ42" s="105">
        <v>1</v>
      </c>
    </row>
    <row r="43" spans="1:62" x14ac:dyDescent="0.2">
      <c r="A43" s="98"/>
      <c r="B43" s="98"/>
      <c r="C43" s="118"/>
      <c r="D43" s="119"/>
      <c r="E43" s="106"/>
      <c r="F43" s="105"/>
      <c r="G43" s="105"/>
      <c r="H43" s="105"/>
      <c r="I43" s="102"/>
      <c r="J43" s="104"/>
      <c r="K43" s="104"/>
      <c r="L43" s="103"/>
      <c r="M43" s="121"/>
      <c r="N43" s="122"/>
      <c r="O43" s="105"/>
      <c r="P43" s="107"/>
      <c r="Q43" s="105"/>
      <c r="R43" s="120"/>
      <c r="S43" s="105"/>
      <c r="T43" s="105"/>
      <c r="U43" s="109"/>
      <c r="V43" s="104"/>
      <c r="W43" s="104"/>
      <c r="X43" s="104"/>
      <c r="Y43" s="109"/>
      <c r="Z43" s="105"/>
      <c r="AA43" s="105"/>
      <c r="AB43" s="112"/>
      <c r="AC43" s="113">
        <v>2</v>
      </c>
      <c r="AD43" s="113">
        <v>12</v>
      </c>
      <c r="AE43" s="113">
        <v>6</v>
      </c>
      <c r="AF43" s="113">
        <v>3</v>
      </c>
      <c r="AG43" s="114" t="str">
        <f t="shared" si="4"/>
        <v>0</v>
      </c>
      <c r="AH43" s="115">
        <f t="shared" si="5"/>
        <v>15</v>
      </c>
      <c r="AI43" s="115">
        <f t="shared" si="12"/>
        <v>6</v>
      </c>
      <c r="AJ43" s="115">
        <f t="shared" si="6"/>
        <v>3</v>
      </c>
      <c r="AK43" s="115">
        <f t="shared" si="13"/>
        <v>6</v>
      </c>
      <c r="AL43" s="105"/>
      <c r="AM43" s="105"/>
      <c r="AN43" s="105"/>
      <c r="AO43" s="105">
        <v>8</v>
      </c>
      <c r="AP43" s="115">
        <f t="shared" si="7"/>
        <v>11</v>
      </c>
      <c r="AQ43" s="115">
        <f t="shared" si="2"/>
        <v>22</v>
      </c>
      <c r="AR43" s="115">
        <v>2</v>
      </c>
      <c r="AS43" s="115">
        <f t="shared" si="8"/>
        <v>11</v>
      </c>
      <c r="AT43" s="115">
        <f t="shared" si="9"/>
        <v>22</v>
      </c>
      <c r="AU43" s="115">
        <v>2</v>
      </c>
      <c r="AV43" s="115" t="s">
        <v>93</v>
      </c>
      <c r="AW43" s="115">
        <v>38</v>
      </c>
      <c r="AX43" s="115">
        <v>22</v>
      </c>
      <c r="AY43" s="115">
        <v>2</v>
      </c>
      <c r="AZ43" s="115">
        <f t="shared" si="3"/>
        <v>6</v>
      </c>
      <c r="BA43" s="98"/>
      <c r="BB43" s="105"/>
      <c r="BC43" s="105"/>
      <c r="BD43" s="105"/>
      <c r="BE43" s="105">
        <v>4</v>
      </c>
      <c r="BF43" s="105"/>
      <c r="BG43" s="105"/>
      <c r="BH43" s="105" t="str">
        <f t="shared" si="10"/>
        <v>0</v>
      </c>
      <c r="BI43" s="98">
        <f t="shared" si="11"/>
        <v>6</v>
      </c>
      <c r="BJ43" s="105">
        <v>1</v>
      </c>
    </row>
    <row r="44" spans="1:62" x14ac:dyDescent="0.2">
      <c r="A44" s="98"/>
      <c r="B44" s="98"/>
      <c r="C44" s="99"/>
      <c r="D44" s="119"/>
      <c r="E44" s="106"/>
      <c r="F44" s="105"/>
      <c r="G44" s="105"/>
      <c r="H44" s="105"/>
      <c r="I44" s="102"/>
      <c r="J44" s="104"/>
      <c r="K44" s="104"/>
      <c r="L44" s="103"/>
      <c r="M44" s="121"/>
      <c r="N44" s="122"/>
      <c r="O44" s="105"/>
      <c r="P44" s="107"/>
      <c r="Q44" s="105"/>
      <c r="R44" s="120"/>
      <c r="S44" s="105"/>
      <c r="T44" s="105"/>
      <c r="U44" s="109"/>
      <c r="V44" s="104"/>
      <c r="W44" s="104"/>
      <c r="X44" s="104"/>
      <c r="Y44" s="109"/>
      <c r="Z44" s="105"/>
      <c r="AA44" s="105"/>
      <c r="AB44" s="112"/>
      <c r="AC44" s="113">
        <v>2</v>
      </c>
      <c r="AD44" s="113">
        <v>12</v>
      </c>
      <c r="AE44" s="113">
        <v>6</v>
      </c>
      <c r="AF44" s="113">
        <v>3</v>
      </c>
      <c r="AG44" s="114" t="str">
        <f t="shared" si="4"/>
        <v>0</v>
      </c>
      <c r="AH44" s="115">
        <f t="shared" si="5"/>
        <v>15</v>
      </c>
      <c r="AI44" s="115">
        <f t="shared" si="12"/>
        <v>6</v>
      </c>
      <c r="AJ44" s="115">
        <f t="shared" si="6"/>
        <v>3</v>
      </c>
      <c r="AK44" s="115">
        <f t="shared" si="13"/>
        <v>6</v>
      </c>
      <c r="AL44" s="105"/>
      <c r="AM44" s="105"/>
      <c r="AN44" s="105"/>
      <c r="AO44" s="105">
        <v>8</v>
      </c>
      <c r="AP44" s="115">
        <f t="shared" si="7"/>
        <v>11</v>
      </c>
      <c r="AQ44" s="115">
        <f t="shared" si="2"/>
        <v>22</v>
      </c>
      <c r="AR44" s="115">
        <v>2</v>
      </c>
      <c r="AS44" s="115">
        <f t="shared" si="8"/>
        <v>11</v>
      </c>
      <c r="AT44" s="115">
        <f t="shared" si="9"/>
        <v>22</v>
      </c>
      <c r="AU44" s="115">
        <v>2</v>
      </c>
      <c r="AV44" s="115" t="s">
        <v>93</v>
      </c>
      <c r="AW44" s="115">
        <v>38</v>
      </c>
      <c r="AX44" s="115">
        <v>22</v>
      </c>
      <c r="AY44" s="115">
        <v>2</v>
      </c>
      <c r="AZ44" s="115">
        <f t="shared" si="3"/>
        <v>6</v>
      </c>
      <c r="BA44" s="98"/>
      <c r="BB44" s="105"/>
      <c r="BC44" s="105"/>
      <c r="BD44" s="105"/>
      <c r="BE44" s="105">
        <v>4</v>
      </c>
      <c r="BF44" s="105"/>
      <c r="BG44" s="105"/>
      <c r="BH44" s="105" t="str">
        <f t="shared" si="10"/>
        <v>0</v>
      </c>
      <c r="BI44" s="98">
        <f t="shared" si="11"/>
        <v>6</v>
      </c>
      <c r="BJ44" s="105">
        <v>1</v>
      </c>
    </row>
    <row r="45" spans="1:62" x14ac:dyDescent="0.2">
      <c r="A45" s="98"/>
      <c r="B45" s="98"/>
      <c r="C45" s="99"/>
      <c r="D45" s="119"/>
      <c r="E45" s="106"/>
      <c r="F45" s="105"/>
      <c r="G45" s="105"/>
      <c r="H45" s="105"/>
      <c r="I45" s="102"/>
      <c r="J45" s="104"/>
      <c r="K45" s="104"/>
      <c r="L45" s="103"/>
      <c r="M45" s="121"/>
      <c r="N45" s="122"/>
      <c r="O45" s="105"/>
      <c r="P45" s="107"/>
      <c r="Q45" s="105"/>
      <c r="R45" s="120"/>
      <c r="S45" s="105"/>
      <c r="T45" s="105"/>
      <c r="U45" s="109"/>
      <c r="V45" s="104"/>
      <c r="W45" s="104"/>
      <c r="X45" s="104"/>
      <c r="Y45" s="109"/>
      <c r="Z45" s="105"/>
      <c r="AA45" s="105"/>
      <c r="AB45" s="112"/>
      <c r="AC45" s="113">
        <v>2</v>
      </c>
      <c r="AD45" s="113">
        <v>12</v>
      </c>
      <c r="AE45" s="113">
        <v>6</v>
      </c>
      <c r="AF45" s="113">
        <v>3</v>
      </c>
      <c r="AG45" s="114" t="str">
        <f t="shared" si="4"/>
        <v>0</v>
      </c>
      <c r="AH45" s="115">
        <f t="shared" si="5"/>
        <v>15</v>
      </c>
      <c r="AI45" s="115">
        <f t="shared" si="12"/>
        <v>6</v>
      </c>
      <c r="AJ45" s="115">
        <f t="shared" si="6"/>
        <v>3</v>
      </c>
      <c r="AK45" s="115">
        <f t="shared" si="13"/>
        <v>6</v>
      </c>
      <c r="AL45" s="105"/>
      <c r="AM45" s="105"/>
      <c r="AN45" s="105"/>
      <c r="AO45" s="105">
        <v>8</v>
      </c>
      <c r="AP45" s="115">
        <f t="shared" si="7"/>
        <v>11</v>
      </c>
      <c r="AQ45" s="115">
        <f t="shared" si="2"/>
        <v>22</v>
      </c>
      <c r="AR45" s="115">
        <v>2</v>
      </c>
      <c r="AS45" s="115">
        <f t="shared" si="8"/>
        <v>11</v>
      </c>
      <c r="AT45" s="115">
        <f t="shared" si="9"/>
        <v>22</v>
      </c>
      <c r="AU45" s="115">
        <v>2</v>
      </c>
      <c r="AV45" s="115" t="s">
        <v>93</v>
      </c>
      <c r="AW45" s="115">
        <v>38</v>
      </c>
      <c r="AX45" s="115">
        <v>22</v>
      </c>
      <c r="AY45" s="115">
        <v>2</v>
      </c>
      <c r="AZ45" s="115">
        <f t="shared" si="3"/>
        <v>6</v>
      </c>
      <c r="BA45" s="98"/>
      <c r="BB45" s="105"/>
      <c r="BC45" s="105"/>
      <c r="BD45" s="105"/>
      <c r="BE45" s="105">
        <v>4</v>
      </c>
      <c r="BF45" s="105"/>
      <c r="BG45" s="105"/>
      <c r="BH45" s="105" t="str">
        <f t="shared" si="10"/>
        <v>0</v>
      </c>
      <c r="BI45" s="98">
        <f t="shared" si="11"/>
        <v>6</v>
      </c>
      <c r="BJ45" s="105">
        <v>1</v>
      </c>
    </row>
    <row r="46" spans="1:62" x14ac:dyDescent="0.2">
      <c r="A46" s="98"/>
      <c r="B46" s="98"/>
      <c r="C46" s="118"/>
      <c r="D46" s="119"/>
      <c r="E46" s="106"/>
      <c r="F46" s="105"/>
      <c r="G46" s="105"/>
      <c r="H46" s="105"/>
      <c r="I46" s="102"/>
      <c r="J46" s="104"/>
      <c r="K46" s="104"/>
      <c r="L46" s="103"/>
      <c r="M46" s="121"/>
      <c r="N46" s="122"/>
      <c r="O46" s="105"/>
      <c r="P46" s="107"/>
      <c r="Q46" s="105"/>
      <c r="R46" s="120"/>
      <c r="S46" s="105"/>
      <c r="T46" s="105"/>
      <c r="U46" s="109"/>
      <c r="V46" s="104"/>
      <c r="W46" s="104"/>
      <c r="X46" s="104"/>
      <c r="Y46" s="109"/>
      <c r="Z46" s="105"/>
      <c r="AA46" s="105"/>
      <c r="AB46" s="112"/>
      <c r="AC46" s="113">
        <v>2</v>
      </c>
      <c r="AD46" s="113">
        <v>12</v>
      </c>
      <c r="AE46" s="113">
        <v>6</v>
      </c>
      <c r="AF46" s="113">
        <v>3</v>
      </c>
      <c r="AG46" s="114" t="str">
        <f t="shared" si="4"/>
        <v>0</v>
      </c>
      <c r="AH46" s="115">
        <f t="shared" si="5"/>
        <v>15</v>
      </c>
      <c r="AI46" s="115">
        <f t="shared" si="12"/>
        <v>6</v>
      </c>
      <c r="AJ46" s="115">
        <f t="shared" si="6"/>
        <v>3</v>
      </c>
      <c r="AK46" s="115">
        <f t="shared" si="13"/>
        <v>6</v>
      </c>
      <c r="AL46" s="105"/>
      <c r="AM46" s="105"/>
      <c r="AN46" s="105"/>
      <c r="AO46" s="105">
        <v>8</v>
      </c>
      <c r="AP46" s="115">
        <f t="shared" si="7"/>
        <v>11</v>
      </c>
      <c r="AQ46" s="115">
        <f t="shared" si="2"/>
        <v>22</v>
      </c>
      <c r="AR46" s="115">
        <v>2</v>
      </c>
      <c r="AS46" s="115">
        <f t="shared" si="8"/>
        <v>11</v>
      </c>
      <c r="AT46" s="115">
        <f t="shared" si="9"/>
        <v>22</v>
      </c>
      <c r="AU46" s="115">
        <v>2</v>
      </c>
      <c r="AV46" s="115" t="s">
        <v>93</v>
      </c>
      <c r="AW46" s="115">
        <v>38</v>
      </c>
      <c r="AX46" s="115">
        <v>22</v>
      </c>
      <c r="AY46" s="115">
        <v>2</v>
      </c>
      <c r="AZ46" s="115">
        <f t="shared" si="3"/>
        <v>6</v>
      </c>
      <c r="BA46" s="98"/>
      <c r="BB46" s="105"/>
      <c r="BC46" s="105"/>
      <c r="BD46" s="105"/>
      <c r="BE46" s="105">
        <v>4</v>
      </c>
      <c r="BF46" s="105"/>
      <c r="BG46" s="105"/>
      <c r="BH46" s="105" t="str">
        <f t="shared" si="10"/>
        <v>0</v>
      </c>
      <c r="BI46" s="98">
        <f t="shared" si="11"/>
        <v>6</v>
      </c>
      <c r="BJ46" s="105">
        <v>1</v>
      </c>
    </row>
    <row r="47" spans="1:62" x14ac:dyDescent="0.2">
      <c r="A47" s="98"/>
      <c r="B47" s="98"/>
      <c r="C47" s="118"/>
      <c r="D47" s="119"/>
      <c r="E47" s="106"/>
      <c r="F47" s="105"/>
      <c r="G47" s="105"/>
      <c r="H47" s="105"/>
      <c r="I47" s="102"/>
      <c r="J47" s="104"/>
      <c r="K47" s="104"/>
      <c r="L47" s="103"/>
      <c r="M47" s="121"/>
      <c r="N47" s="122"/>
      <c r="O47" s="105"/>
      <c r="P47" s="107"/>
      <c r="Q47" s="105"/>
      <c r="R47" s="120"/>
      <c r="S47" s="105"/>
      <c r="T47" s="105"/>
      <c r="U47" s="109"/>
      <c r="V47" s="104"/>
      <c r="W47" s="104"/>
      <c r="X47" s="104"/>
      <c r="Y47" s="109"/>
      <c r="Z47" s="105"/>
      <c r="AA47" s="105"/>
      <c r="AB47" s="112"/>
      <c r="AC47" s="113">
        <v>2</v>
      </c>
      <c r="AD47" s="113">
        <v>12</v>
      </c>
      <c r="AE47" s="113">
        <v>6</v>
      </c>
      <c r="AF47" s="113">
        <v>3</v>
      </c>
      <c r="AG47" s="114" t="str">
        <f t="shared" si="4"/>
        <v>0</v>
      </c>
      <c r="AH47" s="115">
        <f t="shared" si="5"/>
        <v>15</v>
      </c>
      <c r="AI47" s="115">
        <f t="shared" si="12"/>
        <v>6</v>
      </c>
      <c r="AJ47" s="115">
        <f t="shared" si="6"/>
        <v>3</v>
      </c>
      <c r="AK47" s="115">
        <f t="shared" si="13"/>
        <v>6</v>
      </c>
      <c r="AL47" s="105"/>
      <c r="AM47" s="105"/>
      <c r="AN47" s="105"/>
      <c r="AO47" s="105">
        <v>8</v>
      </c>
      <c r="AP47" s="115">
        <f t="shared" si="7"/>
        <v>11</v>
      </c>
      <c r="AQ47" s="115">
        <f t="shared" si="2"/>
        <v>22</v>
      </c>
      <c r="AR47" s="115">
        <v>2</v>
      </c>
      <c r="AS47" s="115">
        <f t="shared" si="8"/>
        <v>11</v>
      </c>
      <c r="AT47" s="115">
        <f t="shared" si="9"/>
        <v>22</v>
      </c>
      <c r="AU47" s="115">
        <v>2</v>
      </c>
      <c r="AV47" s="115" t="s">
        <v>93</v>
      </c>
      <c r="AW47" s="115">
        <v>38</v>
      </c>
      <c r="AX47" s="115">
        <v>22</v>
      </c>
      <c r="AY47" s="115">
        <v>2</v>
      </c>
      <c r="AZ47" s="115">
        <f t="shared" si="3"/>
        <v>6</v>
      </c>
      <c r="BA47" s="98"/>
      <c r="BB47" s="105"/>
      <c r="BC47" s="105"/>
      <c r="BD47" s="105"/>
      <c r="BE47" s="105">
        <v>4</v>
      </c>
      <c r="BF47" s="105"/>
      <c r="BG47" s="105"/>
      <c r="BH47" s="105" t="str">
        <f t="shared" si="10"/>
        <v>0</v>
      </c>
      <c r="BI47" s="98">
        <f t="shared" si="11"/>
        <v>6</v>
      </c>
      <c r="BJ47" s="105">
        <v>1</v>
      </c>
    </row>
    <row r="48" spans="1:62" x14ac:dyDescent="0.2">
      <c r="A48" s="98"/>
      <c r="B48" s="98"/>
      <c r="C48" s="118"/>
      <c r="D48" s="119"/>
      <c r="E48" s="120"/>
      <c r="F48" s="105"/>
      <c r="G48" s="105"/>
      <c r="H48" s="105"/>
      <c r="I48" s="102"/>
      <c r="J48" s="104"/>
      <c r="K48" s="104"/>
      <c r="L48" s="103"/>
      <c r="M48" s="121"/>
      <c r="N48" s="122"/>
      <c r="O48" s="105"/>
      <c r="P48" s="107"/>
      <c r="Q48" s="105"/>
      <c r="R48" s="120"/>
      <c r="S48" s="105"/>
      <c r="T48" s="105"/>
      <c r="U48" s="109"/>
      <c r="V48" s="104"/>
      <c r="W48" s="104"/>
      <c r="X48" s="104"/>
      <c r="Y48" s="109"/>
      <c r="Z48" s="105"/>
      <c r="AA48" s="105"/>
      <c r="AB48" s="112"/>
      <c r="AC48" s="113">
        <v>2</v>
      </c>
      <c r="AD48" s="113">
        <v>12</v>
      </c>
      <c r="AE48" s="113">
        <v>6</v>
      </c>
      <c r="AF48" s="113">
        <v>3</v>
      </c>
      <c r="AG48" s="114" t="str">
        <f t="shared" si="4"/>
        <v>0</v>
      </c>
      <c r="AH48" s="115">
        <f t="shared" si="5"/>
        <v>15</v>
      </c>
      <c r="AI48" s="115">
        <f t="shared" si="12"/>
        <v>6</v>
      </c>
      <c r="AJ48" s="115">
        <f t="shared" si="6"/>
        <v>3</v>
      </c>
      <c r="AK48" s="115">
        <f t="shared" si="13"/>
        <v>6</v>
      </c>
      <c r="AL48" s="105"/>
      <c r="AM48" s="105"/>
      <c r="AN48" s="105"/>
      <c r="AO48" s="105">
        <v>8</v>
      </c>
      <c r="AP48" s="115">
        <f t="shared" si="7"/>
        <v>11</v>
      </c>
      <c r="AQ48" s="115">
        <f t="shared" si="2"/>
        <v>22</v>
      </c>
      <c r="AR48" s="115">
        <v>2</v>
      </c>
      <c r="AS48" s="115">
        <f t="shared" si="8"/>
        <v>11</v>
      </c>
      <c r="AT48" s="115">
        <f t="shared" si="9"/>
        <v>22</v>
      </c>
      <c r="AU48" s="115">
        <v>2</v>
      </c>
      <c r="AV48" s="115" t="s">
        <v>93</v>
      </c>
      <c r="AW48" s="115">
        <v>38</v>
      </c>
      <c r="AX48" s="115">
        <v>22</v>
      </c>
      <c r="AY48" s="115">
        <v>2</v>
      </c>
      <c r="AZ48" s="115">
        <f t="shared" si="3"/>
        <v>6</v>
      </c>
      <c r="BA48" s="98"/>
      <c r="BB48" s="105"/>
      <c r="BC48" s="105"/>
      <c r="BD48" s="105"/>
      <c r="BE48" s="105">
        <v>4</v>
      </c>
      <c r="BF48" s="105"/>
      <c r="BG48" s="105"/>
      <c r="BH48" s="105" t="str">
        <f t="shared" si="10"/>
        <v>0</v>
      </c>
      <c r="BI48" s="98">
        <f t="shared" si="11"/>
        <v>6</v>
      </c>
      <c r="BJ48" s="105">
        <v>1</v>
      </c>
    </row>
    <row r="49" spans="1:62" x14ac:dyDescent="0.2">
      <c r="A49" s="98"/>
      <c r="B49" s="98"/>
      <c r="C49" s="99"/>
      <c r="D49" s="119"/>
      <c r="E49" s="120"/>
      <c r="F49" s="105"/>
      <c r="G49" s="105"/>
      <c r="H49" s="105"/>
      <c r="I49" s="102"/>
      <c r="J49" s="104"/>
      <c r="K49" s="104"/>
      <c r="L49" s="103"/>
      <c r="M49" s="121"/>
      <c r="N49" s="122"/>
      <c r="O49" s="105"/>
      <c r="P49" s="107"/>
      <c r="Q49" s="105"/>
      <c r="R49" s="120"/>
      <c r="S49" s="105"/>
      <c r="T49" s="105"/>
      <c r="U49" s="109"/>
      <c r="V49" s="104"/>
      <c r="W49" s="104"/>
      <c r="X49" s="104"/>
      <c r="Y49" s="109"/>
      <c r="Z49" s="105"/>
      <c r="AA49" s="105"/>
      <c r="AB49" s="112"/>
      <c r="AC49" s="113">
        <v>2</v>
      </c>
      <c r="AD49" s="113">
        <v>12</v>
      </c>
      <c r="AE49" s="113">
        <v>6</v>
      </c>
      <c r="AF49" s="113">
        <v>3</v>
      </c>
      <c r="AG49" s="114" t="str">
        <f t="shared" si="4"/>
        <v>0</v>
      </c>
      <c r="AH49" s="115">
        <f t="shared" si="5"/>
        <v>15</v>
      </c>
      <c r="AI49" s="115">
        <f t="shared" si="12"/>
        <v>6</v>
      </c>
      <c r="AJ49" s="115">
        <f t="shared" si="6"/>
        <v>3</v>
      </c>
      <c r="AK49" s="115">
        <f t="shared" si="13"/>
        <v>6</v>
      </c>
      <c r="AL49" s="105"/>
      <c r="AM49" s="105"/>
      <c r="AN49" s="105"/>
      <c r="AO49" s="105">
        <v>8</v>
      </c>
      <c r="AP49" s="115">
        <f t="shared" si="7"/>
        <v>11</v>
      </c>
      <c r="AQ49" s="115">
        <f t="shared" si="2"/>
        <v>22</v>
      </c>
      <c r="AR49" s="115">
        <v>2</v>
      </c>
      <c r="AS49" s="115">
        <f t="shared" si="8"/>
        <v>11</v>
      </c>
      <c r="AT49" s="115">
        <f t="shared" si="9"/>
        <v>22</v>
      </c>
      <c r="AU49" s="115">
        <v>2</v>
      </c>
      <c r="AV49" s="115" t="s">
        <v>93</v>
      </c>
      <c r="AW49" s="115">
        <v>38</v>
      </c>
      <c r="AX49" s="115">
        <v>22</v>
      </c>
      <c r="AY49" s="115">
        <v>2</v>
      </c>
      <c r="AZ49" s="115">
        <f t="shared" si="3"/>
        <v>6</v>
      </c>
      <c r="BA49" s="98"/>
      <c r="BB49" s="105"/>
      <c r="BC49" s="105"/>
      <c r="BD49" s="105"/>
      <c r="BE49" s="105">
        <v>4</v>
      </c>
      <c r="BF49" s="105"/>
      <c r="BG49" s="105"/>
      <c r="BH49" s="105" t="str">
        <f t="shared" si="10"/>
        <v>0</v>
      </c>
      <c r="BI49" s="98">
        <f t="shared" si="11"/>
        <v>6</v>
      </c>
      <c r="BJ49" s="105">
        <v>1</v>
      </c>
    </row>
    <row r="50" spans="1:62" x14ac:dyDescent="0.2">
      <c r="A50" s="98"/>
      <c r="B50" s="98"/>
      <c r="C50" s="123"/>
      <c r="D50" s="119"/>
      <c r="E50" s="120"/>
      <c r="F50" s="105"/>
      <c r="G50" s="105"/>
      <c r="H50" s="105"/>
      <c r="I50" s="102"/>
      <c r="J50" s="104"/>
      <c r="K50" s="104"/>
      <c r="L50" s="103"/>
      <c r="M50" s="121"/>
      <c r="N50" s="122"/>
      <c r="O50" s="105"/>
      <c r="P50" s="107"/>
      <c r="Q50" s="105"/>
      <c r="R50" s="118"/>
      <c r="S50" s="105"/>
      <c r="T50" s="105"/>
      <c r="U50" s="109"/>
      <c r="V50" s="118"/>
      <c r="W50" s="118"/>
      <c r="X50" s="118"/>
      <c r="Y50" s="109"/>
      <c r="Z50" s="105"/>
      <c r="AA50" s="105"/>
      <c r="AB50" s="112"/>
      <c r="AC50" s="113">
        <v>2</v>
      </c>
      <c r="AD50" s="113">
        <v>12</v>
      </c>
      <c r="AE50" s="113">
        <v>6</v>
      </c>
      <c r="AF50" s="113">
        <v>3</v>
      </c>
      <c r="AG50" s="114" t="str">
        <f t="shared" si="4"/>
        <v>0</v>
      </c>
      <c r="AH50" s="115">
        <f t="shared" si="5"/>
        <v>15</v>
      </c>
      <c r="AI50" s="115">
        <f t="shared" si="12"/>
        <v>6</v>
      </c>
      <c r="AJ50" s="115">
        <f t="shared" si="6"/>
        <v>3</v>
      </c>
      <c r="AK50" s="115">
        <f t="shared" si="13"/>
        <v>6</v>
      </c>
      <c r="AL50" s="105"/>
      <c r="AM50" s="105"/>
      <c r="AN50" s="105"/>
      <c r="AO50" s="105">
        <v>8</v>
      </c>
      <c r="AP50" s="115">
        <f t="shared" si="7"/>
        <v>11</v>
      </c>
      <c r="AQ50" s="115">
        <f t="shared" si="2"/>
        <v>22</v>
      </c>
      <c r="AR50" s="115">
        <v>2</v>
      </c>
      <c r="AS50" s="115">
        <f t="shared" si="8"/>
        <v>11</v>
      </c>
      <c r="AT50" s="115">
        <f t="shared" si="9"/>
        <v>22</v>
      </c>
      <c r="AU50" s="115">
        <v>2</v>
      </c>
      <c r="AV50" s="115" t="s">
        <v>93</v>
      </c>
      <c r="AW50" s="115">
        <v>38</v>
      </c>
      <c r="AX50" s="115">
        <v>22</v>
      </c>
      <c r="AY50" s="115">
        <v>2</v>
      </c>
      <c r="AZ50" s="115">
        <f t="shared" si="3"/>
        <v>6</v>
      </c>
      <c r="BA50" s="98"/>
      <c r="BB50" s="105"/>
      <c r="BC50" s="105"/>
      <c r="BD50" s="105"/>
      <c r="BE50" s="105">
        <v>4</v>
      </c>
      <c r="BF50" s="105"/>
      <c r="BG50" s="105"/>
      <c r="BH50" s="105" t="str">
        <f t="shared" si="10"/>
        <v>0</v>
      </c>
      <c r="BI50" s="98">
        <f t="shared" si="11"/>
        <v>6</v>
      </c>
      <c r="BJ50" s="105">
        <v>1</v>
      </c>
    </row>
    <row r="51" spans="1:62" x14ac:dyDescent="0.2">
      <c r="A51" s="98"/>
      <c r="B51" s="98"/>
      <c r="C51" s="123"/>
      <c r="D51" s="119"/>
      <c r="E51" s="120"/>
      <c r="F51" s="105"/>
      <c r="G51" s="105"/>
      <c r="H51" s="105"/>
      <c r="I51" s="102"/>
      <c r="J51" s="104"/>
      <c r="K51" s="104"/>
      <c r="L51" s="103"/>
      <c r="M51" s="121"/>
      <c r="N51" s="122"/>
      <c r="O51" s="105"/>
      <c r="P51" s="107"/>
      <c r="Q51" s="105"/>
      <c r="R51" s="118"/>
      <c r="S51" s="105"/>
      <c r="T51" s="105"/>
      <c r="U51" s="109"/>
      <c r="V51" s="118"/>
      <c r="W51" s="118"/>
      <c r="X51" s="118"/>
      <c r="Y51" s="109"/>
      <c r="Z51" s="105"/>
      <c r="AA51" s="105"/>
      <c r="AB51" s="112"/>
      <c r="AC51" s="113">
        <v>2</v>
      </c>
      <c r="AD51" s="113">
        <v>12</v>
      </c>
      <c r="AE51" s="113">
        <v>6</v>
      </c>
      <c r="AF51" s="113">
        <v>3</v>
      </c>
      <c r="AG51" s="114" t="str">
        <f t="shared" si="4"/>
        <v>0</v>
      </c>
      <c r="AH51" s="115">
        <f t="shared" si="5"/>
        <v>15</v>
      </c>
      <c r="AI51" s="115">
        <f t="shared" si="12"/>
        <v>6</v>
      </c>
      <c r="AJ51" s="115">
        <f t="shared" si="6"/>
        <v>3</v>
      </c>
      <c r="AK51" s="115">
        <f t="shared" si="13"/>
        <v>6</v>
      </c>
      <c r="AL51" s="105"/>
      <c r="AM51" s="105"/>
      <c r="AN51" s="105"/>
      <c r="AO51" s="105">
        <v>8</v>
      </c>
      <c r="AP51" s="115">
        <f t="shared" si="7"/>
        <v>11</v>
      </c>
      <c r="AQ51" s="115">
        <f t="shared" si="2"/>
        <v>22</v>
      </c>
      <c r="AR51" s="115">
        <v>2</v>
      </c>
      <c r="AS51" s="115">
        <f t="shared" si="8"/>
        <v>11</v>
      </c>
      <c r="AT51" s="115">
        <f t="shared" si="9"/>
        <v>22</v>
      </c>
      <c r="AU51" s="115">
        <v>2</v>
      </c>
      <c r="AV51" s="115" t="s">
        <v>93</v>
      </c>
      <c r="AW51" s="115">
        <v>38</v>
      </c>
      <c r="AX51" s="115">
        <v>22</v>
      </c>
      <c r="AY51" s="115">
        <v>2</v>
      </c>
      <c r="AZ51" s="115">
        <f t="shared" si="3"/>
        <v>6</v>
      </c>
      <c r="BA51" s="98"/>
      <c r="BB51" s="105"/>
      <c r="BC51" s="105"/>
      <c r="BD51" s="105"/>
      <c r="BE51" s="105">
        <v>4</v>
      </c>
      <c r="BF51" s="105"/>
      <c r="BG51" s="105"/>
      <c r="BH51" s="105" t="str">
        <f t="shared" si="10"/>
        <v>0</v>
      </c>
      <c r="BI51" s="98">
        <f t="shared" si="11"/>
        <v>6</v>
      </c>
      <c r="BJ51" s="105">
        <v>1</v>
      </c>
    </row>
    <row r="52" spans="1:62" x14ac:dyDescent="0.2">
      <c r="A52" s="98"/>
      <c r="B52" s="98"/>
      <c r="C52" s="123"/>
      <c r="D52" s="119"/>
      <c r="E52" s="120"/>
      <c r="F52" s="105"/>
      <c r="G52" s="105"/>
      <c r="H52" s="105"/>
      <c r="I52" s="102"/>
      <c r="J52" s="104"/>
      <c r="K52" s="104"/>
      <c r="L52" s="103"/>
      <c r="M52" s="121"/>
      <c r="N52" s="122"/>
      <c r="O52" s="105"/>
      <c r="P52" s="107"/>
      <c r="Q52" s="105"/>
      <c r="R52" s="118"/>
      <c r="S52" s="105"/>
      <c r="T52" s="105"/>
      <c r="U52" s="109"/>
      <c r="V52" s="118"/>
      <c r="W52" s="118"/>
      <c r="X52" s="118"/>
      <c r="Y52" s="109"/>
      <c r="Z52" s="105"/>
      <c r="AA52" s="105"/>
      <c r="AB52" s="112"/>
      <c r="AC52" s="113">
        <v>2</v>
      </c>
      <c r="AD52" s="113">
        <v>12</v>
      </c>
      <c r="AE52" s="113">
        <v>6</v>
      </c>
      <c r="AF52" s="113">
        <v>3</v>
      </c>
      <c r="AG52" s="114" t="str">
        <f t="shared" si="4"/>
        <v>0</v>
      </c>
      <c r="AH52" s="115">
        <f t="shared" si="5"/>
        <v>15</v>
      </c>
      <c r="AI52" s="115">
        <f t="shared" si="12"/>
        <v>6</v>
      </c>
      <c r="AJ52" s="115">
        <f t="shared" si="6"/>
        <v>3</v>
      </c>
      <c r="AK52" s="115">
        <f t="shared" si="13"/>
        <v>6</v>
      </c>
      <c r="AL52" s="105"/>
      <c r="AM52" s="105"/>
      <c r="AN52" s="105"/>
      <c r="AO52" s="105">
        <v>8</v>
      </c>
      <c r="AP52" s="115">
        <f t="shared" si="7"/>
        <v>11</v>
      </c>
      <c r="AQ52" s="115">
        <f t="shared" si="2"/>
        <v>22</v>
      </c>
      <c r="AR52" s="115">
        <v>2</v>
      </c>
      <c r="AS52" s="115">
        <f t="shared" si="8"/>
        <v>11</v>
      </c>
      <c r="AT52" s="115">
        <f t="shared" si="9"/>
        <v>22</v>
      </c>
      <c r="AU52" s="115">
        <v>2</v>
      </c>
      <c r="AV52" s="115" t="s">
        <v>93</v>
      </c>
      <c r="AW52" s="115">
        <v>38</v>
      </c>
      <c r="AX52" s="115">
        <v>22</v>
      </c>
      <c r="AY52" s="115">
        <v>2</v>
      </c>
      <c r="AZ52" s="115">
        <f t="shared" si="3"/>
        <v>6</v>
      </c>
      <c r="BA52" s="98"/>
      <c r="BB52" s="105"/>
      <c r="BC52" s="105"/>
      <c r="BD52" s="105"/>
      <c r="BE52" s="105">
        <v>4</v>
      </c>
      <c r="BF52" s="105"/>
      <c r="BG52" s="105"/>
      <c r="BH52" s="105" t="str">
        <f t="shared" si="10"/>
        <v>0</v>
      </c>
      <c r="BI52" s="98">
        <f t="shared" si="11"/>
        <v>6</v>
      </c>
      <c r="BJ52" s="105">
        <v>1</v>
      </c>
    </row>
    <row r="53" spans="1:62" x14ac:dyDescent="0.2">
      <c r="A53" s="98"/>
      <c r="B53" s="98"/>
      <c r="C53" s="123"/>
      <c r="D53" s="119"/>
      <c r="E53" s="120"/>
      <c r="F53" s="105"/>
      <c r="G53" s="105"/>
      <c r="H53" s="105"/>
      <c r="I53" s="102"/>
      <c r="J53" s="104"/>
      <c r="K53" s="104"/>
      <c r="L53" s="103"/>
      <c r="M53" s="121"/>
      <c r="N53" s="122"/>
      <c r="O53" s="105"/>
      <c r="P53" s="107"/>
      <c r="Q53" s="105"/>
      <c r="R53" s="118"/>
      <c r="S53" s="105"/>
      <c r="T53" s="105"/>
      <c r="U53" s="109"/>
      <c r="V53" s="118"/>
      <c r="W53" s="118"/>
      <c r="X53" s="118"/>
      <c r="Y53" s="109"/>
      <c r="Z53" s="105"/>
      <c r="AA53" s="105"/>
      <c r="AB53" s="112"/>
      <c r="AC53" s="113">
        <v>2</v>
      </c>
      <c r="AD53" s="113">
        <v>12</v>
      </c>
      <c r="AE53" s="113">
        <v>6</v>
      </c>
      <c r="AF53" s="113">
        <v>3</v>
      </c>
      <c r="AG53" s="114" t="str">
        <f t="shared" si="4"/>
        <v>0</v>
      </c>
      <c r="AH53" s="115">
        <f t="shared" si="5"/>
        <v>15</v>
      </c>
      <c r="AI53" s="115">
        <f t="shared" si="12"/>
        <v>6</v>
      </c>
      <c r="AJ53" s="115">
        <f t="shared" si="6"/>
        <v>3</v>
      </c>
      <c r="AK53" s="115">
        <f t="shared" si="13"/>
        <v>6</v>
      </c>
      <c r="AL53" s="105"/>
      <c r="AM53" s="105"/>
      <c r="AN53" s="105"/>
      <c r="AO53" s="105">
        <v>8</v>
      </c>
      <c r="AP53" s="115">
        <f t="shared" si="7"/>
        <v>11</v>
      </c>
      <c r="AQ53" s="115">
        <f t="shared" si="2"/>
        <v>22</v>
      </c>
      <c r="AR53" s="115">
        <v>2</v>
      </c>
      <c r="AS53" s="115">
        <f t="shared" si="8"/>
        <v>11</v>
      </c>
      <c r="AT53" s="115">
        <f t="shared" si="9"/>
        <v>22</v>
      </c>
      <c r="AU53" s="115">
        <v>2</v>
      </c>
      <c r="AV53" s="115" t="s">
        <v>93</v>
      </c>
      <c r="AW53" s="115">
        <v>38</v>
      </c>
      <c r="AX53" s="115">
        <v>22</v>
      </c>
      <c r="AY53" s="115">
        <v>2</v>
      </c>
      <c r="AZ53" s="115">
        <f t="shared" si="3"/>
        <v>6</v>
      </c>
      <c r="BA53" s="98"/>
      <c r="BB53" s="105"/>
      <c r="BC53" s="105"/>
      <c r="BD53" s="105"/>
      <c r="BE53" s="105">
        <v>4</v>
      </c>
      <c r="BF53" s="105"/>
      <c r="BG53" s="105"/>
      <c r="BH53" s="105" t="str">
        <f t="shared" si="10"/>
        <v>0</v>
      </c>
      <c r="BI53" s="98">
        <f t="shared" si="11"/>
        <v>6</v>
      </c>
      <c r="BJ53" s="105">
        <v>1</v>
      </c>
    </row>
    <row r="54" spans="1:62" x14ac:dyDescent="0.2">
      <c r="A54" s="98"/>
      <c r="B54" s="98"/>
      <c r="C54" s="123"/>
      <c r="D54" s="119"/>
      <c r="E54" s="120"/>
      <c r="F54" s="105"/>
      <c r="G54" s="105"/>
      <c r="H54" s="105"/>
      <c r="I54" s="102"/>
      <c r="J54" s="104"/>
      <c r="K54" s="104"/>
      <c r="L54" s="103"/>
      <c r="M54" s="121"/>
      <c r="N54" s="122"/>
      <c r="O54" s="105"/>
      <c r="P54" s="107"/>
      <c r="Q54" s="105"/>
      <c r="R54" s="118"/>
      <c r="S54" s="105"/>
      <c r="T54" s="105"/>
      <c r="U54" s="109"/>
      <c r="V54" s="118"/>
      <c r="W54" s="118"/>
      <c r="X54" s="118"/>
      <c r="Y54" s="109"/>
      <c r="Z54" s="105"/>
      <c r="AA54" s="105"/>
      <c r="AB54" s="112"/>
      <c r="AC54" s="113">
        <v>2</v>
      </c>
      <c r="AD54" s="113">
        <v>12</v>
      </c>
      <c r="AE54" s="113">
        <v>6</v>
      </c>
      <c r="AF54" s="113">
        <v>3</v>
      </c>
      <c r="AG54" s="114" t="str">
        <f t="shared" si="4"/>
        <v>0</v>
      </c>
      <c r="AH54" s="115">
        <f t="shared" si="5"/>
        <v>15</v>
      </c>
      <c r="AI54" s="115">
        <f t="shared" si="12"/>
        <v>6</v>
      </c>
      <c r="AJ54" s="115">
        <f t="shared" si="6"/>
        <v>3</v>
      </c>
      <c r="AK54" s="115">
        <f t="shared" si="13"/>
        <v>6</v>
      </c>
      <c r="AL54" s="105"/>
      <c r="AM54" s="105"/>
      <c r="AN54" s="105"/>
      <c r="AO54" s="105">
        <v>8</v>
      </c>
      <c r="AP54" s="115">
        <f t="shared" si="7"/>
        <v>11</v>
      </c>
      <c r="AQ54" s="115">
        <f t="shared" si="2"/>
        <v>22</v>
      </c>
      <c r="AR54" s="115">
        <v>2</v>
      </c>
      <c r="AS54" s="115">
        <f t="shared" si="8"/>
        <v>11</v>
      </c>
      <c r="AT54" s="115">
        <f t="shared" si="9"/>
        <v>22</v>
      </c>
      <c r="AU54" s="115">
        <v>2</v>
      </c>
      <c r="AV54" s="115" t="s">
        <v>93</v>
      </c>
      <c r="AW54" s="115">
        <v>38</v>
      </c>
      <c r="AX54" s="115">
        <v>22</v>
      </c>
      <c r="AY54" s="115">
        <v>2</v>
      </c>
      <c r="AZ54" s="115">
        <f t="shared" si="3"/>
        <v>6</v>
      </c>
      <c r="BA54" s="98"/>
      <c r="BB54" s="105"/>
      <c r="BC54" s="105"/>
      <c r="BD54" s="105"/>
      <c r="BE54" s="105">
        <v>4</v>
      </c>
      <c r="BF54" s="105"/>
      <c r="BG54" s="105"/>
      <c r="BH54" s="105" t="str">
        <f t="shared" si="10"/>
        <v>0</v>
      </c>
      <c r="BI54" s="98">
        <f t="shared" si="11"/>
        <v>6</v>
      </c>
      <c r="BJ54" s="105">
        <v>1</v>
      </c>
    </row>
    <row r="55" spans="1:62" x14ac:dyDescent="0.2">
      <c r="A55" s="98"/>
      <c r="B55" s="98"/>
      <c r="C55" s="123"/>
      <c r="D55" s="119"/>
      <c r="E55" s="120"/>
      <c r="F55" s="105"/>
      <c r="G55" s="105"/>
      <c r="H55" s="105"/>
      <c r="I55" s="102"/>
      <c r="J55" s="104"/>
      <c r="K55" s="104"/>
      <c r="L55" s="103"/>
      <c r="M55" s="121"/>
      <c r="N55" s="122"/>
      <c r="O55" s="105"/>
      <c r="P55" s="107"/>
      <c r="Q55" s="105"/>
      <c r="R55" s="118"/>
      <c r="S55" s="105"/>
      <c r="T55" s="105"/>
      <c r="U55" s="109"/>
      <c r="V55" s="118"/>
      <c r="W55" s="118"/>
      <c r="X55" s="118"/>
      <c r="Y55" s="109"/>
      <c r="Z55" s="105"/>
      <c r="AA55" s="105"/>
      <c r="AB55" s="112"/>
      <c r="AC55" s="113">
        <v>2</v>
      </c>
      <c r="AD55" s="113">
        <v>12</v>
      </c>
      <c r="AE55" s="113">
        <v>6</v>
      </c>
      <c r="AF55" s="113">
        <v>3</v>
      </c>
      <c r="AG55" s="114" t="str">
        <f t="shared" si="4"/>
        <v>0</v>
      </c>
      <c r="AH55" s="115">
        <f t="shared" si="5"/>
        <v>15</v>
      </c>
      <c r="AI55" s="115">
        <f t="shared" si="12"/>
        <v>6</v>
      </c>
      <c r="AJ55" s="115">
        <f t="shared" si="6"/>
        <v>3</v>
      </c>
      <c r="AK55" s="115">
        <f t="shared" si="13"/>
        <v>6</v>
      </c>
      <c r="AL55" s="105"/>
      <c r="AM55" s="105"/>
      <c r="AN55" s="105"/>
      <c r="AO55" s="105">
        <v>8</v>
      </c>
      <c r="AP55" s="115">
        <f t="shared" si="7"/>
        <v>11</v>
      </c>
      <c r="AQ55" s="115">
        <f t="shared" si="2"/>
        <v>22</v>
      </c>
      <c r="AR55" s="115">
        <v>2</v>
      </c>
      <c r="AS55" s="115">
        <f t="shared" si="8"/>
        <v>11</v>
      </c>
      <c r="AT55" s="115">
        <f t="shared" si="9"/>
        <v>22</v>
      </c>
      <c r="AU55" s="115">
        <v>2</v>
      </c>
      <c r="AV55" s="115" t="s">
        <v>93</v>
      </c>
      <c r="AW55" s="115">
        <v>38</v>
      </c>
      <c r="AX55" s="115">
        <v>22</v>
      </c>
      <c r="AY55" s="115">
        <v>2</v>
      </c>
      <c r="AZ55" s="115">
        <f t="shared" si="3"/>
        <v>6</v>
      </c>
      <c r="BA55" s="98"/>
      <c r="BB55" s="105"/>
      <c r="BC55" s="105"/>
      <c r="BD55" s="105"/>
      <c r="BE55" s="105">
        <v>4</v>
      </c>
      <c r="BF55" s="105"/>
      <c r="BG55" s="105"/>
      <c r="BH55" s="105" t="str">
        <f t="shared" si="10"/>
        <v>0</v>
      </c>
      <c r="BI55" s="98">
        <f t="shared" si="11"/>
        <v>6</v>
      </c>
      <c r="BJ55" s="105">
        <v>1</v>
      </c>
    </row>
    <row r="56" spans="1:62" x14ac:dyDescent="0.2">
      <c r="A56" s="98"/>
      <c r="B56" s="98"/>
      <c r="C56" s="123"/>
      <c r="D56" s="119"/>
      <c r="E56" s="120"/>
      <c r="F56" s="105"/>
      <c r="G56" s="105"/>
      <c r="H56" s="105"/>
      <c r="I56" s="102"/>
      <c r="J56" s="104"/>
      <c r="K56" s="104"/>
      <c r="L56" s="103"/>
      <c r="M56" s="121"/>
      <c r="N56" s="122"/>
      <c r="O56" s="105"/>
      <c r="P56" s="107"/>
      <c r="Q56" s="105"/>
      <c r="R56" s="118"/>
      <c r="S56" s="105"/>
      <c r="T56" s="105"/>
      <c r="U56" s="109"/>
      <c r="V56" s="118"/>
      <c r="W56" s="118"/>
      <c r="X56" s="118"/>
      <c r="Y56" s="109"/>
      <c r="Z56" s="105"/>
      <c r="AA56" s="105"/>
      <c r="AB56" s="112"/>
      <c r="AC56" s="113">
        <v>2</v>
      </c>
      <c r="AD56" s="113">
        <v>12</v>
      </c>
      <c r="AE56" s="113">
        <v>6</v>
      </c>
      <c r="AF56" s="113">
        <v>3</v>
      </c>
      <c r="AG56" s="114" t="str">
        <f t="shared" si="4"/>
        <v>0</v>
      </c>
      <c r="AH56" s="115">
        <f t="shared" si="5"/>
        <v>15</v>
      </c>
      <c r="AI56" s="115">
        <f t="shared" si="12"/>
        <v>6</v>
      </c>
      <c r="AJ56" s="115">
        <f t="shared" si="6"/>
        <v>3</v>
      </c>
      <c r="AK56" s="115">
        <f t="shared" si="13"/>
        <v>6</v>
      </c>
      <c r="AL56" s="105"/>
      <c r="AM56" s="105"/>
      <c r="AN56" s="105"/>
      <c r="AO56" s="105">
        <v>8</v>
      </c>
      <c r="AP56" s="115">
        <f t="shared" si="7"/>
        <v>11</v>
      </c>
      <c r="AQ56" s="115">
        <f t="shared" si="2"/>
        <v>22</v>
      </c>
      <c r="AR56" s="115">
        <v>2</v>
      </c>
      <c r="AS56" s="115">
        <f t="shared" si="8"/>
        <v>11</v>
      </c>
      <c r="AT56" s="115">
        <f t="shared" si="9"/>
        <v>22</v>
      </c>
      <c r="AU56" s="115">
        <v>2</v>
      </c>
      <c r="AV56" s="115" t="s">
        <v>93</v>
      </c>
      <c r="AW56" s="115">
        <v>38</v>
      </c>
      <c r="AX56" s="115">
        <v>22</v>
      </c>
      <c r="AY56" s="115">
        <v>2</v>
      </c>
      <c r="AZ56" s="115">
        <f t="shared" si="3"/>
        <v>6</v>
      </c>
      <c r="BA56" s="98"/>
      <c r="BB56" s="105"/>
      <c r="BC56" s="105"/>
      <c r="BD56" s="105"/>
      <c r="BE56" s="105">
        <v>4</v>
      </c>
      <c r="BF56" s="105"/>
      <c r="BG56" s="105"/>
      <c r="BH56" s="105" t="str">
        <f t="shared" si="10"/>
        <v>0</v>
      </c>
      <c r="BI56" s="98">
        <f t="shared" si="11"/>
        <v>6</v>
      </c>
      <c r="BJ56" s="105">
        <v>1</v>
      </c>
    </row>
    <row r="57" spans="1:62" x14ac:dyDescent="0.2">
      <c r="A57" s="98"/>
      <c r="B57" s="98"/>
      <c r="C57" s="118"/>
      <c r="D57" s="119"/>
      <c r="E57" s="106"/>
      <c r="F57" s="105"/>
      <c r="G57" s="105"/>
      <c r="H57" s="105"/>
      <c r="I57" s="102"/>
      <c r="J57" s="104"/>
      <c r="K57" s="104"/>
      <c r="L57" s="103"/>
      <c r="M57" s="121"/>
      <c r="N57" s="122"/>
      <c r="O57" s="105"/>
      <c r="P57" s="107"/>
      <c r="Q57" s="105"/>
      <c r="R57" s="118"/>
      <c r="S57" s="105"/>
      <c r="T57" s="105"/>
      <c r="U57" s="109"/>
      <c r="V57" s="104"/>
      <c r="W57" s="104"/>
      <c r="X57" s="104"/>
      <c r="Y57" s="109"/>
      <c r="Z57" s="105"/>
      <c r="AA57" s="105"/>
      <c r="AB57" s="112"/>
      <c r="AC57" s="113">
        <v>2</v>
      </c>
      <c r="AD57" s="113">
        <v>12</v>
      </c>
      <c r="AE57" s="113">
        <v>6</v>
      </c>
      <c r="AF57" s="113">
        <v>3</v>
      </c>
      <c r="AG57" s="114" t="str">
        <f t="shared" si="4"/>
        <v>0</v>
      </c>
      <c r="AH57" s="115">
        <f t="shared" si="5"/>
        <v>15</v>
      </c>
      <c r="AI57" s="115">
        <f t="shared" si="12"/>
        <v>6</v>
      </c>
      <c r="AJ57" s="115">
        <f t="shared" si="6"/>
        <v>3</v>
      </c>
      <c r="AK57" s="115">
        <f t="shared" si="13"/>
        <v>6</v>
      </c>
      <c r="AL57" s="105"/>
      <c r="AM57" s="105"/>
      <c r="AN57" s="105"/>
      <c r="AO57" s="105">
        <v>8</v>
      </c>
      <c r="AP57" s="115">
        <f t="shared" si="7"/>
        <v>11</v>
      </c>
      <c r="AQ57" s="115">
        <f t="shared" si="2"/>
        <v>22</v>
      </c>
      <c r="AR57" s="115">
        <v>2</v>
      </c>
      <c r="AS57" s="115">
        <f t="shared" si="8"/>
        <v>11</v>
      </c>
      <c r="AT57" s="115">
        <f t="shared" si="9"/>
        <v>22</v>
      </c>
      <c r="AU57" s="115">
        <v>2</v>
      </c>
      <c r="AV57" s="115" t="s">
        <v>93</v>
      </c>
      <c r="AW57" s="115">
        <v>38</v>
      </c>
      <c r="AX57" s="115">
        <v>22</v>
      </c>
      <c r="AY57" s="115">
        <v>2</v>
      </c>
      <c r="AZ57" s="115">
        <f t="shared" si="3"/>
        <v>6</v>
      </c>
      <c r="BA57" s="98"/>
      <c r="BB57" s="105"/>
      <c r="BC57" s="105"/>
      <c r="BD57" s="105"/>
      <c r="BE57" s="105">
        <v>4</v>
      </c>
      <c r="BF57" s="105"/>
      <c r="BG57" s="105"/>
      <c r="BH57" s="105" t="str">
        <f t="shared" si="10"/>
        <v>0</v>
      </c>
      <c r="BI57" s="98">
        <f t="shared" si="11"/>
        <v>6</v>
      </c>
      <c r="BJ57" s="105">
        <v>1</v>
      </c>
    </row>
    <row r="58" spans="1:62" x14ac:dyDescent="0.2">
      <c r="A58" s="98"/>
      <c r="B58" s="98"/>
      <c r="C58" s="99"/>
      <c r="D58" s="119"/>
      <c r="E58" s="106"/>
      <c r="F58" s="105"/>
      <c r="G58" s="105"/>
      <c r="H58" s="105"/>
      <c r="I58" s="102"/>
      <c r="J58" s="104"/>
      <c r="K58" s="104"/>
      <c r="L58" s="103"/>
      <c r="M58" s="121"/>
      <c r="N58" s="122"/>
      <c r="O58" s="105"/>
      <c r="P58" s="107"/>
      <c r="Q58" s="105"/>
      <c r="R58" s="118"/>
      <c r="S58" s="105"/>
      <c r="T58" s="105"/>
      <c r="U58" s="109"/>
      <c r="V58" s="104"/>
      <c r="W58" s="104"/>
      <c r="X58" s="104"/>
      <c r="Y58" s="109"/>
      <c r="Z58" s="105"/>
      <c r="AA58" s="105"/>
      <c r="AB58" s="112"/>
      <c r="AC58" s="113">
        <v>2</v>
      </c>
      <c r="AD58" s="113">
        <v>12</v>
      </c>
      <c r="AE58" s="113">
        <v>6</v>
      </c>
      <c r="AF58" s="113">
        <v>3</v>
      </c>
      <c r="AG58" s="114" t="str">
        <f t="shared" si="4"/>
        <v>0</v>
      </c>
      <c r="AH58" s="115">
        <f t="shared" si="5"/>
        <v>15</v>
      </c>
      <c r="AI58" s="115">
        <f t="shared" si="12"/>
        <v>6</v>
      </c>
      <c r="AJ58" s="115">
        <f t="shared" si="6"/>
        <v>3</v>
      </c>
      <c r="AK58" s="115">
        <f t="shared" si="13"/>
        <v>6</v>
      </c>
      <c r="AL58" s="105"/>
      <c r="AM58" s="105"/>
      <c r="AN58" s="105"/>
      <c r="AO58" s="105">
        <v>8</v>
      </c>
      <c r="AP58" s="115">
        <f t="shared" si="7"/>
        <v>11</v>
      </c>
      <c r="AQ58" s="115">
        <f t="shared" si="2"/>
        <v>22</v>
      </c>
      <c r="AR58" s="115">
        <v>2</v>
      </c>
      <c r="AS58" s="115">
        <f t="shared" si="8"/>
        <v>11</v>
      </c>
      <c r="AT58" s="115">
        <f t="shared" si="9"/>
        <v>22</v>
      </c>
      <c r="AU58" s="115">
        <v>2</v>
      </c>
      <c r="AV58" s="115" t="s">
        <v>93</v>
      </c>
      <c r="AW58" s="115">
        <v>38</v>
      </c>
      <c r="AX58" s="115">
        <v>22</v>
      </c>
      <c r="AY58" s="115">
        <v>2</v>
      </c>
      <c r="AZ58" s="115">
        <f t="shared" si="3"/>
        <v>6</v>
      </c>
      <c r="BA58" s="98"/>
      <c r="BB58" s="105"/>
      <c r="BC58" s="105"/>
      <c r="BD58" s="105"/>
      <c r="BE58" s="105">
        <v>4</v>
      </c>
      <c r="BF58" s="105"/>
      <c r="BG58" s="105"/>
      <c r="BH58" s="105" t="str">
        <f t="shared" si="10"/>
        <v>0</v>
      </c>
      <c r="BI58" s="98">
        <f t="shared" si="11"/>
        <v>6</v>
      </c>
      <c r="BJ58" s="105">
        <v>1</v>
      </c>
    </row>
    <row r="59" spans="1:62" x14ac:dyDescent="0.2">
      <c r="A59" s="98"/>
      <c r="B59" s="98"/>
      <c r="C59" s="99"/>
      <c r="D59" s="119"/>
      <c r="E59" s="106"/>
      <c r="F59" s="105"/>
      <c r="G59" s="105"/>
      <c r="H59" s="105"/>
      <c r="I59" s="102"/>
      <c r="J59" s="104"/>
      <c r="K59" s="104"/>
      <c r="L59" s="103"/>
      <c r="M59" s="121"/>
      <c r="N59" s="122"/>
      <c r="O59" s="105"/>
      <c r="P59" s="107"/>
      <c r="Q59" s="105"/>
      <c r="R59" s="118"/>
      <c r="S59" s="105"/>
      <c r="T59" s="105"/>
      <c r="U59" s="109"/>
      <c r="V59" s="104"/>
      <c r="W59" s="104"/>
      <c r="X59" s="104"/>
      <c r="Y59" s="109"/>
      <c r="Z59" s="105"/>
      <c r="AA59" s="105"/>
      <c r="AB59" s="112"/>
      <c r="AC59" s="113">
        <v>2</v>
      </c>
      <c r="AD59" s="113">
        <v>12</v>
      </c>
      <c r="AE59" s="113">
        <v>6</v>
      </c>
      <c r="AF59" s="113">
        <v>3</v>
      </c>
      <c r="AG59" s="114" t="str">
        <f t="shared" si="4"/>
        <v>0</v>
      </c>
      <c r="AH59" s="115">
        <f t="shared" si="5"/>
        <v>15</v>
      </c>
      <c r="AI59" s="115">
        <f t="shared" si="12"/>
        <v>6</v>
      </c>
      <c r="AJ59" s="115">
        <f t="shared" si="6"/>
        <v>3</v>
      </c>
      <c r="AK59" s="115">
        <f t="shared" si="13"/>
        <v>6</v>
      </c>
      <c r="AL59" s="105"/>
      <c r="AM59" s="105"/>
      <c r="AN59" s="105"/>
      <c r="AO59" s="105">
        <v>8</v>
      </c>
      <c r="AP59" s="115">
        <f t="shared" si="7"/>
        <v>11</v>
      </c>
      <c r="AQ59" s="115">
        <f t="shared" si="2"/>
        <v>22</v>
      </c>
      <c r="AR59" s="115">
        <v>2</v>
      </c>
      <c r="AS59" s="115">
        <f t="shared" si="8"/>
        <v>11</v>
      </c>
      <c r="AT59" s="115">
        <f t="shared" si="9"/>
        <v>22</v>
      </c>
      <c r="AU59" s="115">
        <v>2</v>
      </c>
      <c r="AV59" s="115" t="s">
        <v>93</v>
      </c>
      <c r="AW59" s="115">
        <v>38</v>
      </c>
      <c r="AX59" s="115">
        <v>22</v>
      </c>
      <c r="AY59" s="115">
        <v>2</v>
      </c>
      <c r="AZ59" s="115">
        <f t="shared" si="3"/>
        <v>6</v>
      </c>
      <c r="BA59" s="98"/>
      <c r="BB59" s="105"/>
      <c r="BC59" s="105"/>
      <c r="BD59" s="105"/>
      <c r="BE59" s="105">
        <v>4</v>
      </c>
      <c r="BF59" s="105"/>
      <c r="BG59" s="105"/>
      <c r="BH59" s="105" t="str">
        <f t="shared" si="10"/>
        <v>0</v>
      </c>
      <c r="BI59" s="98">
        <f t="shared" si="11"/>
        <v>6</v>
      </c>
      <c r="BJ59" s="105">
        <v>1</v>
      </c>
    </row>
    <row r="60" spans="1:62" x14ac:dyDescent="0.2">
      <c r="A60" s="98"/>
      <c r="B60" s="98"/>
      <c r="C60" s="99"/>
      <c r="D60" s="124"/>
      <c r="E60" s="106"/>
      <c r="F60" s="105"/>
      <c r="G60" s="105"/>
      <c r="H60" s="105"/>
      <c r="I60" s="102"/>
      <c r="J60" s="104"/>
      <c r="K60" s="104"/>
      <c r="L60" s="103"/>
      <c r="M60" s="121"/>
      <c r="N60" s="122"/>
      <c r="O60" s="105"/>
      <c r="P60" s="107"/>
      <c r="Q60" s="105"/>
      <c r="R60" s="118"/>
      <c r="S60" s="105"/>
      <c r="T60" s="105"/>
      <c r="U60" s="109"/>
      <c r="V60" s="104"/>
      <c r="W60" s="104"/>
      <c r="X60" s="104"/>
      <c r="Y60" s="109"/>
      <c r="Z60" s="105"/>
      <c r="AA60" s="105"/>
      <c r="AB60" s="112"/>
      <c r="AC60" s="113">
        <v>2</v>
      </c>
      <c r="AD60" s="113">
        <v>12</v>
      </c>
      <c r="AE60" s="113">
        <v>6</v>
      </c>
      <c r="AF60" s="113">
        <v>3</v>
      </c>
      <c r="AG60" s="114" t="str">
        <f t="shared" si="4"/>
        <v>0</v>
      </c>
      <c r="AH60" s="115">
        <f t="shared" si="5"/>
        <v>15</v>
      </c>
      <c r="AI60" s="115">
        <v>6</v>
      </c>
      <c r="AJ60" s="115">
        <f t="shared" si="6"/>
        <v>3</v>
      </c>
      <c r="AK60" s="115">
        <f t="shared" si="13"/>
        <v>6</v>
      </c>
      <c r="AL60" s="105"/>
      <c r="AM60" s="105"/>
      <c r="AN60" s="105"/>
      <c r="AO60" s="105">
        <v>8</v>
      </c>
      <c r="AP60" s="115">
        <f t="shared" si="7"/>
        <v>11</v>
      </c>
      <c r="AQ60" s="115">
        <f t="shared" ref="AQ60:AQ100" si="14">SUM(I60+J60+AG60+AE60+AO60*2)</f>
        <v>22</v>
      </c>
      <c r="AR60" s="115">
        <v>2</v>
      </c>
      <c r="AS60" s="115">
        <f t="shared" si="8"/>
        <v>11</v>
      </c>
      <c r="AT60" s="115">
        <f t="shared" si="9"/>
        <v>22</v>
      </c>
      <c r="AU60" s="115">
        <v>2</v>
      </c>
      <c r="AV60" s="115" t="s">
        <v>93</v>
      </c>
      <c r="AW60" s="115">
        <v>38</v>
      </c>
      <c r="AX60" s="115">
        <v>22</v>
      </c>
      <c r="AY60" s="115">
        <v>2</v>
      </c>
      <c r="AZ60" s="115">
        <f t="shared" si="3"/>
        <v>6</v>
      </c>
      <c r="BA60" s="98"/>
      <c r="BB60" s="105"/>
      <c r="BC60" s="105"/>
      <c r="BD60" s="105"/>
      <c r="BE60" s="105">
        <v>4</v>
      </c>
      <c r="BF60" s="105"/>
      <c r="BG60" s="105"/>
      <c r="BH60" s="105" t="str">
        <f t="shared" si="10"/>
        <v>0</v>
      </c>
      <c r="BI60" s="98">
        <f t="shared" si="11"/>
        <v>6</v>
      </c>
      <c r="BJ60" s="105">
        <v>1</v>
      </c>
    </row>
    <row r="61" spans="1:62" x14ac:dyDescent="0.2">
      <c r="A61" s="98"/>
      <c r="B61" s="98"/>
      <c r="C61" s="118"/>
      <c r="D61" s="124"/>
      <c r="E61" s="106"/>
      <c r="F61" s="105"/>
      <c r="G61" s="105"/>
      <c r="H61" s="105"/>
      <c r="I61" s="102"/>
      <c r="J61" s="104"/>
      <c r="K61" s="104"/>
      <c r="L61" s="103"/>
      <c r="M61" s="121"/>
      <c r="N61" s="122"/>
      <c r="O61" s="105"/>
      <c r="P61" s="107"/>
      <c r="Q61" s="105"/>
      <c r="R61" s="118"/>
      <c r="S61" s="105"/>
      <c r="T61" s="105"/>
      <c r="U61" s="109"/>
      <c r="V61" s="104"/>
      <c r="W61" s="104"/>
      <c r="X61" s="104"/>
      <c r="Y61" s="109"/>
      <c r="Z61" s="105"/>
      <c r="AA61" s="105"/>
      <c r="AB61" s="112"/>
      <c r="AC61" s="113">
        <v>2</v>
      </c>
      <c r="AD61" s="113">
        <v>12</v>
      </c>
      <c r="AE61" s="113">
        <v>6</v>
      </c>
      <c r="AF61" s="113">
        <v>3</v>
      </c>
      <c r="AG61" s="114" t="str">
        <f t="shared" si="4"/>
        <v>0</v>
      </c>
      <c r="AH61" s="115">
        <f t="shared" si="5"/>
        <v>15</v>
      </c>
      <c r="AI61" s="115">
        <f t="shared" si="12"/>
        <v>6</v>
      </c>
      <c r="AJ61" s="115">
        <f t="shared" si="6"/>
        <v>3</v>
      </c>
      <c r="AK61" s="115">
        <f t="shared" si="13"/>
        <v>6</v>
      </c>
      <c r="AL61" s="105"/>
      <c r="AM61" s="105"/>
      <c r="AN61" s="105"/>
      <c r="AO61" s="105">
        <v>8</v>
      </c>
      <c r="AP61" s="115">
        <f t="shared" si="7"/>
        <v>11</v>
      </c>
      <c r="AQ61" s="115">
        <f t="shared" si="14"/>
        <v>22</v>
      </c>
      <c r="AR61" s="115">
        <v>2</v>
      </c>
      <c r="AS61" s="115">
        <f t="shared" si="8"/>
        <v>11</v>
      </c>
      <c r="AT61" s="115">
        <f t="shared" si="9"/>
        <v>22</v>
      </c>
      <c r="AU61" s="115">
        <v>2</v>
      </c>
      <c r="AV61" s="115" t="s">
        <v>93</v>
      </c>
      <c r="AW61" s="115">
        <v>38</v>
      </c>
      <c r="AX61" s="115">
        <v>22</v>
      </c>
      <c r="AY61" s="115">
        <v>2</v>
      </c>
      <c r="AZ61" s="115">
        <f t="shared" si="3"/>
        <v>6</v>
      </c>
      <c r="BA61" s="98"/>
      <c r="BB61" s="105"/>
      <c r="BC61" s="105"/>
      <c r="BD61" s="105"/>
      <c r="BE61" s="105">
        <v>4</v>
      </c>
      <c r="BF61" s="105"/>
      <c r="BG61" s="105"/>
      <c r="BH61" s="105" t="str">
        <f t="shared" si="10"/>
        <v>0</v>
      </c>
      <c r="BI61" s="98">
        <f t="shared" si="11"/>
        <v>6</v>
      </c>
      <c r="BJ61" s="105">
        <v>1</v>
      </c>
    </row>
    <row r="62" spans="1:62" x14ac:dyDescent="0.2">
      <c r="A62" s="98"/>
      <c r="B62" s="98"/>
      <c r="C62" s="118"/>
      <c r="D62" s="124"/>
      <c r="E62" s="120"/>
      <c r="F62" s="105"/>
      <c r="G62" s="105"/>
      <c r="H62" s="105"/>
      <c r="I62" s="102"/>
      <c r="J62" s="104"/>
      <c r="K62" s="104"/>
      <c r="L62" s="103"/>
      <c r="M62" s="121"/>
      <c r="N62" s="122"/>
      <c r="O62" s="105"/>
      <c r="P62" s="107"/>
      <c r="Q62" s="105"/>
      <c r="R62" s="118"/>
      <c r="S62" s="105"/>
      <c r="T62" s="105"/>
      <c r="U62" s="109"/>
      <c r="V62" s="104"/>
      <c r="W62" s="104"/>
      <c r="X62" s="104"/>
      <c r="Y62" s="109"/>
      <c r="Z62" s="105"/>
      <c r="AA62" s="105"/>
      <c r="AB62" s="112"/>
      <c r="AC62" s="113">
        <v>2</v>
      </c>
      <c r="AD62" s="113">
        <v>12</v>
      </c>
      <c r="AE62" s="113">
        <v>6</v>
      </c>
      <c r="AF62" s="113">
        <v>3</v>
      </c>
      <c r="AG62" s="114" t="str">
        <f t="shared" si="4"/>
        <v>0</v>
      </c>
      <c r="AH62" s="115">
        <f t="shared" si="5"/>
        <v>15</v>
      </c>
      <c r="AI62" s="115">
        <f t="shared" si="12"/>
        <v>6</v>
      </c>
      <c r="AJ62" s="115">
        <f t="shared" si="6"/>
        <v>3</v>
      </c>
      <c r="AK62" s="115">
        <f t="shared" si="13"/>
        <v>6</v>
      </c>
      <c r="AL62" s="105"/>
      <c r="AM62" s="105"/>
      <c r="AN62" s="105"/>
      <c r="AO62" s="105">
        <v>8</v>
      </c>
      <c r="AP62" s="115">
        <f t="shared" si="7"/>
        <v>11</v>
      </c>
      <c r="AQ62" s="115">
        <f t="shared" si="14"/>
        <v>22</v>
      </c>
      <c r="AR62" s="115">
        <v>2</v>
      </c>
      <c r="AS62" s="115">
        <f t="shared" si="8"/>
        <v>11</v>
      </c>
      <c r="AT62" s="115">
        <f t="shared" si="9"/>
        <v>22</v>
      </c>
      <c r="AU62" s="115">
        <v>2</v>
      </c>
      <c r="AV62" s="115" t="s">
        <v>93</v>
      </c>
      <c r="AW62" s="115">
        <v>38</v>
      </c>
      <c r="AX62" s="115">
        <v>22</v>
      </c>
      <c r="AY62" s="115">
        <v>2</v>
      </c>
      <c r="AZ62" s="115">
        <f t="shared" si="3"/>
        <v>6</v>
      </c>
      <c r="BA62" s="98"/>
      <c r="BB62" s="105"/>
      <c r="BC62" s="105"/>
      <c r="BD62" s="105"/>
      <c r="BE62" s="105">
        <v>4</v>
      </c>
      <c r="BF62" s="105"/>
      <c r="BG62" s="105"/>
      <c r="BH62" s="105" t="str">
        <f t="shared" si="10"/>
        <v>0</v>
      </c>
      <c r="BI62" s="98">
        <f t="shared" si="11"/>
        <v>6</v>
      </c>
      <c r="BJ62" s="105">
        <v>1</v>
      </c>
    </row>
    <row r="63" spans="1:62" x14ac:dyDescent="0.2">
      <c r="A63" s="98"/>
      <c r="B63" s="98"/>
      <c r="C63" s="118"/>
      <c r="D63" s="124"/>
      <c r="E63" s="120"/>
      <c r="F63" s="105"/>
      <c r="G63" s="105"/>
      <c r="H63" s="105"/>
      <c r="I63" s="102"/>
      <c r="J63" s="104"/>
      <c r="K63" s="104"/>
      <c r="L63" s="103"/>
      <c r="M63" s="121"/>
      <c r="N63" s="122"/>
      <c r="O63" s="105"/>
      <c r="P63" s="107"/>
      <c r="Q63" s="105"/>
      <c r="R63" s="118"/>
      <c r="S63" s="105"/>
      <c r="T63" s="105"/>
      <c r="U63" s="109"/>
      <c r="V63" s="104"/>
      <c r="W63" s="104"/>
      <c r="X63" s="104"/>
      <c r="Y63" s="109"/>
      <c r="Z63" s="105"/>
      <c r="AA63" s="105"/>
      <c r="AB63" s="112"/>
      <c r="AC63" s="113">
        <v>2</v>
      </c>
      <c r="AD63" s="113">
        <v>12</v>
      </c>
      <c r="AE63" s="113">
        <v>6</v>
      </c>
      <c r="AF63" s="113">
        <v>3</v>
      </c>
      <c r="AG63" s="114" t="str">
        <f t="shared" si="4"/>
        <v>0</v>
      </c>
      <c r="AH63" s="115">
        <f t="shared" si="5"/>
        <v>15</v>
      </c>
      <c r="AI63" s="115">
        <f t="shared" si="12"/>
        <v>6</v>
      </c>
      <c r="AJ63" s="115">
        <f t="shared" si="6"/>
        <v>3</v>
      </c>
      <c r="AK63" s="115">
        <f t="shared" si="13"/>
        <v>6</v>
      </c>
      <c r="AL63" s="105"/>
      <c r="AM63" s="105"/>
      <c r="AN63" s="105"/>
      <c r="AO63" s="105">
        <v>8</v>
      </c>
      <c r="AP63" s="115">
        <f t="shared" si="7"/>
        <v>11</v>
      </c>
      <c r="AQ63" s="115">
        <f t="shared" si="14"/>
        <v>22</v>
      </c>
      <c r="AR63" s="115">
        <v>2</v>
      </c>
      <c r="AS63" s="115">
        <f t="shared" si="8"/>
        <v>11</v>
      </c>
      <c r="AT63" s="115">
        <f t="shared" si="9"/>
        <v>22</v>
      </c>
      <c r="AU63" s="115">
        <v>2</v>
      </c>
      <c r="AV63" s="115" t="s">
        <v>93</v>
      </c>
      <c r="AW63" s="115">
        <v>38</v>
      </c>
      <c r="AX63" s="115">
        <v>22</v>
      </c>
      <c r="AY63" s="115">
        <v>2</v>
      </c>
      <c r="AZ63" s="115">
        <f t="shared" si="3"/>
        <v>6</v>
      </c>
      <c r="BA63" s="98"/>
      <c r="BB63" s="105"/>
      <c r="BC63" s="105"/>
      <c r="BD63" s="105"/>
      <c r="BE63" s="105">
        <v>4</v>
      </c>
      <c r="BF63" s="105"/>
      <c r="BG63" s="105"/>
      <c r="BH63" s="105" t="str">
        <f t="shared" si="10"/>
        <v>0</v>
      </c>
      <c r="BI63" s="98">
        <f t="shared" si="11"/>
        <v>6</v>
      </c>
      <c r="BJ63" s="105">
        <v>1</v>
      </c>
    </row>
    <row r="64" spans="1:62" x14ac:dyDescent="0.2">
      <c r="A64" s="98"/>
      <c r="B64" s="98"/>
      <c r="C64" s="99"/>
      <c r="D64" s="124"/>
      <c r="E64" s="120"/>
      <c r="F64" s="105"/>
      <c r="G64" s="105"/>
      <c r="H64" s="105"/>
      <c r="I64" s="102"/>
      <c r="J64" s="104"/>
      <c r="K64" s="104"/>
      <c r="L64" s="103"/>
      <c r="M64" s="121"/>
      <c r="N64" s="122"/>
      <c r="O64" s="105"/>
      <c r="P64" s="107"/>
      <c r="Q64" s="105"/>
      <c r="R64" s="118"/>
      <c r="S64" s="105"/>
      <c r="T64" s="105"/>
      <c r="U64" s="109"/>
      <c r="V64" s="104"/>
      <c r="W64" s="104"/>
      <c r="X64" s="104"/>
      <c r="Y64" s="109"/>
      <c r="Z64" s="105"/>
      <c r="AA64" s="105"/>
      <c r="AB64" s="112"/>
      <c r="AC64" s="113">
        <v>2</v>
      </c>
      <c r="AD64" s="113">
        <v>12</v>
      </c>
      <c r="AE64" s="113">
        <v>6</v>
      </c>
      <c r="AF64" s="113">
        <v>3</v>
      </c>
      <c r="AG64" s="114" t="str">
        <f t="shared" si="4"/>
        <v>0</v>
      </c>
      <c r="AH64" s="115">
        <f t="shared" si="5"/>
        <v>15</v>
      </c>
      <c r="AI64" s="115">
        <f t="shared" si="12"/>
        <v>6</v>
      </c>
      <c r="AJ64" s="115">
        <f t="shared" si="6"/>
        <v>3</v>
      </c>
      <c r="AK64" s="115">
        <f t="shared" si="13"/>
        <v>6</v>
      </c>
      <c r="AL64" s="105"/>
      <c r="AM64" s="105"/>
      <c r="AN64" s="105"/>
      <c r="AO64" s="105">
        <v>8</v>
      </c>
      <c r="AP64" s="115">
        <f t="shared" si="7"/>
        <v>11</v>
      </c>
      <c r="AQ64" s="115">
        <f t="shared" si="14"/>
        <v>22</v>
      </c>
      <c r="AR64" s="115">
        <v>2</v>
      </c>
      <c r="AS64" s="115">
        <f t="shared" si="8"/>
        <v>11</v>
      </c>
      <c r="AT64" s="115">
        <f t="shared" si="9"/>
        <v>22</v>
      </c>
      <c r="AU64" s="115">
        <v>2</v>
      </c>
      <c r="AV64" s="115" t="s">
        <v>93</v>
      </c>
      <c r="AW64" s="115">
        <v>38</v>
      </c>
      <c r="AX64" s="115">
        <v>22</v>
      </c>
      <c r="AY64" s="115">
        <v>2</v>
      </c>
      <c r="AZ64" s="115">
        <f t="shared" si="3"/>
        <v>6</v>
      </c>
      <c r="BA64" s="98"/>
      <c r="BB64" s="105"/>
      <c r="BC64" s="105"/>
      <c r="BD64" s="105"/>
      <c r="BE64" s="105">
        <v>4</v>
      </c>
      <c r="BF64" s="105"/>
      <c r="BG64" s="105"/>
      <c r="BH64" s="105" t="str">
        <f t="shared" si="10"/>
        <v>0</v>
      </c>
      <c r="BI64" s="98">
        <f t="shared" si="11"/>
        <v>6</v>
      </c>
      <c r="BJ64" s="105">
        <v>1</v>
      </c>
    </row>
    <row r="65" spans="1:62" x14ac:dyDescent="0.2">
      <c r="A65" s="98"/>
      <c r="B65" s="98"/>
      <c r="C65" s="118"/>
      <c r="D65" s="124"/>
      <c r="E65" s="120"/>
      <c r="F65" s="105"/>
      <c r="G65" s="105"/>
      <c r="H65" s="105"/>
      <c r="I65" s="102"/>
      <c r="J65" s="104"/>
      <c r="K65" s="104"/>
      <c r="L65" s="103"/>
      <c r="M65" s="121"/>
      <c r="N65" s="122"/>
      <c r="O65" s="105"/>
      <c r="P65" s="107"/>
      <c r="Q65" s="105"/>
      <c r="R65" s="118"/>
      <c r="S65" s="105"/>
      <c r="T65" s="105"/>
      <c r="U65" s="109"/>
      <c r="V65" s="104"/>
      <c r="W65" s="104"/>
      <c r="X65" s="104"/>
      <c r="Y65" s="109"/>
      <c r="Z65" s="105"/>
      <c r="AA65" s="105"/>
      <c r="AB65" s="112"/>
      <c r="AC65" s="113">
        <v>2</v>
      </c>
      <c r="AD65" s="113">
        <v>12</v>
      </c>
      <c r="AE65" s="113">
        <v>6</v>
      </c>
      <c r="AF65" s="113">
        <v>3</v>
      </c>
      <c r="AG65" s="114" t="str">
        <f t="shared" si="4"/>
        <v>0</v>
      </c>
      <c r="AH65" s="115">
        <f t="shared" si="5"/>
        <v>15</v>
      </c>
      <c r="AI65" s="115">
        <f t="shared" si="12"/>
        <v>6</v>
      </c>
      <c r="AJ65" s="115">
        <f t="shared" si="6"/>
        <v>3</v>
      </c>
      <c r="AK65" s="115">
        <f t="shared" si="13"/>
        <v>6</v>
      </c>
      <c r="AL65" s="105"/>
      <c r="AM65" s="105"/>
      <c r="AN65" s="105"/>
      <c r="AO65" s="105">
        <v>8</v>
      </c>
      <c r="AP65" s="115">
        <f t="shared" si="7"/>
        <v>11</v>
      </c>
      <c r="AQ65" s="115">
        <f t="shared" si="14"/>
        <v>22</v>
      </c>
      <c r="AR65" s="115">
        <v>2</v>
      </c>
      <c r="AS65" s="115">
        <f t="shared" si="8"/>
        <v>11</v>
      </c>
      <c r="AT65" s="115">
        <f t="shared" si="9"/>
        <v>22</v>
      </c>
      <c r="AU65" s="115">
        <v>2</v>
      </c>
      <c r="AV65" s="115" t="s">
        <v>93</v>
      </c>
      <c r="AW65" s="115">
        <v>38</v>
      </c>
      <c r="AX65" s="115">
        <v>22</v>
      </c>
      <c r="AY65" s="115">
        <v>2</v>
      </c>
      <c r="AZ65" s="115">
        <f t="shared" si="3"/>
        <v>6</v>
      </c>
      <c r="BA65" s="98"/>
      <c r="BB65" s="105"/>
      <c r="BC65" s="105"/>
      <c r="BD65" s="105"/>
      <c r="BE65" s="105">
        <v>4</v>
      </c>
      <c r="BF65" s="105"/>
      <c r="BG65" s="105"/>
      <c r="BH65" s="105" t="str">
        <f t="shared" si="10"/>
        <v>0</v>
      </c>
      <c r="BI65" s="98">
        <f t="shared" si="11"/>
        <v>6</v>
      </c>
      <c r="BJ65" s="105">
        <v>1</v>
      </c>
    </row>
    <row r="66" spans="1:62" x14ac:dyDescent="0.2">
      <c r="A66" s="98"/>
      <c r="B66" s="98"/>
      <c r="C66" s="99"/>
      <c r="D66" s="124"/>
      <c r="E66" s="120"/>
      <c r="F66" s="105"/>
      <c r="G66" s="105"/>
      <c r="H66" s="105"/>
      <c r="I66" s="102"/>
      <c r="J66" s="104"/>
      <c r="K66" s="104"/>
      <c r="L66" s="103"/>
      <c r="M66" s="121"/>
      <c r="N66" s="122"/>
      <c r="O66" s="105"/>
      <c r="P66" s="107"/>
      <c r="Q66" s="105"/>
      <c r="R66" s="118"/>
      <c r="S66" s="105"/>
      <c r="T66" s="105"/>
      <c r="U66" s="109"/>
      <c r="V66" s="104"/>
      <c r="W66" s="104"/>
      <c r="X66" s="104"/>
      <c r="Y66" s="109"/>
      <c r="Z66" s="105"/>
      <c r="AA66" s="105"/>
      <c r="AB66" s="112"/>
      <c r="AC66" s="113">
        <v>2</v>
      </c>
      <c r="AD66" s="113">
        <v>12</v>
      </c>
      <c r="AE66" s="113">
        <v>6</v>
      </c>
      <c r="AF66" s="113">
        <v>3</v>
      </c>
      <c r="AG66" s="114" t="str">
        <f t="shared" si="4"/>
        <v>0</v>
      </c>
      <c r="AH66" s="115">
        <f t="shared" si="5"/>
        <v>15</v>
      </c>
      <c r="AI66" s="115">
        <f t="shared" si="12"/>
        <v>6</v>
      </c>
      <c r="AJ66" s="115">
        <f t="shared" si="6"/>
        <v>3</v>
      </c>
      <c r="AK66" s="115">
        <f t="shared" si="13"/>
        <v>6</v>
      </c>
      <c r="AL66" s="105"/>
      <c r="AM66" s="105"/>
      <c r="AN66" s="105"/>
      <c r="AO66" s="105">
        <v>8</v>
      </c>
      <c r="AP66" s="115">
        <f t="shared" si="7"/>
        <v>11</v>
      </c>
      <c r="AQ66" s="115">
        <f t="shared" si="14"/>
        <v>22</v>
      </c>
      <c r="AR66" s="115">
        <v>2</v>
      </c>
      <c r="AS66" s="115">
        <f t="shared" si="8"/>
        <v>11</v>
      </c>
      <c r="AT66" s="115">
        <f t="shared" si="9"/>
        <v>22</v>
      </c>
      <c r="AU66" s="115">
        <v>2</v>
      </c>
      <c r="AV66" s="115" t="s">
        <v>93</v>
      </c>
      <c r="AW66" s="115">
        <v>38</v>
      </c>
      <c r="AX66" s="115">
        <v>22</v>
      </c>
      <c r="AY66" s="115">
        <v>2</v>
      </c>
      <c r="AZ66" s="115">
        <f t="shared" si="3"/>
        <v>6</v>
      </c>
      <c r="BA66" s="98"/>
      <c r="BB66" s="105"/>
      <c r="BC66" s="105"/>
      <c r="BD66" s="105"/>
      <c r="BE66" s="105">
        <v>4</v>
      </c>
      <c r="BF66" s="105"/>
      <c r="BG66" s="105"/>
      <c r="BH66" s="105" t="str">
        <f t="shared" si="10"/>
        <v>0</v>
      </c>
      <c r="BI66" s="98">
        <f t="shared" si="11"/>
        <v>6</v>
      </c>
      <c r="BJ66" s="105">
        <v>1</v>
      </c>
    </row>
    <row r="67" spans="1:62" x14ac:dyDescent="0.2">
      <c r="A67" s="98"/>
      <c r="B67" s="98"/>
      <c r="C67" s="99"/>
      <c r="D67" s="124"/>
      <c r="E67" s="120"/>
      <c r="F67" s="105"/>
      <c r="G67" s="105"/>
      <c r="H67" s="105"/>
      <c r="I67" s="102"/>
      <c r="J67" s="104"/>
      <c r="K67" s="104"/>
      <c r="L67" s="103"/>
      <c r="M67" s="121"/>
      <c r="N67" s="122"/>
      <c r="O67" s="105"/>
      <c r="P67" s="107"/>
      <c r="Q67" s="105"/>
      <c r="R67" s="118"/>
      <c r="S67" s="105"/>
      <c r="T67" s="105"/>
      <c r="U67" s="109"/>
      <c r="V67" s="104"/>
      <c r="W67" s="104"/>
      <c r="X67" s="104"/>
      <c r="Y67" s="109"/>
      <c r="Z67" s="105"/>
      <c r="AA67" s="105"/>
      <c r="AB67" s="112"/>
      <c r="AC67" s="113">
        <v>2</v>
      </c>
      <c r="AD67" s="113">
        <v>12</v>
      </c>
      <c r="AE67" s="113">
        <v>6</v>
      </c>
      <c r="AF67" s="113">
        <v>3</v>
      </c>
      <c r="AG67" s="114" t="str">
        <f t="shared" si="4"/>
        <v>0</v>
      </c>
      <c r="AH67" s="115">
        <f t="shared" si="5"/>
        <v>15</v>
      </c>
      <c r="AI67" s="115">
        <f t="shared" si="12"/>
        <v>6</v>
      </c>
      <c r="AJ67" s="115">
        <f t="shared" si="6"/>
        <v>3</v>
      </c>
      <c r="AK67" s="115">
        <f t="shared" si="13"/>
        <v>6</v>
      </c>
      <c r="AL67" s="105"/>
      <c r="AM67" s="105"/>
      <c r="AN67" s="105"/>
      <c r="AO67" s="105">
        <v>8</v>
      </c>
      <c r="AP67" s="115">
        <f t="shared" si="7"/>
        <v>11</v>
      </c>
      <c r="AQ67" s="115">
        <f t="shared" si="14"/>
        <v>22</v>
      </c>
      <c r="AR67" s="115">
        <v>2</v>
      </c>
      <c r="AS67" s="115">
        <f t="shared" si="8"/>
        <v>11</v>
      </c>
      <c r="AT67" s="115">
        <f t="shared" si="9"/>
        <v>22</v>
      </c>
      <c r="AU67" s="115">
        <v>2</v>
      </c>
      <c r="AV67" s="115" t="s">
        <v>93</v>
      </c>
      <c r="AW67" s="115">
        <v>38</v>
      </c>
      <c r="AX67" s="115">
        <v>22</v>
      </c>
      <c r="AY67" s="115">
        <v>2</v>
      </c>
      <c r="AZ67" s="115">
        <f t="shared" si="3"/>
        <v>6</v>
      </c>
      <c r="BA67" s="98"/>
      <c r="BB67" s="105"/>
      <c r="BC67" s="105"/>
      <c r="BD67" s="105"/>
      <c r="BE67" s="105">
        <v>4</v>
      </c>
      <c r="BF67" s="105"/>
      <c r="BG67" s="105"/>
      <c r="BH67" s="105" t="str">
        <f t="shared" si="10"/>
        <v>0</v>
      </c>
      <c r="BI67" s="98">
        <f t="shared" si="11"/>
        <v>6</v>
      </c>
      <c r="BJ67" s="105">
        <v>1</v>
      </c>
    </row>
    <row r="68" spans="1:62" x14ac:dyDescent="0.2">
      <c r="A68" s="98"/>
      <c r="B68" s="98"/>
      <c r="C68" s="99"/>
      <c r="D68" s="124"/>
      <c r="E68" s="120"/>
      <c r="F68" s="105"/>
      <c r="G68" s="105"/>
      <c r="H68" s="105"/>
      <c r="I68" s="102"/>
      <c r="J68" s="104"/>
      <c r="K68" s="104"/>
      <c r="L68" s="103"/>
      <c r="M68" s="121"/>
      <c r="N68" s="122"/>
      <c r="O68" s="105"/>
      <c r="P68" s="107"/>
      <c r="Q68" s="105"/>
      <c r="R68" s="118"/>
      <c r="S68" s="105"/>
      <c r="T68" s="105"/>
      <c r="U68" s="109"/>
      <c r="V68" s="104"/>
      <c r="W68" s="104"/>
      <c r="X68" s="104"/>
      <c r="Y68" s="109"/>
      <c r="Z68" s="105"/>
      <c r="AA68" s="105"/>
      <c r="AB68" s="112"/>
      <c r="AC68" s="113">
        <v>2</v>
      </c>
      <c r="AD68" s="113">
        <v>12</v>
      </c>
      <c r="AE68" s="113">
        <v>6</v>
      </c>
      <c r="AF68" s="113">
        <v>3</v>
      </c>
      <c r="AG68" s="114" t="str">
        <f t="shared" si="4"/>
        <v>0</v>
      </c>
      <c r="AH68" s="115">
        <f t="shared" si="5"/>
        <v>15</v>
      </c>
      <c r="AI68" s="115">
        <f t="shared" si="12"/>
        <v>6</v>
      </c>
      <c r="AJ68" s="115">
        <f t="shared" si="6"/>
        <v>3</v>
      </c>
      <c r="AK68" s="115">
        <f t="shared" si="13"/>
        <v>6</v>
      </c>
      <c r="AL68" s="105"/>
      <c r="AM68" s="105"/>
      <c r="AN68" s="105"/>
      <c r="AO68" s="105">
        <v>8</v>
      </c>
      <c r="AP68" s="115">
        <f t="shared" si="7"/>
        <v>11</v>
      </c>
      <c r="AQ68" s="115">
        <f t="shared" si="14"/>
        <v>22</v>
      </c>
      <c r="AR68" s="115">
        <v>2</v>
      </c>
      <c r="AS68" s="115">
        <f t="shared" si="8"/>
        <v>11</v>
      </c>
      <c r="AT68" s="115">
        <f t="shared" si="9"/>
        <v>22</v>
      </c>
      <c r="AU68" s="115">
        <v>2</v>
      </c>
      <c r="AV68" s="115" t="s">
        <v>93</v>
      </c>
      <c r="AW68" s="115">
        <v>38</v>
      </c>
      <c r="AX68" s="115">
        <v>22</v>
      </c>
      <c r="AY68" s="115">
        <v>2</v>
      </c>
      <c r="AZ68" s="115">
        <f t="shared" si="3"/>
        <v>6</v>
      </c>
      <c r="BA68" s="98"/>
      <c r="BB68" s="105"/>
      <c r="BC68" s="105"/>
      <c r="BD68" s="105"/>
      <c r="BE68" s="105">
        <v>4</v>
      </c>
      <c r="BF68" s="105"/>
      <c r="BG68" s="105"/>
      <c r="BH68" s="105" t="str">
        <f t="shared" si="10"/>
        <v>0</v>
      </c>
      <c r="BI68" s="98">
        <f t="shared" si="11"/>
        <v>6</v>
      </c>
      <c r="BJ68" s="105">
        <v>1</v>
      </c>
    </row>
    <row r="69" spans="1:62" x14ac:dyDescent="0.2">
      <c r="A69" s="98"/>
      <c r="B69" s="98"/>
      <c r="C69" s="118"/>
      <c r="D69" s="124"/>
      <c r="E69" s="120"/>
      <c r="F69" s="105"/>
      <c r="G69" s="105"/>
      <c r="H69" s="105"/>
      <c r="I69" s="102"/>
      <c r="J69" s="104"/>
      <c r="K69" s="104"/>
      <c r="L69" s="103"/>
      <c r="M69" s="121"/>
      <c r="N69" s="122"/>
      <c r="O69" s="105"/>
      <c r="P69" s="107"/>
      <c r="Q69" s="105"/>
      <c r="R69" s="118"/>
      <c r="S69" s="105"/>
      <c r="T69" s="105"/>
      <c r="U69" s="109"/>
      <c r="V69" s="104"/>
      <c r="W69" s="104"/>
      <c r="X69" s="104"/>
      <c r="Y69" s="109"/>
      <c r="Z69" s="105"/>
      <c r="AA69" s="105"/>
      <c r="AB69" s="112"/>
      <c r="AC69" s="113">
        <v>2</v>
      </c>
      <c r="AD69" s="113">
        <v>12</v>
      </c>
      <c r="AE69" s="113">
        <v>6</v>
      </c>
      <c r="AF69" s="113">
        <v>3</v>
      </c>
      <c r="AG69" s="114" t="str">
        <f t="shared" si="4"/>
        <v>0</v>
      </c>
      <c r="AH69" s="115">
        <f t="shared" si="5"/>
        <v>15</v>
      </c>
      <c r="AI69" s="115">
        <f t="shared" si="12"/>
        <v>6</v>
      </c>
      <c r="AJ69" s="115">
        <f t="shared" si="6"/>
        <v>3</v>
      </c>
      <c r="AK69" s="115">
        <f t="shared" si="13"/>
        <v>6</v>
      </c>
      <c r="AL69" s="105"/>
      <c r="AM69" s="105"/>
      <c r="AN69" s="105"/>
      <c r="AO69" s="105">
        <v>8</v>
      </c>
      <c r="AP69" s="115">
        <f t="shared" si="7"/>
        <v>11</v>
      </c>
      <c r="AQ69" s="115">
        <f t="shared" si="14"/>
        <v>22</v>
      </c>
      <c r="AR69" s="115">
        <v>2</v>
      </c>
      <c r="AS69" s="115">
        <f t="shared" si="8"/>
        <v>11</v>
      </c>
      <c r="AT69" s="115">
        <f t="shared" si="9"/>
        <v>22</v>
      </c>
      <c r="AU69" s="115">
        <v>2</v>
      </c>
      <c r="AV69" s="115" t="s">
        <v>93</v>
      </c>
      <c r="AW69" s="115">
        <v>38</v>
      </c>
      <c r="AX69" s="115">
        <v>22</v>
      </c>
      <c r="AY69" s="115">
        <v>2</v>
      </c>
      <c r="AZ69" s="115">
        <f t="shared" si="3"/>
        <v>6</v>
      </c>
      <c r="BA69" s="98"/>
      <c r="BB69" s="105"/>
      <c r="BC69" s="105"/>
      <c r="BD69" s="105"/>
      <c r="BE69" s="105">
        <v>4</v>
      </c>
      <c r="BF69" s="105"/>
      <c r="BG69" s="105"/>
      <c r="BH69" s="105" t="str">
        <f t="shared" si="10"/>
        <v>0</v>
      </c>
      <c r="BI69" s="98">
        <f t="shared" si="11"/>
        <v>6</v>
      </c>
      <c r="BJ69" s="105">
        <v>1</v>
      </c>
    </row>
    <row r="70" spans="1:62" x14ac:dyDescent="0.2">
      <c r="A70" s="98"/>
      <c r="B70" s="98"/>
      <c r="C70" s="118"/>
      <c r="D70" s="124"/>
      <c r="E70" s="120"/>
      <c r="F70" s="105"/>
      <c r="G70" s="105"/>
      <c r="H70" s="105"/>
      <c r="I70" s="102"/>
      <c r="J70" s="104"/>
      <c r="K70" s="104"/>
      <c r="L70" s="103"/>
      <c r="M70" s="121"/>
      <c r="N70" s="122"/>
      <c r="O70" s="105"/>
      <c r="P70" s="107"/>
      <c r="Q70" s="105"/>
      <c r="R70" s="118"/>
      <c r="S70" s="105"/>
      <c r="T70" s="105"/>
      <c r="U70" s="109"/>
      <c r="V70" s="104"/>
      <c r="W70" s="104"/>
      <c r="X70" s="104"/>
      <c r="Y70" s="109"/>
      <c r="Z70" s="105"/>
      <c r="AA70" s="105"/>
      <c r="AB70" s="112"/>
      <c r="AC70" s="113">
        <v>2</v>
      </c>
      <c r="AD70" s="113">
        <v>12</v>
      </c>
      <c r="AE70" s="113">
        <v>6</v>
      </c>
      <c r="AF70" s="113">
        <v>3</v>
      </c>
      <c r="AG70" s="114" t="str">
        <f t="shared" si="4"/>
        <v>0</v>
      </c>
      <c r="AH70" s="115">
        <f t="shared" si="5"/>
        <v>15</v>
      </c>
      <c r="AI70" s="115">
        <f t="shared" si="12"/>
        <v>6</v>
      </c>
      <c r="AJ70" s="115">
        <f t="shared" si="6"/>
        <v>3</v>
      </c>
      <c r="AK70" s="115">
        <f t="shared" si="13"/>
        <v>6</v>
      </c>
      <c r="AL70" s="105"/>
      <c r="AM70" s="105"/>
      <c r="AN70" s="105"/>
      <c r="AO70" s="105">
        <v>8</v>
      </c>
      <c r="AP70" s="115">
        <f t="shared" si="7"/>
        <v>11</v>
      </c>
      <c r="AQ70" s="115">
        <f t="shared" si="14"/>
        <v>22</v>
      </c>
      <c r="AR70" s="115">
        <v>2</v>
      </c>
      <c r="AS70" s="115">
        <f t="shared" si="8"/>
        <v>11</v>
      </c>
      <c r="AT70" s="115">
        <f t="shared" si="9"/>
        <v>22</v>
      </c>
      <c r="AU70" s="115">
        <v>2</v>
      </c>
      <c r="AV70" s="115" t="s">
        <v>93</v>
      </c>
      <c r="AW70" s="115">
        <v>38</v>
      </c>
      <c r="AX70" s="115">
        <v>22</v>
      </c>
      <c r="AY70" s="115">
        <v>2</v>
      </c>
      <c r="AZ70" s="115">
        <f t="shared" si="3"/>
        <v>6</v>
      </c>
      <c r="BA70" s="98"/>
      <c r="BB70" s="105"/>
      <c r="BC70" s="105"/>
      <c r="BD70" s="105"/>
      <c r="BE70" s="105">
        <v>4</v>
      </c>
      <c r="BF70" s="105"/>
      <c r="BG70" s="105"/>
      <c r="BH70" s="105" t="str">
        <f t="shared" si="10"/>
        <v>0</v>
      </c>
      <c r="BI70" s="98">
        <f t="shared" si="11"/>
        <v>6</v>
      </c>
      <c r="BJ70" s="105">
        <v>1</v>
      </c>
    </row>
    <row r="71" spans="1:62" x14ac:dyDescent="0.2">
      <c r="A71" s="98"/>
      <c r="B71" s="98"/>
      <c r="C71" s="118"/>
      <c r="D71" s="124"/>
      <c r="E71" s="120"/>
      <c r="F71" s="105"/>
      <c r="G71" s="105"/>
      <c r="H71" s="105"/>
      <c r="I71" s="102"/>
      <c r="J71" s="104"/>
      <c r="K71" s="104"/>
      <c r="L71" s="103"/>
      <c r="M71" s="121"/>
      <c r="N71" s="122"/>
      <c r="O71" s="105"/>
      <c r="P71" s="107"/>
      <c r="Q71" s="105"/>
      <c r="R71" s="118"/>
      <c r="S71" s="105"/>
      <c r="T71" s="105"/>
      <c r="U71" s="109"/>
      <c r="V71" s="104"/>
      <c r="W71" s="104"/>
      <c r="X71" s="104"/>
      <c r="Y71" s="109"/>
      <c r="Z71" s="105"/>
      <c r="AA71" s="105"/>
      <c r="AB71" s="112"/>
      <c r="AC71" s="113">
        <v>2</v>
      </c>
      <c r="AD71" s="113">
        <v>12</v>
      </c>
      <c r="AE71" s="113">
        <v>6</v>
      </c>
      <c r="AF71" s="113">
        <v>3</v>
      </c>
      <c r="AG71" s="114" t="str">
        <f t="shared" si="4"/>
        <v>0</v>
      </c>
      <c r="AH71" s="115">
        <f t="shared" si="5"/>
        <v>15</v>
      </c>
      <c r="AI71" s="115">
        <f t="shared" si="12"/>
        <v>6</v>
      </c>
      <c r="AJ71" s="115">
        <f t="shared" si="6"/>
        <v>3</v>
      </c>
      <c r="AK71" s="115">
        <f t="shared" si="13"/>
        <v>6</v>
      </c>
      <c r="AL71" s="105"/>
      <c r="AM71" s="105"/>
      <c r="AN71" s="105"/>
      <c r="AO71" s="105">
        <v>8</v>
      </c>
      <c r="AP71" s="115">
        <f t="shared" si="7"/>
        <v>11</v>
      </c>
      <c r="AQ71" s="115">
        <f t="shared" si="14"/>
        <v>22</v>
      </c>
      <c r="AR71" s="115">
        <v>2</v>
      </c>
      <c r="AS71" s="115">
        <f t="shared" si="8"/>
        <v>11</v>
      </c>
      <c r="AT71" s="115">
        <f t="shared" si="9"/>
        <v>22</v>
      </c>
      <c r="AU71" s="115">
        <v>2</v>
      </c>
      <c r="AV71" s="115" t="s">
        <v>93</v>
      </c>
      <c r="AW71" s="115">
        <v>38</v>
      </c>
      <c r="AX71" s="115">
        <v>22</v>
      </c>
      <c r="AY71" s="115">
        <v>2</v>
      </c>
      <c r="AZ71" s="115">
        <f t="shared" si="3"/>
        <v>6</v>
      </c>
      <c r="BA71" s="98"/>
      <c r="BB71" s="105"/>
      <c r="BC71" s="105"/>
      <c r="BD71" s="105"/>
      <c r="BE71" s="105">
        <v>4</v>
      </c>
      <c r="BF71" s="105"/>
      <c r="BG71" s="105"/>
      <c r="BH71" s="105" t="str">
        <f t="shared" si="10"/>
        <v>0</v>
      </c>
      <c r="BI71" s="98">
        <f t="shared" si="11"/>
        <v>6</v>
      </c>
      <c r="BJ71" s="105">
        <v>1</v>
      </c>
    </row>
    <row r="72" spans="1:62" x14ac:dyDescent="0.2">
      <c r="A72" s="98"/>
      <c r="B72" s="98"/>
      <c r="C72" s="99"/>
      <c r="D72" s="124"/>
      <c r="E72" s="120"/>
      <c r="F72" s="105"/>
      <c r="G72" s="105"/>
      <c r="H72" s="105"/>
      <c r="I72" s="102"/>
      <c r="J72" s="104"/>
      <c r="K72" s="104"/>
      <c r="L72" s="103"/>
      <c r="M72" s="121"/>
      <c r="N72" s="122"/>
      <c r="O72" s="105"/>
      <c r="P72" s="107"/>
      <c r="Q72" s="105"/>
      <c r="R72" s="118"/>
      <c r="S72" s="105"/>
      <c r="T72" s="105"/>
      <c r="U72" s="109"/>
      <c r="V72" s="104"/>
      <c r="W72" s="104"/>
      <c r="X72" s="104"/>
      <c r="Y72" s="109"/>
      <c r="Z72" s="105"/>
      <c r="AA72" s="105"/>
      <c r="AB72" s="112"/>
      <c r="AC72" s="113">
        <v>2</v>
      </c>
      <c r="AD72" s="113">
        <v>12</v>
      </c>
      <c r="AE72" s="113">
        <v>6</v>
      </c>
      <c r="AF72" s="113">
        <v>3</v>
      </c>
      <c r="AG72" s="114" t="str">
        <f t="shared" si="4"/>
        <v>0</v>
      </c>
      <c r="AH72" s="115">
        <f t="shared" si="5"/>
        <v>15</v>
      </c>
      <c r="AI72" s="115">
        <f t="shared" si="12"/>
        <v>6</v>
      </c>
      <c r="AJ72" s="115">
        <f t="shared" si="6"/>
        <v>3</v>
      </c>
      <c r="AK72" s="115">
        <f t="shared" si="13"/>
        <v>6</v>
      </c>
      <c r="AL72" s="105"/>
      <c r="AM72" s="105"/>
      <c r="AN72" s="105"/>
      <c r="AO72" s="105">
        <v>8</v>
      </c>
      <c r="AP72" s="115">
        <f t="shared" si="7"/>
        <v>11</v>
      </c>
      <c r="AQ72" s="115">
        <f t="shared" si="14"/>
        <v>22</v>
      </c>
      <c r="AR72" s="115">
        <v>2</v>
      </c>
      <c r="AS72" s="115">
        <f t="shared" si="8"/>
        <v>11</v>
      </c>
      <c r="AT72" s="115">
        <f t="shared" si="9"/>
        <v>22</v>
      </c>
      <c r="AU72" s="115">
        <v>2</v>
      </c>
      <c r="AV72" s="115" t="s">
        <v>93</v>
      </c>
      <c r="AW72" s="115">
        <v>38</v>
      </c>
      <c r="AX72" s="115">
        <v>22</v>
      </c>
      <c r="AY72" s="115">
        <v>2</v>
      </c>
      <c r="AZ72" s="125">
        <f t="shared" si="3"/>
        <v>6</v>
      </c>
      <c r="BA72" s="98"/>
      <c r="BB72" s="105"/>
      <c r="BC72" s="105"/>
      <c r="BD72" s="105"/>
      <c r="BE72" s="105">
        <v>4</v>
      </c>
      <c r="BF72" s="105"/>
      <c r="BG72" s="105"/>
      <c r="BH72" s="105" t="str">
        <f t="shared" si="10"/>
        <v>0</v>
      </c>
      <c r="BI72" s="98">
        <f t="shared" si="11"/>
        <v>6</v>
      </c>
      <c r="BJ72" s="105">
        <v>1</v>
      </c>
    </row>
    <row r="73" spans="1:62" ht="18" x14ac:dyDescent="0.2">
      <c r="A73" s="97"/>
      <c r="B73" s="126"/>
      <c r="C73" s="127"/>
      <c r="D73" s="128"/>
      <c r="E73" s="129"/>
      <c r="F73" s="105"/>
      <c r="G73" s="105"/>
      <c r="H73" s="105"/>
      <c r="I73" s="102"/>
      <c r="J73" s="130"/>
      <c r="K73" s="131"/>
      <c r="L73" s="126"/>
      <c r="M73" s="126"/>
      <c r="N73" s="132"/>
      <c r="O73" s="105"/>
      <c r="P73" s="133"/>
      <c r="Q73" s="126"/>
      <c r="R73" s="134"/>
      <c r="S73" s="101"/>
      <c r="T73" s="101"/>
      <c r="U73" s="135"/>
      <c r="V73" s="104"/>
      <c r="W73" s="110"/>
      <c r="X73" s="111"/>
      <c r="Y73" s="135"/>
      <c r="Z73" s="105"/>
      <c r="AA73" s="105"/>
      <c r="AB73" s="105"/>
      <c r="AC73" s="113">
        <v>2</v>
      </c>
      <c r="AD73" s="113">
        <v>12</v>
      </c>
      <c r="AE73" s="113">
        <v>6</v>
      </c>
      <c r="AF73" s="113">
        <v>3</v>
      </c>
      <c r="AG73" s="114" t="str">
        <f t="shared" si="4"/>
        <v>0</v>
      </c>
      <c r="AH73" s="115">
        <f t="shared" si="5"/>
        <v>15</v>
      </c>
      <c r="AI73" s="115">
        <f t="shared" si="12"/>
        <v>6</v>
      </c>
      <c r="AJ73" s="115">
        <f t="shared" si="6"/>
        <v>3</v>
      </c>
      <c r="AK73" s="115">
        <f t="shared" si="13"/>
        <v>6</v>
      </c>
      <c r="AL73" s="105"/>
      <c r="AM73" s="105"/>
      <c r="AN73" s="105"/>
      <c r="AO73" s="105">
        <v>8</v>
      </c>
      <c r="AP73" s="115">
        <f t="shared" si="7"/>
        <v>11</v>
      </c>
      <c r="AQ73" s="115">
        <f t="shared" si="14"/>
        <v>22</v>
      </c>
      <c r="AR73" s="115">
        <v>2</v>
      </c>
      <c r="AS73" s="115">
        <f t="shared" si="8"/>
        <v>11</v>
      </c>
      <c r="AT73" s="115">
        <f t="shared" si="9"/>
        <v>22</v>
      </c>
      <c r="AU73" s="115">
        <v>2</v>
      </c>
      <c r="AV73" s="115" t="s">
        <v>93</v>
      </c>
      <c r="AW73" s="115">
        <v>38</v>
      </c>
      <c r="AX73" s="115">
        <v>22</v>
      </c>
      <c r="AY73" s="115">
        <v>2</v>
      </c>
      <c r="AZ73" s="125">
        <f t="shared" si="3"/>
        <v>6</v>
      </c>
      <c r="BA73" s="98"/>
      <c r="BB73" s="105"/>
      <c r="BC73" s="105"/>
      <c r="BD73" s="105"/>
      <c r="BE73" s="105">
        <v>4</v>
      </c>
      <c r="BF73" s="105"/>
      <c r="BG73" s="105"/>
      <c r="BH73" s="105" t="str">
        <f t="shared" si="10"/>
        <v>0</v>
      </c>
      <c r="BI73" s="98">
        <f t="shared" si="11"/>
        <v>6</v>
      </c>
      <c r="BJ73" s="105">
        <v>1</v>
      </c>
    </row>
    <row r="74" spans="1:62" ht="18" x14ac:dyDescent="0.2">
      <c r="A74" s="97"/>
      <c r="B74" s="126"/>
      <c r="C74" s="127"/>
      <c r="D74" s="128"/>
      <c r="E74" s="129"/>
      <c r="F74" s="105"/>
      <c r="G74" s="105"/>
      <c r="H74" s="105"/>
      <c r="I74" s="102"/>
      <c r="J74" s="130"/>
      <c r="K74" s="131"/>
      <c r="L74" s="126"/>
      <c r="M74" s="136"/>
      <c r="N74" s="137"/>
      <c r="O74" s="105"/>
      <c r="P74" s="133"/>
      <c r="Q74" s="126"/>
      <c r="R74" s="134"/>
      <c r="S74" s="101"/>
      <c r="T74" s="101"/>
      <c r="U74" s="135"/>
      <c r="V74" s="104"/>
      <c r="W74" s="110"/>
      <c r="X74" s="111"/>
      <c r="Y74" s="135"/>
      <c r="Z74" s="105"/>
      <c r="AA74" s="105"/>
      <c r="AB74" s="105"/>
      <c r="AC74" s="113">
        <v>2</v>
      </c>
      <c r="AD74" s="113">
        <v>12</v>
      </c>
      <c r="AE74" s="113">
        <v>6</v>
      </c>
      <c r="AF74" s="113">
        <v>3</v>
      </c>
      <c r="AG74" s="114" t="str">
        <f t="shared" si="4"/>
        <v>0</v>
      </c>
      <c r="AH74" s="115">
        <f t="shared" si="5"/>
        <v>15</v>
      </c>
      <c r="AI74" s="115">
        <f t="shared" si="12"/>
        <v>6</v>
      </c>
      <c r="AJ74" s="115">
        <f t="shared" si="6"/>
        <v>3</v>
      </c>
      <c r="AK74" s="115">
        <f t="shared" ref="AK74:AK98" si="15">SUM(AI74-V74*2)</f>
        <v>6</v>
      </c>
      <c r="AL74" s="105"/>
      <c r="AM74" s="105"/>
      <c r="AN74" s="105"/>
      <c r="AO74" s="105">
        <v>8</v>
      </c>
      <c r="AP74" s="115">
        <f t="shared" si="7"/>
        <v>11</v>
      </c>
      <c r="AQ74" s="115">
        <f t="shared" si="14"/>
        <v>22</v>
      </c>
      <c r="AR74" s="115">
        <v>2</v>
      </c>
      <c r="AS74" s="115">
        <f t="shared" si="8"/>
        <v>11</v>
      </c>
      <c r="AT74" s="115">
        <f t="shared" si="9"/>
        <v>22</v>
      </c>
      <c r="AU74" s="115">
        <v>2</v>
      </c>
      <c r="AV74" s="115" t="s">
        <v>93</v>
      </c>
      <c r="AW74" s="115">
        <v>38</v>
      </c>
      <c r="AX74" s="115">
        <v>22</v>
      </c>
      <c r="AY74" s="115">
        <v>2</v>
      </c>
      <c r="AZ74" s="125">
        <f t="shared" ref="AZ74:AZ137" si="16">SUM(AI74)</f>
        <v>6</v>
      </c>
      <c r="BA74" s="98"/>
      <c r="BB74" s="105"/>
      <c r="BC74" s="105"/>
      <c r="BD74" s="105"/>
      <c r="BE74" s="105">
        <v>4</v>
      </c>
      <c r="BF74" s="105"/>
      <c r="BG74" s="105"/>
      <c r="BH74" s="105" t="str">
        <f t="shared" si="10"/>
        <v>0</v>
      </c>
      <c r="BI74" s="98">
        <f t="shared" si="11"/>
        <v>6</v>
      </c>
      <c r="BJ74" s="105">
        <v>1</v>
      </c>
    </row>
    <row r="75" spans="1:62" ht="18" x14ac:dyDescent="0.2">
      <c r="A75" s="97"/>
      <c r="B75" s="126"/>
      <c r="C75" s="127"/>
      <c r="D75" s="128"/>
      <c r="E75" s="129"/>
      <c r="F75" s="105"/>
      <c r="G75" s="105"/>
      <c r="H75" s="105"/>
      <c r="I75" s="102"/>
      <c r="J75" s="130"/>
      <c r="K75" s="131"/>
      <c r="L75" s="126"/>
      <c r="M75" s="136"/>
      <c r="N75" s="137"/>
      <c r="O75" s="105"/>
      <c r="P75" s="133"/>
      <c r="Q75" s="126"/>
      <c r="R75" s="134"/>
      <c r="S75" s="101"/>
      <c r="T75" s="101"/>
      <c r="U75" s="135"/>
      <c r="V75" s="104"/>
      <c r="W75" s="110"/>
      <c r="X75" s="111"/>
      <c r="Y75" s="135"/>
      <c r="Z75" s="105"/>
      <c r="AA75" s="105"/>
      <c r="AB75" s="105"/>
      <c r="AC75" s="113">
        <v>2</v>
      </c>
      <c r="AD75" s="113">
        <v>12</v>
      </c>
      <c r="AE75" s="113">
        <v>6</v>
      </c>
      <c r="AF75" s="113">
        <v>3</v>
      </c>
      <c r="AG75" s="114" t="str">
        <f t="shared" ref="AG75:AG100" si="17">IF(H75="Double",3,IF(H75="Equal Pair",3,IF(H75="Slide",-25,IF(H75="Single",0,"0"))))</f>
        <v>0</v>
      </c>
      <c r="AH75" s="115">
        <f t="shared" ref="AH75:AH106" si="18">SUM(K75+AB75+AD75+AF75)</f>
        <v>15</v>
      </c>
      <c r="AI75" s="115">
        <f t="shared" ref="AI75:AI98" si="19">SUM(I75+J75+V75*2+AE75+AG75)</f>
        <v>6</v>
      </c>
      <c r="AJ75" s="115">
        <f t="shared" ref="AJ75:AJ106" si="20">SUM(AH75-Z75-AD75)</f>
        <v>3</v>
      </c>
      <c r="AK75" s="115">
        <f t="shared" si="15"/>
        <v>6</v>
      </c>
      <c r="AL75" s="105"/>
      <c r="AM75" s="105"/>
      <c r="AN75" s="105"/>
      <c r="AO75" s="105">
        <v>8</v>
      </c>
      <c r="AP75" s="115">
        <f t="shared" ref="AP75:AP106" si="21">SUM(K75+AB75+AF75+AO75-BD75)</f>
        <v>11</v>
      </c>
      <c r="AQ75" s="115">
        <f t="shared" si="14"/>
        <v>22</v>
      </c>
      <c r="AR75" s="115">
        <v>2</v>
      </c>
      <c r="AS75" s="115">
        <f t="shared" ref="AS75:AS100" si="22">SUM(AP75-Z75)</f>
        <v>11</v>
      </c>
      <c r="AT75" s="115">
        <f t="shared" ref="AT75:AT138" si="23">SUM(AQ75-Z75*2)</f>
        <v>22</v>
      </c>
      <c r="AU75" s="115"/>
      <c r="AV75" s="115" t="s">
        <v>93</v>
      </c>
      <c r="AW75" s="115">
        <v>38</v>
      </c>
      <c r="AX75" s="115">
        <v>22</v>
      </c>
      <c r="AY75" s="115">
        <v>2</v>
      </c>
      <c r="AZ75" s="125">
        <f t="shared" si="16"/>
        <v>6</v>
      </c>
      <c r="BA75" s="98"/>
      <c r="BB75" s="105"/>
      <c r="BC75" s="105"/>
      <c r="BD75" s="105"/>
      <c r="BE75" s="105">
        <v>4</v>
      </c>
      <c r="BF75" s="105"/>
      <c r="BG75" s="105"/>
      <c r="BH75" s="105" t="str">
        <f t="shared" ref="BH75:BH108" si="24">IFERROR(VLOOKUP(W75,W75:W213,1,FALSE),"0")</f>
        <v>0</v>
      </c>
      <c r="BI75" s="98">
        <f t="shared" ref="BI75:BI108" si="25">IFERROR(VLOOKUP(AK75,AK75:AK224,1,FALSE),"0")</f>
        <v>6</v>
      </c>
      <c r="BJ75" s="105">
        <v>1</v>
      </c>
    </row>
    <row r="76" spans="1:62" ht="18" x14ac:dyDescent="0.2">
      <c r="A76" s="97"/>
      <c r="B76" s="126"/>
      <c r="C76" s="127"/>
      <c r="D76" s="128"/>
      <c r="E76" s="129"/>
      <c r="F76" s="105"/>
      <c r="G76" s="105"/>
      <c r="H76" s="105"/>
      <c r="I76" s="102"/>
      <c r="J76" s="130"/>
      <c r="K76" s="131"/>
      <c r="L76" s="126"/>
      <c r="M76" s="136"/>
      <c r="N76" s="137"/>
      <c r="O76" s="105"/>
      <c r="P76" s="133"/>
      <c r="Q76" s="126"/>
      <c r="R76" s="134"/>
      <c r="S76" s="101"/>
      <c r="T76" s="101"/>
      <c r="U76" s="135"/>
      <c r="V76" s="104"/>
      <c r="W76" s="110"/>
      <c r="X76" s="111"/>
      <c r="Y76" s="135"/>
      <c r="Z76" s="105"/>
      <c r="AA76" s="105"/>
      <c r="AB76" s="105"/>
      <c r="AC76" s="113">
        <v>2</v>
      </c>
      <c r="AD76" s="113">
        <v>12</v>
      </c>
      <c r="AE76" s="113">
        <v>6</v>
      </c>
      <c r="AF76" s="113">
        <v>3</v>
      </c>
      <c r="AG76" s="114" t="str">
        <f t="shared" si="17"/>
        <v>0</v>
      </c>
      <c r="AH76" s="115">
        <f t="shared" si="18"/>
        <v>15</v>
      </c>
      <c r="AI76" s="115">
        <f t="shared" si="19"/>
        <v>6</v>
      </c>
      <c r="AJ76" s="115">
        <f t="shared" si="20"/>
        <v>3</v>
      </c>
      <c r="AK76" s="115">
        <f t="shared" si="15"/>
        <v>6</v>
      </c>
      <c r="AL76" s="105"/>
      <c r="AM76" s="105"/>
      <c r="AN76" s="105"/>
      <c r="AO76" s="105">
        <v>8</v>
      </c>
      <c r="AP76" s="115">
        <f t="shared" si="21"/>
        <v>11</v>
      </c>
      <c r="AQ76" s="115">
        <f t="shared" si="14"/>
        <v>22</v>
      </c>
      <c r="AR76" s="115">
        <v>2</v>
      </c>
      <c r="AS76" s="115">
        <f t="shared" si="22"/>
        <v>11</v>
      </c>
      <c r="AT76" s="115">
        <f t="shared" si="23"/>
        <v>22</v>
      </c>
      <c r="AU76" s="115"/>
      <c r="AV76" s="115" t="s">
        <v>93</v>
      </c>
      <c r="AW76" s="115">
        <v>38</v>
      </c>
      <c r="AX76" s="115">
        <v>22</v>
      </c>
      <c r="AY76" s="115">
        <v>2</v>
      </c>
      <c r="AZ76" s="125">
        <f t="shared" si="16"/>
        <v>6</v>
      </c>
      <c r="BA76" s="98"/>
      <c r="BB76" s="105"/>
      <c r="BC76" s="105"/>
      <c r="BD76" s="105"/>
      <c r="BE76" s="105">
        <v>4</v>
      </c>
      <c r="BF76" s="105"/>
      <c r="BG76" s="105"/>
      <c r="BH76" s="105" t="str">
        <f t="shared" si="24"/>
        <v>0</v>
      </c>
      <c r="BI76" s="98">
        <f t="shared" si="25"/>
        <v>6</v>
      </c>
      <c r="BJ76" s="105">
        <v>1</v>
      </c>
    </row>
    <row r="77" spans="1:62" ht="18" x14ac:dyDescent="0.2">
      <c r="A77" s="138"/>
      <c r="B77" s="126"/>
      <c r="C77" s="127"/>
      <c r="D77" s="128"/>
      <c r="E77" s="129"/>
      <c r="F77" s="105"/>
      <c r="G77" s="105"/>
      <c r="H77" s="105"/>
      <c r="I77" s="102"/>
      <c r="J77" s="130"/>
      <c r="K77" s="131"/>
      <c r="L77" s="126"/>
      <c r="M77" s="136"/>
      <c r="N77" s="137"/>
      <c r="O77" s="105"/>
      <c r="P77" s="133"/>
      <c r="Q77" s="126"/>
      <c r="R77" s="134"/>
      <c r="S77" s="101"/>
      <c r="T77" s="101"/>
      <c r="U77" s="135"/>
      <c r="V77" s="104"/>
      <c r="W77" s="110"/>
      <c r="X77" s="111"/>
      <c r="Y77" s="135"/>
      <c r="Z77" s="105"/>
      <c r="AA77" s="105"/>
      <c r="AB77" s="105"/>
      <c r="AC77" s="113">
        <v>2</v>
      </c>
      <c r="AD77" s="113">
        <v>12</v>
      </c>
      <c r="AE77" s="113">
        <v>6</v>
      </c>
      <c r="AF77" s="113">
        <v>3</v>
      </c>
      <c r="AG77" s="114" t="str">
        <f t="shared" si="17"/>
        <v>0</v>
      </c>
      <c r="AH77" s="115">
        <f t="shared" si="18"/>
        <v>15</v>
      </c>
      <c r="AI77" s="115">
        <f t="shared" si="19"/>
        <v>6</v>
      </c>
      <c r="AJ77" s="115">
        <f t="shared" si="20"/>
        <v>3</v>
      </c>
      <c r="AK77" s="115">
        <f t="shared" si="15"/>
        <v>6</v>
      </c>
      <c r="AL77" s="105"/>
      <c r="AM77" s="105"/>
      <c r="AN77" s="105"/>
      <c r="AO77" s="105">
        <v>8</v>
      </c>
      <c r="AP77" s="115">
        <f t="shared" si="21"/>
        <v>11</v>
      </c>
      <c r="AQ77" s="115">
        <f t="shared" si="14"/>
        <v>22</v>
      </c>
      <c r="AR77" s="115">
        <v>2</v>
      </c>
      <c r="AS77" s="115">
        <f t="shared" si="22"/>
        <v>11</v>
      </c>
      <c r="AT77" s="115">
        <f t="shared" si="23"/>
        <v>22</v>
      </c>
      <c r="AU77" s="115"/>
      <c r="AV77" s="115" t="s">
        <v>93</v>
      </c>
      <c r="AW77" s="115">
        <v>38</v>
      </c>
      <c r="AX77" s="115">
        <v>22</v>
      </c>
      <c r="AY77" s="115">
        <v>2</v>
      </c>
      <c r="AZ77" s="125">
        <f t="shared" si="16"/>
        <v>6</v>
      </c>
      <c r="BA77" s="98"/>
      <c r="BB77" s="105"/>
      <c r="BC77" s="105"/>
      <c r="BD77" s="105"/>
      <c r="BE77" s="105">
        <v>4</v>
      </c>
      <c r="BF77" s="105"/>
      <c r="BG77" s="105"/>
      <c r="BH77" s="105" t="str">
        <f t="shared" si="24"/>
        <v>0</v>
      </c>
      <c r="BI77" s="98">
        <f t="shared" si="25"/>
        <v>6</v>
      </c>
      <c r="BJ77" s="105">
        <v>1</v>
      </c>
    </row>
    <row r="78" spans="1:62" ht="18" x14ac:dyDescent="0.2">
      <c r="A78" s="138"/>
      <c r="B78" s="126"/>
      <c r="C78" s="127"/>
      <c r="D78" s="128"/>
      <c r="E78" s="129"/>
      <c r="F78" s="105"/>
      <c r="G78" s="105"/>
      <c r="H78" s="105"/>
      <c r="I78" s="102"/>
      <c r="J78" s="130"/>
      <c r="K78" s="131"/>
      <c r="L78" s="126"/>
      <c r="M78" s="136"/>
      <c r="N78" s="137"/>
      <c r="O78" s="105"/>
      <c r="P78" s="133"/>
      <c r="Q78" s="126"/>
      <c r="R78" s="134"/>
      <c r="S78" s="101"/>
      <c r="T78" s="101"/>
      <c r="U78" s="135"/>
      <c r="V78" s="104"/>
      <c r="W78" s="110"/>
      <c r="X78" s="111"/>
      <c r="Y78" s="135"/>
      <c r="Z78" s="105"/>
      <c r="AA78" s="105"/>
      <c r="AB78" s="105"/>
      <c r="AC78" s="113">
        <v>2</v>
      </c>
      <c r="AD78" s="113">
        <v>12</v>
      </c>
      <c r="AE78" s="113">
        <v>6</v>
      </c>
      <c r="AF78" s="113">
        <v>3</v>
      </c>
      <c r="AG78" s="114" t="str">
        <f t="shared" si="17"/>
        <v>0</v>
      </c>
      <c r="AH78" s="115">
        <f t="shared" si="18"/>
        <v>15</v>
      </c>
      <c r="AI78" s="115">
        <f t="shared" si="19"/>
        <v>6</v>
      </c>
      <c r="AJ78" s="115">
        <f t="shared" si="20"/>
        <v>3</v>
      </c>
      <c r="AK78" s="115">
        <f t="shared" si="15"/>
        <v>6</v>
      </c>
      <c r="AL78" s="105"/>
      <c r="AM78" s="105"/>
      <c r="AN78" s="105"/>
      <c r="AO78" s="105">
        <v>8</v>
      </c>
      <c r="AP78" s="115">
        <f t="shared" si="21"/>
        <v>11</v>
      </c>
      <c r="AQ78" s="115">
        <f t="shared" si="14"/>
        <v>22</v>
      </c>
      <c r="AR78" s="115">
        <v>2</v>
      </c>
      <c r="AS78" s="115">
        <f t="shared" si="22"/>
        <v>11</v>
      </c>
      <c r="AT78" s="115">
        <f t="shared" si="23"/>
        <v>22</v>
      </c>
      <c r="AU78" s="115"/>
      <c r="AV78" s="115" t="s">
        <v>93</v>
      </c>
      <c r="AW78" s="115">
        <v>38</v>
      </c>
      <c r="AX78" s="115">
        <v>22</v>
      </c>
      <c r="AY78" s="115">
        <v>2</v>
      </c>
      <c r="AZ78" s="125">
        <f t="shared" si="16"/>
        <v>6</v>
      </c>
      <c r="BA78" s="98"/>
      <c r="BB78" s="105"/>
      <c r="BC78" s="105"/>
      <c r="BD78" s="105"/>
      <c r="BE78" s="105">
        <v>4</v>
      </c>
      <c r="BF78" s="105"/>
      <c r="BG78" s="105"/>
      <c r="BH78" s="105" t="str">
        <f t="shared" si="24"/>
        <v>0</v>
      </c>
      <c r="BI78" s="98">
        <f t="shared" si="25"/>
        <v>6</v>
      </c>
      <c r="BJ78" s="105">
        <v>1</v>
      </c>
    </row>
    <row r="79" spans="1:62" ht="18" x14ac:dyDescent="0.2">
      <c r="A79" s="138"/>
      <c r="B79" s="126"/>
      <c r="C79" s="127"/>
      <c r="D79" s="128"/>
      <c r="E79" s="129"/>
      <c r="F79" s="105"/>
      <c r="G79" s="105"/>
      <c r="H79" s="105"/>
      <c r="I79" s="102"/>
      <c r="J79" s="130"/>
      <c r="K79" s="131"/>
      <c r="L79" s="126"/>
      <c r="M79" s="136"/>
      <c r="N79" s="137"/>
      <c r="O79" s="105"/>
      <c r="P79" s="133"/>
      <c r="Q79" s="126"/>
      <c r="R79" s="134"/>
      <c r="S79" s="101"/>
      <c r="T79" s="101"/>
      <c r="U79" s="135"/>
      <c r="V79" s="104"/>
      <c r="W79" s="110"/>
      <c r="X79" s="111"/>
      <c r="Y79" s="135"/>
      <c r="Z79" s="105"/>
      <c r="AA79" s="105"/>
      <c r="AB79" s="105"/>
      <c r="AC79" s="113">
        <v>2</v>
      </c>
      <c r="AD79" s="113">
        <v>12</v>
      </c>
      <c r="AE79" s="113">
        <v>6</v>
      </c>
      <c r="AF79" s="113">
        <v>3</v>
      </c>
      <c r="AG79" s="114" t="str">
        <f t="shared" si="17"/>
        <v>0</v>
      </c>
      <c r="AH79" s="115">
        <f t="shared" si="18"/>
        <v>15</v>
      </c>
      <c r="AI79" s="115">
        <f t="shared" si="19"/>
        <v>6</v>
      </c>
      <c r="AJ79" s="115">
        <f t="shared" si="20"/>
        <v>3</v>
      </c>
      <c r="AK79" s="115">
        <f t="shared" si="15"/>
        <v>6</v>
      </c>
      <c r="AL79" s="105"/>
      <c r="AM79" s="105"/>
      <c r="AN79" s="105"/>
      <c r="AO79" s="105">
        <v>8</v>
      </c>
      <c r="AP79" s="115">
        <f t="shared" si="21"/>
        <v>11</v>
      </c>
      <c r="AQ79" s="115">
        <f t="shared" si="14"/>
        <v>22</v>
      </c>
      <c r="AR79" s="115">
        <v>2</v>
      </c>
      <c r="AS79" s="115">
        <f t="shared" si="22"/>
        <v>11</v>
      </c>
      <c r="AT79" s="115">
        <f t="shared" si="23"/>
        <v>22</v>
      </c>
      <c r="AU79" s="115"/>
      <c r="AV79" s="115" t="s">
        <v>93</v>
      </c>
      <c r="AW79" s="115">
        <v>38</v>
      </c>
      <c r="AX79" s="115">
        <v>22</v>
      </c>
      <c r="AY79" s="115">
        <v>2</v>
      </c>
      <c r="AZ79" s="125">
        <f t="shared" si="16"/>
        <v>6</v>
      </c>
      <c r="BA79" s="98"/>
      <c r="BB79" s="105"/>
      <c r="BC79" s="105"/>
      <c r="BD79" s="105"/>
      <c r="BE79" s="105">
        <v>4</v>
      </c>
      <c r="BF79" s="105"/>
      <c r="BG79" s="105"/>
      <c r="BH79" s="105" t="str">
        <f t="shared" si="24"/>
        <v>0</v>
      </c>
      <c r="BI79" s="98">
        <f t="shared" si="25"/>
        <v>6</v>
      </c>
      <c r="BJ79" s="105">
        <v>1</v>
      </c>
    </row>
    <row r="80" spans="1:62" ht="18" x14ac:dyDescent="0.2">
      <c r="A80" s="138"/>
      <c r="B80" s="126"/>
      <c r="C80" s="127"/>
      <c r="D80" s="128"/>
      <c r="E80" s="129"/>
      <c r="F80" s="105"/>
      <c r="G80" s="105"/>
      <c r="H80" s="105"/>
      <c r="I80" s="102"/>
      <c r="J80" s="130"/>
      <c r="K80" s="131"/>
      <c r="L80" s="126"/>
      <c r="M80" s="136"/>
      <c r="N80" s="137"/>
      <c r="O80" s="105"/>
      <c r="P80" s="133"/>
      <c r="Q80" s="126"/>
      <c r="R80" s="134"/>
      <c r="S80" s="101"/>
      <c r="T80" s="101"/>
      <c r="U80" s="135"/>
      <c r="V80" s="104"/>
      <c r="W80" s="110"/>
      <c r="X80" s="111"/>
      <c r="Y80" s="135"/>
      <c r="Z80" s="105"/>
      <c r="AA80" s="105"/>
      <c r="AB80" s="105"/>
      <c r="AC80" s="113">
        <v>2</v>
      </c>
      <c r="AD80" s="113">
        <v>12</v>
      </c>
      <c r="AE80" s="113">
        <v>6</v>
      </c>
      <c r="AF80" s="113">
        <v>3</v>
      </c>
      <c r="AG80" s="114" t="str">
        <f t="shared" si="17"/>
        <v>0</v>
      </c>
      <c r="AH80" s="115">
        <f t="shared" si="18"/>
        <v>15</v>
      </c>
      <c r="AI80" s="115">
        <f t="shared" si="19"/>
        <v>6</v>
      </c>
      <c r="AJ80" s="115">
        <f t="shared" si="20"/>
        <v>3</v>
      </c>
      <c r="AK80" s="115">
        <f t="shared" si="15"/>
        <v>6</v>
      </c>
      <c r="AL80" s="105"/>
      <c r="AM80" s="105"/>
      <c r="AN80" s="105"/>
      <c r="AO80" s="105">
        <v>8</v>
      </c>
      <c r="AP80" s="115">
        <f t="shared" si="21"/>
        <v>11</v>
      </c>
      <c r="AQ80" s="115">
        <f t="shared" si="14"/>
        <v>22</v>
      </c>
      <c r="AR80" s="115">
        <v>2</v>
      </c>
      <c r="AS80" s="115">
        <f t="shared" si="22"/>
        <v>11</v>
      </c>
      <c r="AT80" s="115">
        <f t="shared" si="23"/>
        <v>22</v>
      </c>
      <c r="AU80" s="115"/>
      <c r="AV80" s="115" t="s">
        <v>93</v>
      </c>
      <c r="AW80" s="115">
        <v>38</v>
      </c>
      <c r="AX80" s="115">
        <v>22</v>
      </c>
      <c r="AY80" s="115">
        <v>2</v>
      </c>
      <c r="AZ80" s="125">
        <f t="shared" si="16"/>
        <v>6</v>
      </c>
      <c r="BA80" s="98"/>
      <c r="BB80" s="105"/>
      <c r="BC80" s="105"/>
      <c r="BD80" s="105"/>
      <c r="BE80" s="105">
        <v>4</v>
      </c>
      <c r="BF80" s="105"/>
      <c r="BG80" s="105"/>
      <c r="BH80" s="105" t="str">
        <f t="shared" si="24"/>
        <v>0</v>
      </c>
      <c r="BI80" s="98">
        <f t="shared" si="25"/>
        <v>6</v>
      </c>
      <c r="BJ80" s="105">
        <v>1</v>
      </c>
    </row>
    <row r="81" spans="1:62" ht="18" x14ac:dyDescent="0.2">
      <c r="A81" s="138"/>
      <c r="B81" s="126"/>
      <c r="C81" s="127"/>
      <c r="D81" s="128"/>
      <c r="E81" s="129"/>
      <c r="F81" s="105"/>
      <c r="G81" s="105"/>
      <c r="H81" s="105"/>
      <c r="I81" s="102"/>
      <c r="J81" s="130"/>
      <c r="K81" s="131"/>
      <c r="L81" s="126"/>
      <c r="M81" s="136"/>
      <c r="N81" s="137"/>
      <c r="O81" s="105"/>
      <c r="P81" s="133"/>
      <c r="Q81" s="126"/>
      <c r="R81" s="134"/>
      <c r="S81" s="101"/>
      <c r="T81" s="101"/>
      <c r="U81" s="135"/>
      <c r="V81" s="104"/>
      <c r="W81" s="110"/>
      <c r="X81" s="111"/>
      <c r="Y81" s="135"/>
      <c r="Z81" s="105"/>
      <c r="AA81" s="105"/>
      <c r="AB81" s="105"/>
      <c r="AC81" s="113">
        <v>2</v>
      </c>
      <c r="AD81" s="113">
        <v>12</v>
      </c>
      <c r="AE81" s="113">
        <v>6</v>
      </c>
      <c r="AF81" s="113">
        <v>3</v>
      </c>
      <c r="AG81" s="114" t="str">
        <f t="shared" si="17"/>
        <v>0</v>
      </c>
      <c r="AH81" s="115">
        <f t="shared" si="18"/>
        <v>15</v>
      </c>
      <c r="AI81" s="115">
        <f t="shared" si="19"/>
        <v>6</v>
      </c>
      <c r="AJ81" s="115">
        <f t="shared" si="20"/>
        <v>3</v>
      </c>
      <c r="AK81" s="115">
        <f t="shared" si="15"/>
        <v>6</v>
      </c>
      <c r="AL81" s="105"/>
      <c r="AM81" s="105"/>
      <c r="AN81" s="105"/>
      <c r="AO81" s="105">
        <v>8</v>
      </c>
      <c r="AP81" s="115">
        <f t="shared" si="21"/>
        <v>11</v>
      </c>
      <c r="AQ81" s="115">
        <f t="shared" si="14"/>
        <v>22</v>
      </c>
      <c r="AR81" s="115">
        <v>2</v>
      </c>
      <c r="AS81" s="115">
        <f t="shared" si="22"/>
        <v>11</v>
      </c>
      <c r="AT81" s="115">
        <f t="shared" si="23"/>
        <v>22</v>
      </c>
      <c r="AU81" s="115"/>
      <c r="AV81" s="115" t="s">
        <v>93</v>
      </c>
      <c r="AW81" s="115">
        <v>38</v>
      </c>
      <c r="AX81" s="115">
        <v>22</v>
      </c>
      <c r="AY81" s="115">
        <v>2</v>
      </c>
      <c r="AZ81" s="125">
        <f t="shared" si="16"/>
        <v>6</v>
      </c>
      <c r="BA81" s="98"/>
      <c r="BB81" s="105"/>
      <c r="BC81" s="105"/>
      <c r="BD81" s="105"/>
      <c r="BE81" s="105">
        <v>4</v>
      </c>
      <c r="BF81" s="105"/>
      <c r="BG81" s="105"/>
      <c r="BH81" s="105" t="str">
        <f t="shared" si="24"/>
        <v>0</v>
      </c>
      <c r="BI81" s="98">
        <f t="shared" si="25"/>
        <v>6</v>
      </c>
      <c r="BJ81" s="105">
        <v>1</v>
      </c>
    </row>
    <row r="82" spans="1:62" ht="18" x14ac:dyDescent="0.2">
      <c r="A82" s="138"/>
      <c r="B82" s="126"/>
      <c r="C82" s="139"/>
      <c r="D82" s="124"/>
      <c r="E82" s="129"/>
      <c r="F82" s="105"/>
      <c r="G82" s="105"/>
      <c r="H82" s="105"/>
      <c r="I82" s="102"/>
      <c r="J82" s="130"/>
      <c r="K82" s="131"/>
      <c r="L82" s="126"/>
      <c r="M82" s="136"/>
      <c r="N82" s="137"/>
      <c r="O82" s="105"/>
      <c r="P82" s="133"/>
      <c r="Q82" s="126"/>
      <c r="R82" s="134"/>
      <c r="S82" s="101"/>
      <c r="T82" s="101"/>
      <c r="U82" s="135"/>
      <c r="V82" s="104"/>
      <c r="W82" s="110"/>
      <c r="X82" s="111"/>
      <c r="Y82" s="135"/>
      <c r="Z82" s="105"/>
      <c r="AA82" s="105"/>
      <c r="AB82" s="105"/>
      <c r="AC82" s="113">
        <v>2</v>
      </c>
      <c r="AD82" s="113">
        <v>12</v>
      </c>
      <c r="AE82" s="113">
        <v>6</v>
      </c>
      <c r="AF82" s="113">
        <v>3</v>
      </c>
      <c r="AG82" s="114" t="str">
        <f t="shared" si="17"/>
        <v>0</v>
      </c>
      <c r="AH82" s="115">
        <f t="shared" si="18"/>
        <v>15</v>
      </c>
      <c r="AI82" s="115">
        <f t="shared" si="19"/>
        <v>6</v>
      </c>
      <c r="AJ82" s="115">
        <f t="shared" si="20"/>
        <v>3</v>
      </c>
      <c r="AK82" s="115">
        <f t="shared" si="15"/>
        <v>6</v>
      </c>
      <c r="AL82" s="105"/>
      <c r="AM82" s="105"/>
      <c r="AN82" s="105"/>
      <c r="AO82" s="105">
        <v>8</v>
      </c>
      <c r="AP82" s="115">
        <f t="shared" si="21"/>
        <v>11</v>
      </c>
      <c r="AQ82" s="115">
        <f t="shared" si="14"/>
        <v>22</v>
      </c>
      <c r="AR82" s="115">
        <v>2</v>
      </c>
      <c r="AS82" s="115">
        <f t="shared" si="22"/>
        <v>11</v>
      </c>
      <c r="AT82" s="115">
        <f t="shared" si="23"/>
        <v>22</v>
      </c>
      <c r="AU82" s="115"/>
      <c r="AV82" s="115" t="s">
        <v>93</v>
      </c>
      <c r="AW82" s="115">
        <v>38</v>
      </c>
      <c r="AX82" s="115">
        <v>22</v>
      </c>
      <c r="AY82" s="115">
        <v>2</v>
      </c>
      <c r="AZ82" s="125">
        <f t="shared" si="16"/>
        <v>6</v>
      </c>
      <c r="BA82" s="98"/>
      <c r="BB82" s="105"/>
      <c r="BC82" s="105"/>
      <c r="BD82" s="105"/>
      <c r="BE82" s="105">
        <v>4</v>
      </c>
      <c r="BF82" s="105"/>
      <c r="BG82" s="105"/>
      <c r="BH82" s="105" t="str">
        <f t="shared" si="24"/>
        <v>0</v>
      </c>
      <c r="BI82" s="98">
        <f t="shared" si="25"/>
        <v>6</v>
      </c>
      <c r="BJ82" s="105">
        <v>1</v>
      </c>
    </row>
    <row r="83" spans="1:62" ht="18" x14ac:dyDescent="0.2">
      <c r="A83" s="138"/>
      <c r="B83" s="126"/>
      <c r="C83" s="127"/>
      <c r="D83" s="124"/>
      <c r="E83" s="129"/>
      <c r="F83" s="105"/>
      <c r="G83" s="105"/>
      <c r="H83" s="105"/>
      <c r="I83" s="102"/>
      <c r="J83" s="130"/>
      <c r="K83" s="131"/>
      <c r="L83" s="126"/>
      <c r="M83" s="136"/>
      <c r="N83" s="137"/>
      <c r="O83" s="105"/>
      <c r="P83" s="133"/>
      <c r="Q83" s="126"/>
      <c r="R83" s="134"/>
      <c r="S83" s="101"/>
      <c r="T83" s="101"/>
      <c r="U83" s="135"/>
      <c r="V83" s="104"/>
      <c r="W83" s="110"/>
      <c r="X83" s="111"/>
      <c r="Y83" s="135"/>
      <c r="Z83" s="105"/>
      <c r="AA83" s="105"/>
      <c r="AB83" s="105"/>
      <c r="AC83" s="113">
        <v>2</v>
      </c>
      <c r="AD83" s="113">
        <v>12</v>
      </c>
      <c r="AE83" s="113">
        <v>6</v>
      </c>
      <c r="AF83" s="113">
        <v>3</v>
      </c>
      <c r="AG83" s="114" t="str">
        <f t="shared" si="17"/>
        <v>0</v>
      </c>
      <c r="AH83" s="115">
        <f t="shared" si="18"/>
        <v>15</v>
      </c>
      <c r="AI83" s="115">
        <f t="shared" si="19"/>
        <v>6</v>
      </c>
      <c r="AJ83" s="115">
        <f t="shared" si="20"/>
        <v>3</v>
      </c>
      <c r="AK83" s="115">
        <f t="shared" si="15"/>
        <v>6</v>
      </c>
      <c r="AL83" s="105"/>
      <c r="AM83" s="105"/>
      <c r="AN83" s="105"/>
      <c r="AO83" s="105">
        <v>8</v>
      </c>
      <c r="AP83" s="115">
        <f t="shared" si="21"/>
        <v>11</v>
      </c>
      <c r="AQ83" s="115">
        <f t="shared" si="14"/>
        <v>22</v>
      </c>
      <c r="AR83" s="115">
        <v>2</v>
      </c>
      <c r="AS83" s="115">
        <f t="shared" si="22"/>
        <v>11</v>
      </c>
      <c r="AT83" s="115">
        <f t="shared" si="23"/>
        <v>22</v>
      </c>
      <c r="AU83" s="115"/>
      <c r="AV83" s="115" t="s">
        <v>93</v>
      </c>
      <c r="AW83" s="115">
        <v>38</v>
      </c>
      <c r="AX83" s="115">
        <v>22</v>
      </c>
      <c r="AY83" s="115">
        <v>2</v>
      </c>
      <c r="AZ83" s="125">
        <f t="shared" si="16"/>
        <v>6</v>
      </c>
      <c r="BA83" s="98"/>
      <c r="BB83" s="105"/>
      <c r="BC83" s="105"/>
      <c r="BD83" s="105"/>
      <c r="BE83" s="105">
        <v>4</v>
      </c>
      <c r="BF83" s="105"/>
      <c r="BG83" s="105"/>
      <c r="BH83" s="105" t="str">
        <f t="shared" si="24"/>
        <v>0</v>
      </c>
      <c r="BI83" s="98">
        <f t="shared" si="25"/>
        <v>6</v>
      </c>
      <c r="BJ83" s="105">
        <v>1</v>
      </c>
    </row>
    <row r="84" spans="1:62" ht="18" x14ac:dyDescent="0.2">
      <c r="A84" s="138"/>
      <c r="B84" s="126"/>
      <c r="C84" s="127"/>
      <c r="D84" s="124"/>
      <c r="E84" s="129"/>
      <c r="F84" s="105"/>
      <c r="G84" s="105"/>
      <c r="H84" s="105"/>
      <c r="I84" s="102"/>
      <c r="J84" s="130"/>
      <c r="K84" s="131"/>
      <c r="L84" s="126"/>
      <c r="M84" s="136"/>
      <c r="N84" s="137"/>
      <c r="O84" s="105"/>
      <c r="P84" s="133"/>
      <c r="Q84" s="126"/>
      <c r="R84" s="134"/>
      <c r="S84" s="101"/>
      <c r="T84" s="101"/>
      <c r="U84" s="135"/>
      <c r="V84" s="104"/>
      <c r="W84" s="110"/>
      <c r="X84" s="111"/>
      <c r="Y84" s="135"/>
      <c r="Z84" s="105"/>
      <c r="AA84" s="105"/>
      <c r="AB84" s="105"/>
      <c r="AC84" s="113">
        <v>2</v>
      </c>
      <c r="AD84" s="113">
        <v>12</v>
      </c>
      <c r="AE84" s="113">
        <v>6</v>
      </c>
      <c r="AF84" s="113">
        <v>3</v>
      </c>
      <c r="AG84" s="114" t="str">
        <f t="shared" si="17"/>
        <v>0</v>
      </c>
      <c r="AH84" s="115">
        <f t="shared" si="18"/>
        <v>15</v>
      </c>
      <c r="AI84" s="115">
        <f t="shared" si="19"/>
        <v>6</v>
      </c>
      <c r="AJ84" s="115">
        <f t="shared" si="20"/>
        <v>3</v>
      </c>
      <c r="AK84" s="115">
        <f t="shared" si="15"/>
        <v>6</v>
      </c>
      <c r="AL84" s="105"/>
      <c r="AM84" s="105"/>
      <c r="AN84" s="105"/>
      <c r="AO84" s="105">
        <v>8</v>
      </c>
      <c r="AP84" s="115">
        <f t="shared" si="21"/>
        <v>11</v>
      </c>
      <c r="AQ84" s="115">
        <f t="shared" si="14"/>
        <v>22</v>
      </c>
      <c r="AR84" s="115">
        <v>2</v>
      </c>
      <c r="AS84" s="115">
        <f t="shared" si="22"/>
        <v>11</v>
      </c>
      <c r="AT84" s="115">
        <f t="shared" si="23"/>
        <v>22</v>
      </c>
      <c r="AU84" s="115"/>
      <c r="AV84" s="115" t="s">
        <v>93</v>
      </c>
      <c r="AW84" s="115">
        <v>38</v>
      </c>
      <c r="AX84" s="115">
        <v>22</v>
      </c>
      <c r="AY84" s="115">
        <v>2</v>
      </c>
      <c r="AZ84" s="125">
        <f t="shared" si="16"/>
        <v>6</v>
      </c>
      <c r="BA84" s="98"/>
      <c r="BB84" s="105"/>
      <c r="BC84" s="105"/>
      <c r="BD84" s="105"/>
      <c r="BE84" s="105">
        <v>4</v>
      </c>
      <c r="BF84" s="105"/>
      <c r="BG84" s="105"/>
      <c r="BH84" s="105" t="str">
        <f t="shared" si="24"/>
        <v>0</v>
      </c>
      <c r="BI84" s="98">
        <f t="shared" si="25"/>
        <v>6</v>
      </c>
      <c r="BJ84" s="105">
        <v>1</v>
      </c>
    </row>
    <row r="85" spans="1:62" ht="18" x14ac:dyDescent="0.2">
      <c r="A85" s="138"/>
      <c r="B85" s="126"/>
      <c r="C85" s="139"/>
      <c r="D85" s="124"/>
      <c r="E85" s="129"/>
      <c r="F85" s="105"/>
      <c r="G85" s="105"/>
      <c r="H85" s="105"/>
      <c r="I85" s="102"/>
      <c r="J85" s="130"/>
      <c r="K85" s="131"/>
      <c r="L85" s="126"/>
      <c r="M85" s="136"/>
      <c r="N85" s="137"/>
      <c r="O85" s="105"/>
      <c r="P85" s="133"/>
      <c r="Q85" s="126"/>
      <c r="R85" s="134"/>
      <c r="S85" s="101"/>
      <c r="T85" s="101"/>
      <c r="U85" s="135"/>
      <c r="V85" s="104"/>
      <c r="W85" s="110"/>
      <c r="X85" s="111"/>
      <c r="Y85" s="135"/>
      <c r="Z85" s="105"/>
      <c r="AA85" s="105"/>
      <c r="AB85" s="105"/>
      <c r="AC85" s="113">
        <v>2</v>
      </c>
      <c r="AD85" s="113">
        <v>12</v>
      </c>
      <c r="AE85" s="113">
        <v>6</v>
      </c>
      <c r="AF85" s="113">
        <v>3</v>
      </c>
      <c r="AG85" s="114" t="str">
        <f t="shared" si="17"/>
        <v>0</v>
      </c>
      <c r="AH85" s="115">
        <f t="shared" si="18"/>
        <v>15</v>
      </c>
      <c r="AI85" s="115">
        <f t="shared" si="19"/>
        <v>6</v>
      </c>
      <c r="AJ85" s="115">
        <f t="shared" si="20"/>
        <v>3</v>
      </c>
      <c r="AK85" s="115">
        <f t="shared" si="15"/>
        <v>6</v>
      </c>
      <c r="AL85" s="105"/>
      <c r="AM85" s="105"/>
      <c r="AN85" s="105"/>
      <c r="AO85" s="105">
        <v>8</v>
      </c>
      <c r="AP85" s="115">
        <f t="shared" si="21"/>
        <v>11</v>
      </c>
      <c r="AQ85" s="115">
        <f t="shared" si="14"/>
        <v>22</v>
      </c>
      <c r="AR85" s="115">
        <v>2</v>
      </c>
      <c r="AS85" s="115">
        <f t="shared" si="22"/>
        <v>11</v>
      </c>
      <c r="AT85" s="115">
        <f t="shared" si="23"/>
        <v>22</v>
      </c>
      <c r="AU85" s="115"/>
      <c r="AV85" s="115" t="s">
        <v>93</v>
      </c>
      <c r="AW85" s="115">
        <v>38</v>
      </c>
      <c r="AX85" s="115">
        <v>22</v>
      </c>
      <c r="AY85" s="115">
        <v>2</v>
      </c>
      <c r="AZ85" s="125">
        <f t="shared" si="16"/>
        <v>6</v>
      </c>
      <c r="BA85" s="98"/>
      <c r="BB85" s="105"/>
      <c r="BC85" s="105"/>
      <c r="BD85" s="105"/>
      <c r="BE85" s="105">
        <v>4</v>
      </c>
      <c r="BF85" s="105"/>
      <c r="BG85" s="105"/>
      <c r="BH85" s="105" t="str">
        <f t="shared" si="24"/>
        <v>0</v>
      </c>
      <c r="BI85" s="98">
        <f t="shared" si="25"/>
        <v>6</v>
      </c>
      <c r="BJ85" s="105">
        <v>1</v>
      </c>
    </row>
    <row r="86" spans="1:62" ht="18" x14ac:dyDescent="0.2">
      <c r="A86" s="138"/>
      <c r="B86" s="126"/>
      <c r="C86" s="127"/>
      <c r="D86" s="124"/>
      <c r="E86" s="129"/>
      <c r="F86" s="105"/>
      <c r="G86" s="105"/>
      <c r="H86" s="105"/>
      <c r="I86" s="102"/>
      <c r="J86" s="130"/>
      <c r="K86" s="131"/>
      <c r="L86" s="126"/>
      <c r="M86" s="136"/>
      <c r="N86" s="137"/>
      <c r="O86" s="105"/>
      <c r="P86" s="133"/>
      <c r="Q86" s="126"/>
      <c r="R86" s="134"/>
      <c r="S86" s="101"/>
      <c r="T86" s="101"/>
      <c r="U86" s="135"/>
      <c r="V86" s="104"/>
      <c r="W86" s="110"/>
      <c r="X86" s="111"/>
      <c r="Y86" s="135"/>
      <c r="Z86" s="105"/>
      <c r="AA86" s="105"/>
      <c r="AB86" s="105"/>
      <c r="AC86" s="113">
        <v>2</v>
      </c>
      <c r="AD86" s="113">
        <v>12</v>
      </c>
      <c r="AE86" s="113">
        <v>6</v>
      </c>
      <c r="AF86" s="113">
        <v>3</v>
      </c>
      <c r="AG86" s="114" t="str">
        <f t="shared" si="17"/>
        <v>0</v>
      </c>
      <c r="AH86" s="115">
        <f t="shared" si="18"/>
        <v>15</v>
      </c>
      <c r="AI86" s="115">
        <f t="shared" si="19"/>
        <v>6</v>
      </c>
      <c r="AJ86" s="115">
        <f t="shared" si="20"/>
        <v>3</v>
      </c>
      <c r="AK86" s="115">
        <f t="shared" si="15"/>
        <v>6</v>
      </c>
      <c r="AL86" s="105"/>
      <c r="AM86" s="105"/>
      <c r="AN86" s="105"/>
      <c r="AO86" s="105">
        <v>8</v>
      </c>
      <c r="AP86" s="115">
        <f t="shared" si="21"/>
        <v>11</v>
      </c>
      <c r="AQ86" s="115">
        <f t="shared" si="14"/>
        <v>22</v>
      </c>
      <c r="AR86" s="115">
        <v>2</v>
      </c>
      <c r="AS86" s="115">
        <f t="shared" si="22"/>
        <v>11</v>
      </c>
      <c r="AT86" s="115">
        <f t="shared" si="23"/>
        <v>22</v>
      </c>
      <c r="AU86" s="115"/>
      <c r="AV86" s="115" t="s">
        <v>93</v>
      </c>
      <c r="AW86" s="115">
        <v>38</v>
      </c>
      <c r="AX86" s="115">
        <v>22</v>
      </c>
      <c r="AY86" s="115">
        <v>2</v>
      </c>
      <c r="AZ86" s="125">
        <f t="shared" si="16"/>
        <v>6</v>
      </c>
      <c r="BA86" s="98"/>
      <c r="BB86" s="105"/>
      <c r="BC86" s="105"/>
      <c r="BD86" s="105"/>
      <c r="BE86" s="105">
        <v>4</v>
      </c>
      <c r="BF86" s="105"/>
      <c r="BG86" s="105"/>
      <c r="BH86" s="105" t="str">
        <f t="shared" si="24"/>
        <v>0</v>
      </c>
      <c r="BI86" s="98">
        <f t="shared" si="25"/>
        <v>6</v>
      </c>
      <c r="BJ86" s="105">
        <v>1</v>
      </c>
    </row>
    <row r="87" spans="1:62" ht="18" x14ac:dyDescent="0.2">
      <c r="A87" s="138"/>
      <c r="B87" s="126"/>
      <c r="C87" s="139"/>
      <c r="D87" s="140"/>
      <c r="E87" s="129"/>
      <c r="F87" s="105"/>
      <c r="G87" s="105"/>
      <c r="H87" s="105"/>
      <c r="I87" s="102"/>
      <c r="J87" s="130"/>
      <c r="K87" s="131"/>
      <c r="L87" s="126"/>
      <c r="M87" s="136"/>
      <c r="N87" s="137"/>
      <c r="O87" s="105"/>
      <c r="P87" s="133"/>
      <c r="Q87" s="126"/>
      <c r="R87" s="134"/>
      <c r="S87" s="101"/>
      <c r="T87" s="101"/>
      <c r="U87" s="135"/>
      <c r="V87" s="104"/>
      <c r="W87" s="110"/>
      <c r="X87" s="111"/>
      <c r="Y87" s="135"/>
      <c r="Z87" s="105"/>
      <c r="AA87" s="105"/>
      <c r="AB87" s="105"/>
      <c r="AC87" s="113">
        <v>2</v>
      </c>
      <c r="AD87" s="113">
        <v>12</v>
      </c>
      <c r="AE87" s="113">
        <v>6</v>
      </c>
      <c r="AF87" s="113">
        <v>3</v>
      </c>
      <c r="AG87" s="114" t="str">
        <f t="shared" si="17"/>
        <v>0</v>
      </c>
      <c r="AH87" s="115">
        <f t="shared" si="18"/>
        <v>15</v>
      </c>
      <c r="AI87" s="115">
        <f t="shared" si="19"/>
        <v>6</v>
      </c>
      <c r="AJ87" s="115">
        <f t="shared" si="20"/>
        <v>3</v>
      </c>
      <c r="AK87" s="115">
        <f t="shared" si="15"/>
        <v>6</v>
      </c>
      <c r="AL87" s="105"/>
      <c r="AM87" s="105"/>
      <c r="AN87" s="105"/>
      <c r="AO87" s="105">
        <v>8</v>
      </c>
      <c r="AP87" s="115">
        <f t="shared" si="21"/>
        <v>11</v>
      </c>
      <c r="AQ87" s="115">
        <f t="shared" si="14"/>
        <v>22</v>
      </c>
      <c r="AR87" s="115">
        <v>2</v>
      </c>
      <c r="AS87" s="115">
        <f t="shared" si="22"/>
        <v>11</v>
      </c>
      <c r="AT87" s="115">
        <f t="shared" si="23"/>
        <v>22</v>
      </c>
      <c r="AU87" s="115"/>
      <c r="AV87" s="115" t="s">
        <v>93</v>
      </c>
      <c r="AW87" s="115">
        <v>38</v>
      </c>
      <c r="AX87" s="115">
        <v>22</v>
      </c>
      <c r="AY87" s="115">
        <v>2</v>
      </c>
      <c r="AZ87" s="125">
        <f t="shared" si="16"/>
        <v>6</v>
      </c>
      <c r="BA87" s="98"/>
      <c r="BB87" s="105"/>
      <c r="BC87" s="105"/>
      <c r="BD87" s="105"/>
      <c r="BE87" s="105">
        <v>4</v>
      </c>
      <c r="BF87" s="105"/>
      <c r="BG87" s="105"/>
      <c r="BH87" s="105" t="str">
        <f t="shared" si="24"/>
        <v>0</v>
      </c>
      <c r="BI87" s="98">
        <f t="shared" si="25"/>
        <v>6</v>
      </c>
      <c r="BJ87" s="105">
        <v>1</v>
      </c>
    </row>
    <row r="88" spans="1:62" ht="21.75" x14ac:dyDescent="0.2">
      <c r="A88" s="138"/>
      <c r="B88" s="126"/>
      <c r="C88" s="141"/>
      <c r="D88" s="124"/>
      <c r="E88" s="129"/>
      <c r="F88" s="105"/>
      <c r="G88" s="105"/>
      <c r="H88" s="105"/>
      <c r="I88" s="102"/>
      <c r="J88" s="130"/>
      <c r="K88" s="131"/>
      <c r="L88" s="126"/>
      <c r="M88" s="136"/>
      <c r="N88" s="137"/>
      <c r="O88" s="105"/>
      <c r="P88" s="133"/>
      <c r="Q88" s="126"/>
      <c r="R88" s="134"/>
      <c r="S88" s="101"/>
      <c r="T88" s="101"/>
      <c r="U88" s="135"/>
      <c r="V88" s="104"/>
      <c r="W88" s="110"/>
      <c r="X88" s="111"/>
      <c r="Y88" s="135"/>
      <c r="Z88" s="105"/>
      <c r="AA88" s="105"/>
      <c r="AB88" s="105"/>
      <c r="AC88" s="113">
        <v>2</v>
      </c>
      <c r="AD88" s="113">
        <v>12</v>
      </c>
      <c r="AE88" s="113">
        <v>6</v>
      </c>
      <c r="AF88" s="113">
        <v>3</v>
      </c>
      <c r="AG88" s="114" t="str">
        <f t="shared" si="17"/>
        <v>0</v>
      </c>
      <c r="AH88" s="115">
        <f t="shared" si="18"/>
        <v>15</v>
      </c>
      <c r="AI88" s="115">
        <f t="shared" si="19"/>
        <v>6</v>
      </c>
      <c r="AJ88" s="115">
        <f t="shared" si="20"/>
        <v>3</v>
      </c>
      <c r="AK88" s="115">
        <f t="shared" si="15"/>
        <v>6</v>
      </c>
      <c r="AL88" s="105"/>
      <c r="AM88" s="105"/>
      <c r="AN88" s="105"/>
      <c r="AO88" s="105">
        <v>8</v>
      </c>
      <c r="AP88" s="115">
        <f t="shared" si="21"/>
        <v>11</v>
      </c>
      <c r="AQ88" s="115">
        <f t="shared" si="14"/>
        <v>22</v>
      </c>
      <c r="AR88" s="115">
        <v>2</v>
      </c>
      <c r="AS88" s="115">
        <f t="shared" si="22"/>
        <v>11</v>
      </c>
      <c r="AT88" s="115">
        <f t="shared" si="23"/>
        <v>22</v>
      </c>
      <c r="AU88" s="115"/>
      <c r="AV88" s="115" t="s">
        <v>93</v>
      </c>
      <c r="AW88" s="115">
        <v>38</v>
      </c>
      <c r="AX88" s="115">
        <v>22</v>
      </c>
      <c r="AY88" s="115">
        <v>2</v>
      </c>
      <c r="AZ88" s="125">
        <f t="shared" si="16"/>
        <v>6</v>
      </c>
      <c r="BA88" s="98"/>
      <c r="BB88" s="105"/>
      <c r="BC88" s="105"/>
      <c r="BD88" s="105"/>
      <c r="BE88" s="105">
        <v>4</v>
      </c>
      <c r="BH88" s="105" t="str">
        <f t="shared" si="24"/>
        <v>0</v>
      </c>
      <c r="BI88" s="98">
        <f t="shared" si="25"/>
        <v>6</v>
      </c>
      <c r="BJ88" s="105">
        <v>1</v>
      </c>
    </row>
    <row r="89" spans="1:62" x14ac:dyDescent="0.2">
      <c r="A89" s="105"/>
      <c r="B89" s="105"/>
      <c r="C89" s="105"/>
      <c r="D89" s="105"/>
      <c r="E89" s="106"/>
      <c r="F89" s="105"/>
      <c r="G89" s="105"/>
      <c r="H89" s="105"/>
      <c r="I89" s="102"/>
      <c r="J89" s="142"/>
      <c r="K89" s="121"/>
      <c r="L89" s="121"/>
      <c r="M89" s="121"/>
      <c r="N89" s="122"/>
      <c r="O89" s="105"/>
      <c r="P89" s="102"/>
      <c r="Q89" s="105"/>
      <c r="R89" s="105"/>
      <c r="S89" s="105"/>
      <c r="T89" s="105"/>
      <c r="U89" s="105"/>
      <c r="V89" s="105"/>
      <c r="W89" s="105"/>
      <c r="X89" s="105"/>
      <c r="Y89" s="105"/>
      <c r="Z89" s="105"/>
      <c r="AA89" s="105"/>
      <c r="AB89" s="105"/>
      <c r="AC89" s="113">
        <v>2</v>
      </c>
      <c r="AD89" s="113">
        <v>12</v>
      </c>
      <c r="AE89" s="113">
        <v>6</v>
      </c>
      <c r="AF89" s="113">
        <v>3</v>
      </c>
      <c r="AG89" s="114" t="str">
        <f t="shared" si="17"/>
        <v>0</v>
      </c>
      <c r="AH89" s="115">
        <f t="shared" si="18"/>
        <v>15</v>
      </c>
      <c r="AI89" s="115">
        <f t="shared" si="19"/>
        <v>6</v>
      </c>
      <c r="AJ89" s="115">
        <f t="shared" si="20"/>
        <v>3</v>
      </c>
      <c r="AK89" s="115">
        <f t="shared" si="15"/>
        <v>6</v>
      </c>
      <c r="AL89" s="105"/>
      <c r="AM89" s="105"/>
      <c r="AN89" s="105"/>
      <c r="AO89" s="105">
        <v>8</v>
      </c>
      <c r="AP89" s="115">
        <f t="shared" si="21"/>
        <v>11</v>
      </c>
      <c r="AQ89" s="115">
        <f t="shared" si="14"/>
        <v>22</v>
      </c>
      <c r="AR89" s="115">
        <v>2</v>
      </c>
      <c r="AS89" s="115">
        <f t="shared" si="22"/>
        <v>11</v>
      </c>
      <c r="AT89" s="115">
        <f t="shared" si="23"/>
        <v>22</v>
      </c>
      <c r="AU89" s="115"/>
      <c r="AV89" s="115" t="s">
        <v>93</v>
      </c>
      <c r="AW89" s="115">
        <v>38</v>
      </c>
      <c r="AX89" s="115">
        <v>22</v>
      </c>
      <c r="AY89" s="115">
        <v>2</v>
      </c>
      <c r="AZ89" s="125">
        <f t="shared" si="16"/>
        <v>6</v>
      </c>
      <c r="BA89" s="98"/>
      <c r="BB89" s="105"/>
      <c r="BC89" s="105"/>
      <c r="BD89" s="105"/>
      <c r="BE89" s="105">
        <v>4</v>
      </c>
      <c r="BH89" s="105" t="str">
        <f t="shared" si="24"/>
        <v>0</v>
      </c>
      <c r="BI89" s="98">
        <f t="shared" si="25"/>
        <v>6</v>
      </c>
      <c r="BJ89" s="105">
        <v>1</v>
      </c>
    </row>
    <row r="90" spans="1:62" x14ac:dyDescent="0.2">
      <c r="A90" s="105"/>
      <c r="B90" s="105"/>
      <c r="C90" s="105"/>
      <c r="D90" s="105"/>
      <c r="E90" s="106"/>
      <c r="F90" s="105"/>
      <c r="G90" s="105"/>
      <c r="H90" s="105"/>
      <c r="I90" s="102"/>
      <c r="J90" s="142"/>
      <c r="K90" s="121"/>
      <c r="L90" s="121"/>
      <c r="M90" s="121"/>
      <c r="N90" s="122"/>
      <c r="O90" s="105"/>
      <c r="P90" s="102"/>
      <c r="Q90" s="105"/>
      <c r="R90" s="105"/>
      <c r="S90" s="105"/>
      <c r="T90" s="105"/>
      <c r="U90" s="105"/>
      <c r="V90" s="105"/>
      <c r="W90" s="105"/>
      <c r="X90" s="105"/>
      <c r="Y90" s="105"/>
      <c r="Z90" s="105"/>
      <c r="AA90" s="105"/>
      <c r="AB90" s="105"/>
      <c r="AC90" s="113">
        <v>2</v>
      </c>
      <c r="AD90" s="113">
        <v>12</v>
      </c>
      <c r="AE90" s="113">
        <v>6</v>
      </c>
      <c r="AF90" s="113">
        <v>3</v>
      </c>
      <c r="AG90" s="114" t="str">
        <f t="shared" si="17"/>
        <v>0</v>
      </c>
      <c r="AH90" s="115">
        <f t="shared" si="18"/>
        <v>15</v>
      </c>
      <c r="AI90" s="115">
        <f t="shared" si="19"/>
        <v>6</v>
      </c>
      <c r="AJ90" s="115">
        <f t="shared" si="20"/>
        <v>3</v>
      </c>
      <c r="AK90" s="115">
        <f t="shared" si="15"/>
        <v>6</v>
      </c>
      <c r="AL90" s="105"/>
      <c r="AM90" s="105"/>
      <c r="AN90" s="105"/>
      <c r="AO90" s="105">
        <v>8</v>
      </c>
      <c r="AP90" s="115">
        <f t="shared" si="21"/>
        <v>11</v>
      </c>
      <c r="AQ90" s="115">
        <f t="shared" si="14"/>
        <v>22</v>
      </c>
      <c r="AR90" s="115">
        <v>2</v>
      </c>
      <c r="AS90" s="115">
        <f t="shared" si="22"/>
        <v>11</v>
      </c>
      <c r="AT90" s="115">
        <f t="shared" si="23"/>
        <v>22</v>
      </c>
      <c r="AU90" s="115"/>
      <c r="AV90" s="115" t="s">
        <v>93</v>
      </c>
      <c r="AW90" s="115">
        <v>38</v>
      </c>
      <c r="AX90" s="115">
        <v>22</v>
      </c>
      <c r="AY90" s="115">
        <v>2</v>
      </c>
      <c r="AZ90" s="125">
        <f t="shared" si="16"/>
        <v>6</v>
      </c>
      <c r="BA90" s="98"/>
      <c r="BB90" s="105"/>
      <c r="BC90" s="105"/>
      <c r="BD90" s="105"/>
      <c r="BE90" s="105">
        <v>4</v>
      </c>
      <c r="BH90" s="105" t="str">
        <f t="shared" si="24"/>
        <v>0</v>
      </c>
      <c r="BI90" s="98">
        <f t="shared" si="25"/>
        <v>6</v>
      </c>
      <c r="BJ90" s="105">
        <v>1</v>
      </c>
    </row>
    <row r="91" spans="1:62" x14ac:dyDescent="0.2">
      <c r="A91" s="105"/>
      <c r="B91" s="105"/>
      <c r="C91" s="105"/>
      <c r="D91" s="105"/>
      <c r="E91" s="106"/>
      <c r="F91" s="105"/>
      <c r="G91" s="105"/>
      <c r="H91" s="105"/>
      <c r="I91" s="102"/>
      <c r="J91" s="142"/>
      <c r="K91" s="121"/>
      <c r="L91" s="121"/>
      <c r="M91" s="121"/>
      <c r="N91" s="122"/>
      <c r="O91" s="105"/>
      <c r="P91" s="102"/>
      <c r="Q91" s="105"/>
      <c r="R91" s="105"/>
      <c r="S91" s="105"/>
      <c r="T91" s="105"/>
      <c r="U91" s="105"/>
      <c r="V91" s="105"/>
      <c r="W91" s="105"/>
      <c r="X91" s="105"/>
      <c r="Y91" s="105"/>
      <c r="Z91" s="105"/>
      <c r="AA91" s="105"/>
      <c r="AB91" s="105"/>
      <c r="AC91" s="113">
        <v>2</v>
      </c>
      <c r="AD91" s="113">
        <v>12</v>
      </c>
      <c r="AE91" s="113">
        <v>6</v>
      </c>
      <c r="AF91" s="113">
        <v>3</v>
      </c>
      <c r="AG91" s="114" t="str">
        <f t="shared" si="17"/>
        <v>0</v>
      </c>
      <c r="AH91" s="115">
        <f t="shared" si="18"/>
        <v>15</v>
      </c>
      <c r="AI91" s="115">
        <f t="shared" si="19"/>
        <v>6</v>
      </c>
      <c r="AJ91" s="115">
        <f t="shared" si="20"/>
        <v>3</v>
      </c>
      <c r="AK91" s="115">
        <f t="shared" si="15"/>
        <v>6</v>
      </c>
      <c r="AL91" s="105"/>
      <c r="AM91" s="105"/>
      <c r="AN91" s="105"/>
      <c r="AO91" s="105">
        <v>8</v>
      </c>
      <c r="AP91" s="115">
        <f t="shared" si="21"/>
        <v>11</v>
      </c>
      <c r="AQ91" s="115">
        <f t="shared" si="14"/>
        <v>22</v>
      </c>
      <c r="AR91" s="115">
        <v>2</v>
      </c>
      <c r="AS91" s="115">
        <f t="shared" si="22"/>
        <v>11</v>
      </c>
      <c r="AT91" s="115">
        <f t="shared" si="23"/>
        <v>22</v>
      </c>
      <c r="AU91" s="115"/>
      <c r="AV91" s="115" t="s">
        <v>93</v>
      </c>
      <c r="AW91" s="115">
        <v>38</v>
      </c>
      <c r="AX91" s="115">
        <v>22</v>
      </c>
      <c r="AY91" s="115">
        <v>2</v>
      </c>
      <c r="AZ91" s="125">
        <f t="shared" si="16"/>
        <v>6</v>
      </c>
      <c r="BA91" s="98"/>
      <c r="BB91" s="105"/>
      <c r="BC91" s="105"/>
      <c r="BD91" s="105"/>
      <c r="BE91" s="105">
        <v>4</v>
      </c>
      <c r="BH91" s="105" t="str">
        <f t="shared" si="24"/>
        <v>0</v>
      </c>
      <c r="BI91" s="98">
        <f t="shared" si="25"/>
        <v>6</v>
      </c>
      <c r="BJ91" s="105">
        <v>1</v>
      </c>
    </row>
    <row r="92" spans="1:62" x14ac:dyDescent="0.2">
      <c r="A92" s="105"/>
      <c r="B92" s="105"/>
      <c r="C92" s="105"/>
      <c r="D92" s="105"/>
      <c r="E92" s="106"/>
      <c r="F92" s="105"/>
      <c r="G92" s="105"/>
      <c r="H92" s="105"/>
      <c r="I92" s="102"/>
      <c r="J92" s="142"/>
      <c r="K92" s="121"/>
      <c r="L92" s="121"/>
      <c r="M92" s="121"/>
      <c r="N92" s="122"/>
      <c r="O92" s="105"/>
      <c r="P92" s="102"/>
      <c r="Q92" s="105"/>
      <c r="R92" s="105"/>
      <c r="S92" s="105"/>
      <c r="T92" s="105"/>
      <c r="U92" s="105"/>
      <c r="V92" s="105"/>
      <c r="W92" s="105"/>
      <c r="X92" s="105"/>
      <c r="Y92" s="105"/>
      <c r="Z92" s="105"/>
      <c r="AA92" s="105"/>
      <c r="AB92" s="105"/>
      <c r="AC92" s="113">
        <v>2</v>
      </c>
      <c r="AD92" s="113">
        <v>12</v>
      </c>
      <c r="AE92" s="113">
        <v>6</v>
      </c>
      <c r="AF92" s="113">
        <v>3</v>
      </c>
      <c r="AG92" s="114" t="str">
        <f t="shared" si="17"/>
        <v>0</v>
      </c>
      <c r="AH92" s="115">
        <f t="shared" si="18"/>
        <v>15</v>
      </c>
      <c r="AI92" s="115">
        <f t="shared" si="19"/>
        <v>6</v>
      </c>
      <c r="AJ92" s="115">
        <f t="shared" si="20"/>
        <v>3</v>
      </c>
      <c r="AK92" s="115">
        <f t="shared" si="15"/>
        <v>6</v>
      </c>
      <c r="AL92" s="105"/>
      <c r="AM92" s="105"/>
      <c r="AN92" s="105"/>
      <c r="AO92" s="105">
        <v>8</v>
      </c>
      <c r="AP92" s="115">
        <f t="shared" si="21"/>
        <v>11</v>
      </c>
      <c r="AQ92" s="115">
        <f t="shared" si="14"/>
        <v>22</v>
      </c>
      <c r="AR92" s="115">
        <v>2</v>
      </c>
      <c r="AS92" s="115">
        <f t="shared" si="22"/>
        <v>11</v>
      </c>
      <c r="AT92" s="115">
        <f t="shared" si="23"/>
        <v>22</v>
      </c>
      <c r="AU92" s="115"/>
      <c r="AV92" s="115" t="s">
        <v>93</v>
      </c>
      <c r="AW92" s="115">
        <v>38</v>
      </c>
      <c r="AX92" s="115">
        <v>22</v>
      </c>
      <c r="AY92" s="115">
        <v>2</v>
      </c>
      <c r="AZ92" s="125">
        <f t="shared" si="16"/>
        <v>6</v>
      </c>
      <c r="BA92" s="98"/>
      <c r="BB92" s="105"/>
      <c r="BC92" s="105"/>
      <c r="BD92" s="105"/>
      <c r="BE92" s="105">
        <v>4</v>
      </c>
      <c r="BH92" s="105" t="str">
        <f t="shared" si="24"/>
        <v>0</v>
      </c>
      <c r="BI92" s="98">
        <f t="shared" si="25"/>
        <v>6</v>
      </c>
      <c r="BJ92" s="105">
        <v>1</v>
      </c>
    </row>
    <row r="93" spans="1:62" x14ac:dyDescent="0.2">
      <c r="A93" s="105"/>
      <c r="B93" s="105"/>
      <c r="C93" s="105"/>
      <c r="D93" s="105"/>
      <c r="E93" s="106"/>
      <c r="F93" s="105"/>
      <c r="G93" s="105"/>
      <c r="H93" s="105"/>
      <c r="I93" s="102"/>
      <c r="J93" s="142"/>
      <c r="K93" s="121"/>
      <c r="L93" s="121"/>
      <c r="M93" s="121"/>
      <c r="N93" s="122"/>
      <c r="O93" s="105"/>
      <c r="P93" s="102"/>
      <c r="Q93" s="105"/>
      <c r="R93" s="105"/>
      <c r="S93" s="105"/>
      <c r="T93" s="105"/>
      <c r="U93" s="105"/>
      <c r="V93" s="105"/>
      <c r="W93" s="105"/>
      <c r="X93" s="105"/>
      <c r="Y93" s="105"/>
      <c r="Z93" s="105"/>
      <c r="AA93" s="105"/>
      <c r="AB93" s="105"/>
      <c r="AC93" s="113">
        <v>2</v>
      </c>
      <c r="AD93" s="113">
        <v>12</v>
      </c>
      <c r="AE93" s="113">
        <v>6</v>
      </c>
      <c r="AF93" s="113">
        <v>3</v>
      </c>
      <c r="AG93" s="114" t="str">
        <f t="shared" si="17"/>
        <v>0</v>
      </c>
      <c r="AH93" s="115">
        <f t="shared" si="18"/>
        <v>15</v>
      </c>
      <c r="AI93" s="115">
        <f t="shared" si="19"/>
        <v>6</v>
      </c>
      <c r="AJ93" s="115">
        <f t="shared" si="20"/>
        <v>3</v>
      </c>
      <c r="AK93" s="115">
        <f t="shared" si="15"/>
        <v>6</v>
      </c>
      <c r="AL93" s="105"/>
      <c r="AM93" s="105"/>
      <c r="AN93" s="105"/>
      <c r="AO93" s="105">
        <v>8</v>
      </c>
      <c r="AP93" s="115">
        <f t="shared" si="21"/>
        <v>11</v>
      </c>
      <c r="AQ93" s="115">
        <f t="shared" si="14"/>
        <v>22</v>
      </c>
      <c r="AR93" s="115">
        <v>2</v>
      </c>
      <c r="AS93" s="115">
        <f t="shared" si="22"/>
        <v>11</v>
      </c>
      <c r="AT93" s="115">
        <f t="shared" si="23"/>
        <v>22</v>
      </c>
      <c r="AU93" s="115"/>
      <c r="AV93" s="115" t="s">
        <v>93</v>
      </c>
      <c r="AW93" s="115">
        <v>38</v>
      </c>
      <c r="AX93" s="115">
        <v>22</v>
      </c>
      <c r="AY93" s="115">
        <v>2</v>
      </c>
      <c r="AZ93" s="125">
        <f t="shared" si="16"/>
        <v>6</v>
      </c>
      <c r="BA93" s="98"/>
      <c r="BB93" s="105"/>
      <c r="BC93" s="105"/>
      <c r="BD93" s="105"/>
      <c r="BE93" s="105">
        <v>4</v>
      </c>
      <c r="BH93" s="105" t="str">
        <f t="shared" si="24"/>
        <v>0</v>
      </c>
      <c r="BI93" s="98">
        <f t="shared" si="25"/>
        <v>6</v>
      </c>
      <c r="BJ93" s="105">
        <v>1</v>
      </c>
    </row>
    <row r="94" spans="1:62" x14ac:dyDescent="0.2">
      <c r="A94" s="105"/>
      <c r="B94" s="105"/>
      <c r="C94" s="105"/>
      <c r="D94" s="105"/>
      <c r="E94" s="106"/>
      <c r="F94" s="105"/>
      <c r="G94" s="105"/>
      <c r="H94" s="105"/>
      <c r="I94" s="102"/>
      <c r="J94" s="142"/>
      <c r="K94" s="121"/>
      <c r="L94" s="121"/>
      <c r="M94" s="121"/>
      <c r="N94" s="122"/>
      <c r="O94" s="105"/>
      <c r="P94" s="102"/>
      <c r="Q94" s="105"/>
      <c r="R94" s="105"/>
      <c r="S94" s="105"/>
      <c r="T94" s="105"/>
      <c r="U94" s="105"/>
      <c r="V94" s="105"/>
      <c r="W94" s="105"/>
      <c r="X94" s="105"/>
      <c r="Y94" s="105"/>
      <c r="Z94" s="105"/>
      <c r="AA94" s="105"/>
      <c r="AB94" s="105"/>
      <c r="AC94" s="113">
        <v>2</v>
      </c>
      <c r="AD94" s="113">
        <v>12</v>
      </c>
      <c r="AE94" s="113">
        <v>6</v>
      </c>
      <c r="AF94" s="113">
        <v>3</v>
      </c>
      <c r="AG94" s="114" t="str">
        <f t="shared" si="17"/>
        <v>0</v>
      </c>
      <c r="AH94" s="115">
        <f t="shared" si="18"/>
        <v>15</v>
      </c>
      <c r="AI94" s="115">
        <f t="shared" si="19"/>
        <v>6</v>
      </c>
      <c r="AJ94" s="115">
        <f t="shared" si="20"/>
        <v>3</v>
      </c>
      <c r="AK94" s="115">
        <f t="shared" si="15"/>
        <v>6</v>
      </c>
      <c r="AL94" s="105"/>
      <c r="AM94" s="105"/>
      <c r="AN94" s="105"/>
      <c r="AO94" s="105">
        <v>8</v>
      </c>
      <c r="AP94" s="115">
        <f t="shared" si="21"/>
        <v>11</v>
      </c>
      <c r="AQ94" s="115">
        <f t="shared" si="14"/>
        <v>22</v>
      </c>
      <c r="AR94" s="115">
        <v>2</v>
      </c>
      <c r="AS94" s="115">
        <f t="shared" si="22"/>
        <v>11</v>
      </c>
      <c r="AT94" s="115">
        <f t="shared" si="23"/>
        <v>22</v>
      </c>
      <c r="AU94" s="115"/>
      <c r="AV94" s="115" t="s">
        <v>93</v>
      </c>
      <c r="AW94" s="115">
        <v>38</v>
      </c>
      <c r="AX94" s="115">
        <v>22</v>
      </c>
      <c r="AY94" s="115">
        <v>2</v>
      </c>
      <c r="AZ94" s="125">
        <f t="shared" si="16"/>
        <v>6</v>
      </c>
      <c r="BA94" s="98"/>
      <c r="BB94" s="105"/>
      <c r="BC94" s="105"/>
      <c r="BD94" s="105"/>
      <c r="BE94" s="105">
        <v>4</v>
      </c>
      <c r="BH94" s="105" t="str">
        <f t="shared" si="24"/>
        <v>0</v>
      </c>
      <c r="BI94" s="98">
        <f t="shared" si="25"/>
        <v>6</v>
      </c>
      <c r="BJ94" s="105">
        <v>1</v>
      </c>
    </row>
    <row r="95" spans="1:62" x14ac:dyDescent="0.2">
      <c r="A95" s="105"/>
      <c r="B95" s="105"/>
      <c r="C95" s="105"/>
      <c r="D95" s="105"/>
      <c r="E95" s="106"/>
      <c r="F95" s="105"/>
      <c r="G95" s="105"/>
      <c r="H95" s="105"/>
      <c r="I95" s="102"/>
      <c r="J95" s="142"/>
      <c r="K95" s="121"/>
      <c r="L95" s="121"/>
      <c r="M95" s="121"/>
      <c r="N95" s="122"/>
      <c r="O95" s="105"/>
      <c r="P95" s="102"/>
      <c r="Q95" s="105"/>
      <c r="R95" s="105"/>
      <c r="S95" s="105"/>
      <c r="T95" s="105"/>
      <c r="U95" s="105"/>
      <c r="V95" s="105"/>
      <c r="W95" s="105"/>
      <c r="X95" s="105"/>
      <c r="Y95" s="105"/>
      <c r="Z95" s="105"/>
      <c r="AA95" s="105"/>
      <c r="AB95" s="105"/>
      <c r="AC95" s="113">
        <v>2</v>
      </c>
      <c r="AD95" s="113">
        <v>12</v>
      </c>
      <c r="AE95" s="113">
        <v>6</v>
      </c>
      <c r="AF95" s="113">
        <v>3</v>
      </c>
      <c r="AG95" s="114" t="str">
        <f t="shared" si="17"/>
        <v>0</v>
      </c>
      <c r="AH95" s="115">
        <f t="shared" si="18"/>
        <v>15</v>
      </c>
      <c r="AI95" s="115">
        <f t="shared" si="19"/>
        <v>6</v>
      </c>
      <c r="AJ95" s="115">
        <f t="shared" si="20"/>
        <v>3</v>
      </c>
      <c r="AK95" s="115">
        <f t="shared" si="15"/>
        <v>6</v>
      </c>
      <c r="AL95" s="105"/>
      <c r="AM95" s="105"/>
      <c r="AN95" s="105"/>
      <c r="AO95" s="105">
        <v>8</v>
      </c>
      <c r="AP95" s="115">
        <f t="shared" si="21"/>
        <v>11</v>
      </c>
      <c r="AQ95" s="115">
        <f t="shared" si="14"/>
        <v>22</v>
      </c>
      <c r="AR95" s="115">
        <v>2</v>
      </c>
      <c r="AS95" s="115">
        <f t="shared" si="22"/>
        <v>11</v>
      </c>
      <c r="AT95" s="115">
        <f t="shared" si="23"/>
        <v>22</v>
      </c>
      <c r="AU95" s="115"/>
      <c r="AV95" s="115" t="s">
        <v>93</v>
      </c>
      <c r="AW95" s="115">
        <v>38</v>
      </c>
      <c r="AX95" s="115">
        <v>22</v>
      </c>
      <c r="AY95" s="115">
        <v>2</v>
      </c>
      <c r="AZ95" s="125">
        <f t="shared" si="16"/>
        <v>6</v>
      </c>
      <c r="BA95" s="98"/>
      <c r="BB95" s="105"/>
      <c r="BC95" s="105"/>
      <c r="BD95" s="105"/>
      <c r="BE95" s="105">
        <v>4</v>
      </c>
      <c r="BH95" s="105" t="str">
        <f t="shared" si="24"/>
        <v>0</v>
      </c>
      <c r="BI95" s="98">
        <f t="shared" si="25"/>
        <v>6</v>
      </c>
      <c r="BJ95" s="105">
        <v>1</v>
      </c>
    </row>
    <row r="96" spans="1:62" x14ac:dyDescent="0.2">
      <c r="A96" s="105"/>
      <c r="B96" s="105"/>
      <c r="C96" s="105"/>
      <c r="D96" s="105"/>
      <c r="E96" s="106"/>
      <c r="F96" s="105"/>
      <c r="G96" s="105"/>
      <c r="H96" s="105"/>
      <c r="I96" s="102"/>
      <c r="J96" s="142"/>
      <c r="K96" s="121"/>
      <c r="L96" s="121"/>
      <c r="M96" s="121"/>
      <c r="N96" s="122"/>
      <c r="O96" s="105"/>
      <c r="P96" s="102"/>
      <c r="Q96" s="105"/>
      <c r="R96" s="105"/>
      <c r="S96" s="105"/>
      <c r="T96" s="105"/>
      <c r="U96" s="105"/>
      <c r="V96" s="105"/>
      <c r="W96" s="105"/>
      <c r="X96" s="105"/>
      <c r="Y96" s="105"/>
      <c r="Z96" s="105"/>
      <c r="AA96" s="105"/>
      <c r="AB96" s="105"/>
      <c r="AC96" s="113">
        <v>2</v>
      </c>
      <c r="AD96" s="113">
        <v>12</v>
      </c>
      <c r="AE96" s="113">
        <v>6</v>
      </c>
      <c r="AF96" s="113">
        <v>3</v>
      </c>
      <c r="AG96" s="114" t="str">
        <f t="shared" si="17"/>
        <v>0</v>
      </c>
      <c r="AH96" s="115">
        <f t="shared" si="18"/>
        <v>15</v>
      </c>
      <c r="AI96" s="115">
        <f t="shared" si="19"/>
        <v>6</v>
      </c>
      <c r="AJ96" s="115">
        <f t="shared" si="20"/>
        <v>3</v>
      </c>
      <c r="AK96" s="115">
        <f t="shared" si="15"/>
        <v>6</v>
      </c>
      <c r="AL96" s="105"/>
      <c r="AM96" s="105"/>
      <c r="AN96" s="105"/>
      <c r="AO96" s="105">
        <v>8</v>
      </c>
      <c r="AP96" s="115">
        <f t="shared" si="21"/>
        <v>11</v>
      </c>
      <c r="AQ96" s="115">
        <f t="shared" si="14"/>
        <v>22</v>
      </c>
      <c r="AR96" s="115">
        <v>2</v>
      </c>
      <c r="AS96" s="115">
        <f t="shared" si="22"/>
        <v>11</v>
      </c>
      <c r="AT96" s="115">
        <f t="shared" si="23"/>
        <v>22</v>
      </c>
      <c r="AU96" s="115"/>
      <c r="AV96" s="115" t="s">
        <v>93</v>
      </c>
      <c r="AW96" s="115">
        <v>38</v>
      </c>
      <c r="AX96" s="115">
        <v>22</v>
      </c>
      <c r="AY96" s="115">
        <v>2</v>
      </c>
      <c r="AZ96" s="125">
        <f t="shared" si="16"/>
        <v>6</v>
      </c>
      <c r="BA96" s="98"/>
      <c r="BB96" s="105"/>
      <c r="BC96" s="105"/>
      <c r="BD96" s="105"/>
      <c r="BE96" s="105">
        <v>4</v>
      </c>
      <c r="BH96" s="105" t="str">
        <f t="shared" si="24"/>
        <v>0</v>
      </c>
      <c r="BI96" s="98">
        <f t="shared" si="25"/>
        <v>6</v>
      </c>
      <c r="BJ96" s="105">
        <v>1</v>
      </c>
    </row>
    <row r="97" spans="1:62" x14ac:dyDescent="0.2">
      <c r="A97" s="105"/>
      <c r="B97" s="105"/>
      <c r="C97" s="105"/>
      <c r="D97" s="105"/>
      <c r="E97" s="106"/>
      <c r="F97" s="105"/>
      <c r="G97" s="105"/>
      <c r="H97" s="105"/>
      <c r="I97" s="102"/>
      <c r="J97" s="142"/>
      <c r="K97" s="121"/>
      <c r="L97" s="121"/>
      <c r="M97" s="121"/>
      <c r="N97" s="122"/>
      <c r="O97" s="105"/>
      <c r="P97" s="102"/>
      <c r="Q97" s="105"/>
      <c r="R97" s="105"/>
      <c r="S97" s="105"/>
      <c r="T97" s="105"/>
      <c r="U97" s="105"/>
      <c r="V97" s="105"/>
      <c r="W97" s="105"/>
      <c r="X97" s="105"/>
      <c r="Y97" s="105"/>
      <c r="Z97" s="105"/>
      <c r="AA97" s="105"/>
      <c r="AB97" s="105"/>
      <c r="AC97" s="113">
        <v>2</v>
      </c>
      <c r="AD97" s="113">
        <v>12</v>
      </c>
      <c r="AE97" s="113">
        <v>6</v>
      </c>
      <c r="AF97" s="113">
        <v>3</v>
      </c>
      <c r="AG97" s="114" t="str">
        <f t="shared" si="17"/>
        <v>0</v>
      </c>
      <c r="AH97" s="115">
        <f t="shared" si="18"/>
        <v>15</v>
      </c>
      <c r="AI97" s="115">
        <f t="shared" si="19"/>
        <v>6</v>
      </c>
      <c r="AJ97" s="115">
        <f t="shared" si="20"/>
        <v>3</v>
      </c>
      <c r="AK97" s="115">
        <f t="shared" si="15"/>
        <v>6</v>
      </c>
      <c r="AL97" s="105"/>
      <c r="AM97" s="105"/>
      <c r="AN97" s="105"/>
      <c r="AO97" s="105">
        <v>8</v>
      </c>
      <c r="AP97" s="115">
        <f t="shared" si="21"/>
        <v>11</v>
      </c>
      <c r="AQ97" s="115">
        <f t="shared" si="14"/>
        <v>22</v>
      </c>
      <c r="AR97" s="115">
        <v>2</v>
      </c>
      <c r="AS97" s="115">
        <f t="shared" si="22"/>
        <v>11</v>
      </c>
      <c r="AT97" s="115">
        <f t="shared" si="23"/>
        <v>22</v>
      </c>
      <c r="AU97" s="115"/>
      <c r="AV97" s="115" t="s">
        <v>93</v>
      </c>
      <c r="AW97" s="115">
        <v>38</v>
      </c>
      <c r="AX97" s="115">
        <v>22</v>
      </c>
      <c r="AY97" s="115">
        <v>2</v>
      </c>
      <c r="AZ97" s="125">
        <f t="shared" si="16"/>
        <v>6</v>
      </c>
      <c r="BA97" s="98"/>
      <c r="BB97" s="105"/>
      <c r="BC97" s="105"/>
      <c r="BD97" s="105"/>
      <c r="BE97" s="105">
        <v>4</v>
      </c>
      <c r="BH97" s="105" t="str">
        <f t="shared" si="24"/>
        <v>0</v>
      </c>
      <c r="BI97" s="98">
        <f t="shared" si="25"/>
        <v>6</v>
      </c>
      <c r="BJ97" s="105">
        <v>1</v>
      </c>
    </row>
    <row r="98" spans="1:62" x14ac:dyDescent="0.2">
      <c r="A98" s="105"/>
      <c r="B98" s="105"/>
      <c r="C98" s="105"/>
      <c r="D98" s="105"/>
      <c r="F98" s="105"/>
      <c r="G98" s="105"/>
      <c r="H98" s="105"/>
      <c r="I98" s="102"/>
      <c r="J98" s="142"/>
      <c r="K98" s="121"/>
      <c r="L98" s="121"/>
      <c r="M98" s="121"/>
      <c r="N98" s="122"/>
      <c r="O98" s="105"/>
      <c r="P98" s="102"/>
      <c r="Q98" s="105"/>
      <c r="R98" s="105"/>
      <c r="S98" s="105"/>
      <c r="T98" s="105"/>
      <c r="U98" s="105"/>
      <c r="V98" s="105"/>
      <c r="W98" s="105"/>
      <c r="X98" s="105"/>
      <c r="Y98" s="105"/>
      <c r="Z98" s="105"/>
      <c r="AA98" s="105"/>
      <c r="AB98" s="105"/>
      <c r="AC98" s="113">
        <v>2</v>
      </c>
      <c r="AD98" s="113">
        <v>12</v>
      </c>
      <c r="AE98" s="113">
        <v>6</v>
      </c>
      <c r="AF98" s="113">
        <v>3</v>
      </c>
      <c r="AG98" s="114" t="str">
        <f t="shared" si="17"/>
        <v>0</v>
      </c>
      <c r="AH98" s="115">
        <f t="shared" si="18"/>
        <v>15</v>
      </c>
      <c r="AI98" s="115">
        <f t="shared" si="19"/>
        <v>6</v>
      </c>
      <c r="AJ98" s="115">
        <f t="shared" si="20"/>
        <v>3</v>
      </c>
      <c r="AK98" s="115">
        <f t="shared" si="15"/>
        <v>6</v>
      </c>
      <c r="AL98" s="105"/>
      <c r="AM98" s="105"/>
      <c r="AN98" s="105"/>
      <c r="AO98" s="105">
        <v>8</v>
      </c>
      <c r="AP98" s="115">
        <f t="shared" si="21"/>
        <v>11</v>
      </c>
      <c r="AQ98" s="115">
        <f t="shared" si="14"/>
        <v>22</v>
      </c>
      <c r="AR98" s="115">
        <v>2</v>
      </c>
      <c r="AS98" s="115">
        <f t="shared" si="22"/>
        <v>11</v>
      </c>
      <c r="AT98" s="115">
        <f t="shared" si="23"/>
        <v>22</v>
      </c>
      <c r="AU98" s="115"/>
      <c r="AV98" s="115" t="s">
        <v>93</v>
      </c>
      <c r="AW98" s="115">
        <v>38</v>
      </c>
      <c r="AX98" s="115">
        <v>22</v>
      </c>
      <c r="AY98" s="115">
        <v>2</v>
      </c>
      <c r="AZ98" s="125">
        <f t="shared" si="16"/>
        <v>6</v>
      </c>
      <c r="BA98" s="98"/>
      <c r="BB98" s="105"/>
      <c r="BC98" s="105"/>
      <c r="BD98" s="105"/>
      <c r="BE98" s="105">
        <v>4</v>
      </c>
      <c r="BH98" s="105" t="str">
        <f t="shared" si="24"/>
        <v>0</v>
      </c>
      <c r="BI98" s="98">
        <f t="shared" si="25"/>
        <v>6</v>
      </c>
      <c r="BJ98" s="105">
        <v>1</v>
      </c>
    </row>
    <row r="99" spans="1:62" x14ac:dyDescent="0.2">
      <c r="F99" s="105"/>
      <c r="G99" s="105"/>
      <c r="H99" s="105"/>
      <c r="I99" s="102"/>
      <c r="J99" s="143"/>
      <c r="L99" s="143"/>
      <c r="M99" s="143"/>
      <c r="N99" s="143"/>
      <c r="O99" s="105"/>
      <c r="AC99" s="113">
        <v>2</v>
      </c>
      <c r="AD99" s="113">
        <v>12</v>
      </c>
      <c r="AE99" s="113">
        <v>6</v>
      </c>
      <c r="AF99" s="113">
        <v>3</v>
      </c>
      <c r="AG99" s="114" t="str">
        <f t="shared" si="17"/>
        <v>0</v>
      </c>
      <c r="AH99" s="105">
        <f t="shared" si="18"/>
        <v>15</v>
      </c>
      <c r="AJ99" s="105">
        <f t="shared" si="20"/>
        <v>3</v>
      </c>
      <c r="AO99" s="105">
        <v>8</v>
      </c>
      <c r="AP99" s="105">
        <f t="shared" si="21"/>
        <v>11</v>
      </c>
      <c r="AQ99" s="105">
        <f t="shared" si="14"/>
        <v>22</v>
      </c>
      <c r="AR99" s="105">
        <v>2</v>
      </c>
      <c r="AS99" s="105">
        <f t="shared" si="22"/>
        <v>11</v>
      </c>
      <c r="AT99" s="105">
        <f t="shared" si="23"/>
        <v>22</v>
      </c>
      <c r="AV99" s="105" t="s">
        <v>93</v>
      </c>
      <c r="AW99" s="105">
        <v>38</v>
      </c>
      <c r="AX99" s="105">
        <v>22</v>
      </c>
      <c r="AY99" s="105">
        <v>2</v>
      </c>
      <c r="AZ99" s="106">
        <f t="shared" si="16"/>
        <v>0</v>
      </c>
      <c r="BA99" s="98"/>
      <c r="BB99" s="105"/>
      <c r="BC99" s="105"/>
      <c r="BD99" s="105"/>
      <c r="BE99" s="105">
        <v>4</v>
      </c>
      <c r="BH99" s="105" t="str">
        <f t="shared" si="24"/>
        <v>0</v>
      </c>
      <c r="BI99" s="98" t="str">
        <f t="shared" si="25"/>
        <v>0</v>
      </c>
      <c r="BJ99" s="105">
        <v>1</v>
      </c>
    </row>
    <row r="100" spans="1:62" x14ac:dyDescent="0.2">
      <c r="F100" s="105"/>
      <c r="G100" s="105"/>
      <c r="H100" s="105"/>
      <c r="I100" s="102"/>
      <c r="O100" s="105"/>
      <c r="AC100" s="113">
        <v>2</v>
      </c>
      <c r="AD100" s="113">
        <v>12</v>
      </c>
      <c r="AE100" s="113">
        <v>6</v>
      </c>
      <c r="AF100" s="113">
        <v>3</v>
      </c>
      <c r="AG100" s="114" t="str">
        <f t="shared" si="17"/>
        <v>0</v>
      </c>
      <c r="AH100" s="105">
        <f t="shared" si="18"/>
        <v>15</v>
      </c>
      <c r="AJ100" s="105">
        <f t="shared" si="20"/>
        <v>3</v>
      </c>
      <c r="AO100" s="105">
        <v>8</v>
      </c>
      <c r="AP100" s="105">
        <f t="shared" si="21"/>
        <v>11</v>
      </c>
      <c r="AQ100" s="105">
        <f t="shared" si="14"/>
        <v>22</v>
      </c>
      <c r="AR100" s="105">
        <v>2</v>
      </c>
      <c r="AS100" s="105">
        <f t="shared" si="22"/>
        <v>11</v>
      </c>
      <c r="AT100" s="105">
        <f t="shared" si="23"/>
        <v>22</v>
      </c>
      <c r="AV100" s="105" t="s">
        <v>93</v>
      </c>
      <c r="AW100" s="105">
        <v>38</v>
      </c>
      <c r="AX100" s="105">
        <v>22</v>
      </c>
      <c r="AY100" s="105">
        <v>2</v>
      </c>
      <c r="AZ100" s="106">
        <f t="shared" si="16"/>
        <v>0</v>
      </c>
      <c r="BA100" s="98"/>
      <c r="BB100" s="105"/>
      <c r="BC100" s="105"/>
      <c r="BD100" s="105"/>
      <c r="BE100" s="105">
        <v>4</v>
      </c>
      <c r="BH100" s="105" t="str">
        <f t="shared" si="24"/>
        <v>0</v>
      </c>
      <c r="BI100" s="98" t="str">
        <f t="shared" si="25"/>
        <v>0</v>
      </c>
      <c r="BJ100" s="105">
        <v>1</v>
      </c>
    </row>
    <row r="101" spans="1:62" x14ac:dyDescent="0.2">
      <c r="F101" s="105"/>
      <c r="G101" s="105"/>
      <c r="H101" s="105"/>
      <c r="I101" s="102"/>
      <c r="O101" s="105"/>
      <c r="AG101" s="105" t="str">
        <f t="shared" ref="AG101:AG157" si="26">IFERROR(IF(SEARCH("Double",H101:H186),"3"),"0")</f>
        <v>0</v>
      </c>
      <c r="AH101" s="105">
        <f t="shared" si="18"/>
        <v>0</v>
      </c>
      <c r="AJ101" s="105">
        <f t="shared" si="20"/>
        <v>0</v>
      </c>
      <c r="AP101" s="105">
        <f t="shared" si="21"/>
        <v>0</v>
      </c>
      <c r="AS101" s="105">
        <f t="shared" ref="AS101:AS164" si="27">SUM(AP101-AA101)</f>
        <v>0</v>
      </c>
      <c r="AT101" s="105">
        <f t="shared" si="23"/>
        <v>0</v>
      </c>
      <c r="AV101" s="105" t="s">
        <v>93</v>
      </c>
      <c r="AW101" s="105">
        <v>38</v>
      </c>
      <c r="AX101" s="105">
        <v>22</v>
      </c>
      <c r="AY101" s="105">
        <v>2</v>
      </c>
      <c r="AZ101" s="106">
        <f t="shared" si="16"/>
        <v>0</v>
      </c>
      <c r="BA101" s="98"/>
      <c r="BB101" s="105"/>
      <c r="BC101" s="105"/>
      <c r="BD101" s="105"/>
      <c r="BE101" s="105">
        <v>4</v>
      </c>
      <c r="BH101" s="105" t="str">
        <f t="shared" si="24"/>
        <v>0</v>
      </c>
      <c r="BI101" s="98" t="str">
        <f t="shared" si="25"/>
        <v>0</v>
      </c>
      <c r="BJ101" s="105">
        <v>1</v>
      </c>
    </row>
    <row r="102" spans="1:62" x14ac:dyDescent="0.2">
      <c r="F102" s="105"/>
      <c r="G102" s="105"/>
      <c r="H102" s="105"/>
      <c r="I102" s="102"/>
      <c r="O102" s="105"/>
      <c r="AG102" s="105" t="str">
        <f t="shared" si="26"/>
        <v>0</v>
      </c>
      <c r="AH102" s="105">
        <f t="shared" si="18"/>
        <v>0</v>
      </c>
      <c r="AJ102" s="105">
        <f t="shared" si="20"/>
        <v>0</v>
      </c>
      <c r="AP102" s="105">
        <f t="shared" si="21"/>
        <v>0</v>
      </c>
      <c r="AS102" s="105">
        <f t="shared" si="27"/>
        <v>0</v>
      </c>
      <c r="AT102" s="105">
        <f t="shared" si="23"/>
        <v>0</v>
      </c>
      <c r="AV102" s="105" t="s">
        <v>93</v>
      </c>
      <c r="AW102" s="105">
        <v>38</v>
      </c>
      <c r="AX102" s="105">
        <v>22</v>
      </c>
      <c r="AY102" s="105">
        <v>2</v>
      </c>
      <c r="AZ102" s="106">
        <f t="shared" si="16"/>
        <v>0</v>
      </c>
      <c r="BA102" s="98"/>
      <c r="BB102" s="105"/>
      <c r="BC102" s="105"/>
      <c r="BD102" s="105"/>
      <c r="BE102" s="105">
        <v>4</v>
      </c>
      <c r="BH102" s="105" t="str">
        <f t="shared" si="24"/>
        <v>0</v>
      </c>
      <c r="BI102" s="98" t="str">
        <f t="shared" si="25"/>
        <v>0</v>
      </c>
      <c r="BJ102" s="105">
        <v>1</v>
      </c>
    </row>
    <row r="103" spans="1:62" x14ac:dyDescent="0.2">
      <c r="F103" s="105"/>
      <c r="G103" s="105"/>
      <c r="H103" s="105"/>
      <c r="I103" s="102"/>
      <c r="O103" s="105"/>
      <c r="AG103" s="105" t="str">
        <f t="shared" si="26"/>
        <v>0</v>
      </c>
      <c r="AH103" s="105">
        <f t="shared" si="18"/>
        <v>0</v>
      </c>
      <c r="AJ103" s="105">
        <f t="shared" si="20"/>
        <v>0</v>
      </c>
      <c r="AP103" s="105">
        <f t="shared" si="21"/>
        <v>0</v>
      </c>
      <c r="AS103" s="105">
        <f t="shared" si="27"/>
        <v>0</v>
      </c>
      <c r="AT103" s="105">
        <f t="shared" si="23"/>
        <v>0</v>
      </c>
      <c r="AV103" s="105" t="s">
        <v>93</v>
      </c>
      <c r="AW103" s="105">
        <v>38</v>
      </c>
      <c r="AX103" s="105">
        <v>22</v>
      </c>
      <c r="AY103" s="105">
        <v>2</v>
      </c>
      <c r="AZ103" s="106">
        <f t="shared" si="16"/>
        <v>0</v>
      </c>
      <c r="BA103" s="98"/>
      <c r="BB103" s="105"/>
      <c r="BC103" s="105"/>
      <c r="BD103" s="105"/>
      <c r="BE103" s="105">
        <v>4</v>
      </c>
      <c r="BH103" s="105" t="str">
        <f t="shared" si="24"/>
        <v>0</v>
      </c>
      <c r="BI103" s="98" t="str">
        <f t="shared" si="25"/>
        <v>0</v>
      </c>
      <c r="BJ103" s="105">
        <v>1</v>
      </c>
    </row>
    <row r="104" spans="1:62" x14ac:dyDescent="0.2">
      <c r="F104" s="105"/>
      <c r="G104" s="105"/>
      <c r="H104" s="105"/>
      <c r="O104" s="105"/>
      <c r="AG104" s="105" t="str">
        <f t="shared" si="26"/>
        <v>0</v>
      </c>
      <c r="AH104" s="105">
        <f t="shared" si="18"/>
        <v>0</v>
      </c>
      <c r="AJ104" s="105">
        <f t="shared" si="20"/>
        <v>0</v>
      </c>
      <c r="AP104" s="105">
        <f t="shared" si="21"/>
        <v>0</v>
      </c>
      <c r="AS104" s="105">
        <f t="shared" si="27"/>
        <v>0</v>
      </c>
      <c r="AT104" s="105">
        <f t="shared" si="23"/>
        <v>0</v>
      </c>
      <c r="AV104" s="105" t="s">
        <v>93</v>
      </c>
      <c r="AW104" s="105">
        <v>38</v>
      </c>
      <c r="AX104" s="105">
        <v>22</v>
      </c>
      <c r="AY104" s="105">
        <v>2</v>
      </c>
      <c r="AZ104" s="106">
        <f t="shared" si="16"/>
        <v>0</v>
      </c>
      <c r="BA104" s="70"/>
      <c r="BE104" s="105">
        <v>4</v>
      </c>
      <c r="BH104" s="105" t="str">
        <f t="shared" si="24"/>
        <v>0</v>
      </c>
      <c r="BI104" s="98" t="str">
        <f t="shared" si="25"/>
        <v>0</v>
      </c>
      <c r="BJ104" s="105">
        <v>1</v>
      </c>
    </row>
    <row r="105" spans="1:62" x14ac:dyDescent="0.2">
      <c r="F105" s="105"/>
      <c r="G105" s="105"/>
      <c r="H105" s="105"/>
      <c r="O105" s="105"/>
      <c r="AG105" s="105" t="str">
        <f t="shared" si="26"/>
        <v>0</v>
      </c>
      <c r="AH105" s="105">
        <f t="shared" si="18"/>
        <v>0</v>
      </c>
      <c r="AJ105" s="105">
        <f t="shared" si="20"/>
        <v>0</v>
      </c>
      <c r="AP105" s="105">
        <f t="shared" si="21"/>
        <v>0</v>
      </c>
      <c r="AS105" s="105">
        <f t="shared" si="27"/>
        <v>0</v>
      </c>
      <c r="AT105" s="105">
        <f t="shared" si="23"/>
        <v>0</v>
      </c>
      <c r="AV105" s="105" t="s">
        <v>93</v>
      </c>
      <c r="AW105" s="105">
        <v>38</v>
      </c>
      <c r="AX105" s="105">
        <v>22</v>
      </c>
      <c r="AY105" s="105">
        <v>2</v>
      </c>
      <c r="AZ105" s="106">
        <f t="shared" si="16"/>
        <v>0</v>
      </c>
      <c r="BA105" s="70"/>
      <c r="BE105" s="105">
        <v>4</v>
      </c>
      <c r="BH105" s="105" t="str">
        <f t="shared" si="24"/>
        <v>0</v>
      </c>
      <c r="BI105" s="98" t="str">
        <f t="shared" si="25"/>
        <v>0</v>
      </c>
      <c r="BJ105" s="105">
        <v>1</v>
      </c>
    </row>
    <row r="106" spans="1:62" x14ac:dyDescent="0.2">
      <c r="F106" s="105"/>
      <c r="G106" s="105"/>
      <c r="H106" s="105"/>
      <c r="O106" s="105"/>
      <c r="AG106" s="105" t="str">
        <f t="shared" si="26"/>
        <v>0</v>
      </c>
      <c r="AH106" s="105">
        <f t="shared" si="18"/>
        <v>0</v>
      </c>
      <c r="AJ106" s="105">
        <f t="shared" si="20"/>
        <v>0</v>
      </c>
      <c r="AP106" s="105">
        <f t="shared" si="21"/>
        <v>0</v>
      </c>
      <c r="AS106" s="105">
        <f t="shared" si="27"/>
        <v>0</v>
      </c>
      <c r="AT106" s="105">
        <f t="shared" si="23"/>
        <v>0</v>
      </c>
      <c r="AV106" s="105" t="s">
        <v>93</v>
      </c>
      <c r="AW106" s="105">
        <v>38</v>
      </c>
      <c r="AX106" s="105">
        <v>22</v>
      </c>
      <c r="AY106" s="105">
        <v>2</v>
      </c>
      <c r="AZ106" s="106">
        <f t="shared" si="16"/>
        <v>0</v>
      </c>
      <c r="BA106" s="70"/>
      <c r="BE106" s="105">
        <v>4</v>
      </c>
      <c r="BH106" s="105" t="str">
        <f t="shared" si="24"/>
        <v>0</v>
      </c>
      <c r="BI106" s="98" t="str">
        <f t="shared" si="25"/>
        <v>0</v>
      </c>
      <c r="BJ106" s="105">
        <v>1</v>
      </c>
    </row>
    <row r="107" spans="1:62" x14ac:dyDescent="0.2">
      <c r="F107" s="105"/>
      <c r="G107" s="105"/>
      <c r="H107" s="105"/>
      <c r="O107" s="105"/>
      <c r="AG107" s="105" t="str">
        <f t="shared" si="26"/>
        <v>0</v>
      </c>
      <c r="AH107" s="105">
        <f t="shared" ref="AH107:AH170" si="28">SUM(K107+AB107+AD107+AF107)</f>
        <v>0</v>
      </c>
      <c r="AJ107" s="105">
        <f t="shared" ref="AJ107:AJ157" si="29">SUM(AH107-Z107-AD107)</f>
        <v>0</v>
      </c>
      <c r="AP107" s="105">
        <f t="shared" ref="AP107:AP134" si="30">SUM(K107+AB107+AF107+AO107-BD107)</f>
        <v>0</v>
      </c>
      <c r="AS107" s="105">
        <f t="shared" si="27"/>
        <v>0</v>
      </c>
      <c r="AT107" s="105">
        <f t="shared" si="23"/>
        <v>0</v>
      </c>
      <c r="AV107" s="105" t="s">
        <v>93</v>
      </c>
      <c r="AW107" s="105">
        <v>38</v>
      </c>
      <c r="AX107" s="105">
        <v>22</v>
      </c>
      <c r="AY107" s="105">
        <v>2</v>
      </c>
      <c r="AZ107" s="106">
        <f t="shared" si="16"/>
        <v>0</v>
      </c>
      <c r="BA107" s="70"/>
      <c r="BE107" s="105">
        <v>4</v>
      </c>
      <c r="BH107" s="105" t="str">
        <f t="shared" si="24"/>
        <v>0</v>
      </c>
      <c r="BI107" s="98" t="str">
        <f t="shared" si="25"/>
        <v>0</v>
      </c>
      <c r="BJ107" s="105">
        <v>1</v>
      </c>
    </row>
    <row r="108" spans="1:62" x14ac:dyDescent="0.2">
      <c r="F108" s="105"/>
      <c r="G108" s="105"/>
      <c r="H108" s="105"/>
      <c r="O108" s="105"/>
      <c r="AG108" s="105" t="str">
        <f t="shared" si="26"/>
        <v>0</v>
      </c>
      <c r="AH108" s="105">
        <f t="shared" si="28"/>
        <v>0</v>
      </c>
      <c r="AJ108" s="105">
        <f t="shared" si="29"/>
        <v>0</v>
      </c>
      <c r="AP108" s="105">
        <f t="shared" si="30"/>
        <v>0</v>
      </c>
      <c r="AS108" s="105">
        <f t="shared" si="27"/>
        <v>0</v>
      </c>
      <c r="AT108" s="105">
        <f t="shared" si="23"/>
        <v>0</v>
      </c>
      <c r="AV108" s="105" t="s">
        <v>93</v>
      </c>
      <c r="AW108" s="105">
        <v>38</v>
      </c>
      <c r="AX108" s="105">
        <v>22</v>
      </c>
      <c r="AY108" s="105">
        <v>2</v>
      </c>
      <c r="AZ108" s="106">
        <f t="shared" si="16"/>
        <v>0</v>
      </c>
      <c r="BA108" s="70"/>
      <c r="BE108" s="105">
        <v>4</v>
      </c>
      <c r="BH108" s="105" t="str">
        <f t="shared" si="24"/>
        <v>0</v>
      </c>
      <c r="BI108" s="98" t="str">
        <f t="shared" si="25"/>
        <v>0</v>
      </c>
      <c r="BJ108" s="105">
        <v>1</v>
      </c>
    </row>
    <row r="109" spans="1:62" x14ac:dyDescent="0.2">
      <c r="O109" s="105"/>
      <c r="AG109" s="105" t="str">
        <f t="shared" si="26"/>
        <v>0</v>
      </c>
      <c r="AH109" s="105">
        <f t="shared" si="28"/>
        <v>0</v>
      </c>
      <c r="AJ109" s="105">
        <f t="shared" si="29"/>
        <v>0</v>
      </c>
      <c r="AP109" s="105">
        <f t="shared" si="30"/>
        <v>0</v>
      </c>
      <c r="AS109" s="105">
        <f t="shared" si="27"/>
        <v>0</v>
      </c>
      <c r="AT109" s="105">
        <f t="shared" si="23"/>
        <v>0</v>
      </c>
      <c r="AV109" s="105" t="s">
        <v>93</v>
      </c>
      <c r="AW109" s="105">
        <v>38</v>
      </c>
      <c r="AX109" s="105">
        <v>22</v>
      </c>
      <c r="AY109" s="105">
        <v>2</v>
      </c>
      <c r="AZ109" s="106">
        <f t="shared" si="16"/>
        <v>0</v>
      </c>
      <c r="BA109" s="70"/>
      <c r="BE109" s="105">
        <v>4</v>
      </c>
      <c r="BJ109" s="105">
        <v>1</v>
      </c>
    </row>
    <row r="110" spans="1:62" x14ac:dyDescent="0.2">
      <c r="O110" s="105"/>
      <c r="AG110" s="105" t="str">
        <f t="shared" si="26"/>
        <v>0</v>
      </c>
      <c r="AH110" s="105">
        <f t="shared" si="28"/>
        <v>0</v>
      </c>
      <c r="AJ110" s="105">
        <f t="shared" si="29"/>
        <v>0</v>
      </c>
      <c r="AP110" s="105">
        <f t="shared" si="30"/>
        <v>0</v>
      </c>
      <c r="AS110" s="105">
        <f t="shared" si="27"/>
        <v>0</v>
      </c>
      <c r="AT110" s="105">
        <f t="shared" si="23"/>
        <v>0</v>
      </c>
      <c r="AV110" s="105" t="s">
        <v>93</v>
      </c>
      <c r="AW110" s="105">
        <v>38</v>
      </c>
      <c r="AX110" s="105">
        <v>22</v>
      </c>
      <c r="AY110" s="105">
        <v>2</v>
      </c>
      <c r="AZ110" s="106">
        <f t="shared" si="16"/>
        <v>0</v>
      </c>
      <c r="BA110" s="70"/>
      <c r="BE110" s="105">
        <v>4</v>
      </c>
      <c r="BJ110" s="105">
        <v>1</v>
      </c>
    </row>
    <row r="111" spans="1:62" x14ac:dyDescent="0.2">
      <c r="O111" s="105"/>
      <c r="AG111" s="105" t="str">
        <f t="shared" si="26"/>
        <v>0</v>
      </c>
      <c r="AH111" s="105">
        <f t="shared" si="28"/>
        <v>0</v>
      </c>
      <c r="AJ111" s="105">
        <f t="shared" si="29"/>
        <v>0</v>
      </c>
      <c r="AP111" s="105">
        <f t="shared" si="30"/>
        <v>0</v>
      </c>
      <c r="AS111" s="105">
        <f t="shared" si="27"/>
        <v>0</v>
      </c>
      <c r="AT111" s="105">
        <f t="shared" si="23"/>
        <v>0</v>
      </c>
      <c r="AV111" s="105" t="s">
        <v>93</v>
      </c>
      <c r="AW111" s="105">
        <v>38</v>
      </c>
      <c r="AX111" s="105">
        <v>22</v>
      </c>
      <c r="AY111" s="105">
        <v>2</v>
      </c>
      <c r="AZ111" s="106">
        <f t="shared" si="16"/>
        <v>0</v>
      </c>
      <c r="BA111" s="70"/>
      <c r="BE111" s="105">
        <v>4</v>
      </c>
      <c r="BJ111" s="105">
        <v>1</v>
      </c>
    </row>
    <row r="112" spans="1:62" x14ac:dyDescent="0.2">
      <c r="O112" s="105"/>
      <c r="AG112" s="105" t="str">
        <f t="shared" si="26"/>
        <v>0</v>
      </c>
      <c r="AH112" s="105">
        <f t="shared" si="28"/>
        <v>0</v>
      </c>
      <c r="AJ112" s="105">
        <f t="shared" si="29"/>
        <v>0</v>
      </c>
      <c r="AP112" s="105">
        <f t="shared" si="30"/>
        <v>0</v>
      </c>
      <c r="AS112" s="105">
        <f t="shared" si="27"/>
        <v>0</v>
      </c>
      <c r="AT112" s="105">
        <f t="shared" si="23"/>
        <v>0</v>
      </c>
      <c r="AV112" s="105" t="s">
        <v>93</v>
      </c>
      <c r="AW112" s="105">
        <v>38</v>
      </c>
      <c r="AX112" s="105">
        <v>22</v>
      </c>
      <c r="AY112" s="105">
        <v>2</v>
      </c>
      <c r="AZ112" s="106">
        <f t="shared" si="16"/>
        <v>0</v>
      </c>
      <c r="BA112" s="70"/>
      <c r="BE112" s="105">
        <v>4</v>
      </c>
      <c r="BJ112" s="105">
        <v>1</v>
      </c>
    </row>
    <row r="113" spans="15:62" x14ac:dyDescent="0.2">
      <c r="O113" s="105"/>
      <c r="AG113" s="105" t="str">
        <f t="shared" si="26"/>
        <v>0</v>
      </c>
      <c r="AH113" s="105">
        <f t="shared" si="28"/>
        <v>0</v>
      </c>
      <c r="AJ113" s="105">
        <f t="shared" si="29"/>
        <v>0</v>
      </c>
      <c r="AP113" s="105">
        <f t="shared" si="30"/>
        <v>0</v>
      </c>
      <c r="AS113" s="105">
        <f t="shared" si="27"/>
        <v>0</v>
      </c>
      <c r="AT113" s="105">
        <f t="shared" si="23"/>
        <v>0</v>
      </c>
      <c r="AV113" s="105" t="s">
        <v>93</v>
      </c>
      <c r="AW113" s="105">
        <v>38</v>
      </c>
      <c r="AX113" s="105">
        <v>22</v>
      </c>
      <c r="AY113" s="105">
        <v>2</v>
      </c>
      <c r="AZ113" s="106">
        <f t="shared" si="16"/>
        <v>0</v>
      </c>
      <c r="BE113" s="105">
        <v>4</v>
      </c>
      <c r="BJ113" s="105">
        <v>1</v>
      </c>
    </row>
    <row r="114" spans="15:62" x14ac:dyDescent="0.2">
      <c r="O114" s="105"/>
      <c r="AG114" s="105" t="str">
        <f t="shared" si="26"/>
        <v>0</v>
      </c>
      <c r="AH114" s="105">
        <f t="shared" si="28"/>
        <v>0</v>
      </c>
      <c r="AJ114" s="105">
        <f t="shared" si="29"/>
        <v>0</v>
      </c>
      <c r="AP114" s="105">
        <f t="shared" si="30"/>
        <v>0</v>
      </c>
      <c r="AS114" s="105">
        <f t="shared" si="27"/>
        <v>0</v>
      </c>
      <c r="AT114" s="105">
        <f t="shared" si="23"/>
        <v>0</v>
      </c>
      <c r="AV114" s="105" t="s">
        <v>93</v>
      </c>
      <c r="AW114" s="105">
        <v>38</v>
      </c>
      <c r="AX114" s="105">
        <v>22</v>
      </c>
      <c r="AY114" s="105">
        <v>2</v>
      </c>
      <c r="AZ114" s="106">
        <f t="shared" si="16"/>
        <v>0</v>
      </c>
      <c r="BE114" s="105">
        <v>4</v>
      </c>
      <c r="BJ114" s="105">
        <v>1</v>
      </c>
    </row>
    <row r="115" spans="15:62" x14ac:dyDescent="0.2">
      <c r="O115" s="105"/>
      <c r="AG115" s="105" t="str">
        <f t="shared" si="26"/>
        <v>0</v>
      </c>
      <c r="AH115" s="105">
        <f t="shared" si="28"/>
        <v>0</v>
      </c>
      <c r="AJ115" s="105">
        <f t="shared" si="29"/>
        <v>0</v>
      </c>
      <c r="AP115" s="105">
        <f t="shared" si="30"/>
        <v>0</v>
      </c>
      <c r="AS115" s="105">
        <f t="shared" si="27"/>
        <v>0</v>
      </c>
      <c r="AT115" s="105">
        <f t="shared" si="23"/>
        <v>0</v>
      </c>
      <c r="AV115" s="105" t="s">
        <v>93</v>
      </c>
      <c r="AW115" s="105">
        <v>38</v>
      </c>
      <c r="AX115" s="105">
        <v>22</v>
      </c>
      <c r="AY115" s="105">
        <v>2</v>
      </c>
      <c r="AZ115" s="106">
        <f t="shared" si="16"/>
        <v>0</v>
      </c>
      <c r="BE115" s="105">
        <v>4</v>
      </c>
      <c r="BJ115" s="105">
        <v>1</v>
      </c>
    </row>
    <row r="116" spans="15:62" x14ac:dyDescent="0.2">
      <c r="O116" s="105"/>
      <c r="AG116" s="105" t="str">
        <f t="shared" si="26"/>
        <v>0</v>
      </c>
      <c r="AH116" s="105">
        <f t="shared" si="28"/>
        <v>0</v>
      </c>
      <c r="AJ116" s="105">
        <f t="shared" si="29"/>
        <v>0</v>
      </c>
      <c r="AP116" s="105">
        <f t="shared" si="30"/>
        <v>0</v>
      </c>
      <c r="AS116" s="105">
        <f t="shared" si="27"/>
        <v>0</v>
      </c>
      <c r="AT116" s="105">
        <f t="shared" si="23"/>
        <v>0</v>
      </c>
      <c r="AV116" s="105" t="s">
        <v>93</v>
      </c>
      <c r="AW116" s="105">
        <v>38</v>
      </c>
      <c r="AX116" s="105">
        <v>22</v>
      </c>
      <c r="AY116" s="105">
        <v>2</v>
      </c>
      <c r="AZ116" s="106">
        <f t="shared" si="16"/>
        <v>0</v>
      </c>
      <c r="BE116" s="105">
        <v>4</v>
      </c>
      <c r="BJ116" s="105">
        <v>1</v>
      </c>
    </row>
    <row r="117" spans="15:62" x14ac:dyDescent="0.2">
      <c r="O117" s="105"/>
      <c r="AG117" s="105" t="str">
        <f t="shared" si="26"/>
        <v>0</v>
      </c>
      <c r="AH117" s="105">
        <f t="shared" si="28"/>
        <v>0</v>
      </c>
      <c r="AJ117" s="105">
        <f t="shared" si="29"/>
        <v>0</v>
      </c>
      <c r="AP117" s="105">
        <f t="shared" si="30"/>
        <v>0</v>
      </c>
      <c r="AS117" s="105">
        <f t="shared" si="27"/>
        <v>0</v>
      </c>
      <c r="AT117" s="105">
        <f t="shared" si="23"/>
        <v>0</v>
      </c>
      <c r="AV117" s="105" t="s">
        <v>93</v>
      </c>
      <c r="AW117" s="105">
        <v>38</v>
      </c>
      <c r="AX117" s="105">
        <v>22</v>
      </c>
      <c r="AY117" s="105">
        <v>2</v>
      </c>
      <c r="AZ117" s="106">
        <f t="shared" si="16"/>
        <v>0</v>
      </c>
      <c r="BE117" s="105">
        <v>4</v>
      </c>
      <c r="BJ117" s="105">
        <v>1</v>
      </c>
    </row>
    <row r="118" spans="15:62" x14ac:dyDescent="0.2">
      <c r="O118" s="105"/>
      <c r="AG118" s="105" t="str">
        <f t="shared" si="26"/>
        <v>0</v>
      </c>
      <c r="AH118" s="105">
        <f t="shared" si="28"/>
        <v>0</v>
      </c>
      <c r="AJ118" s="105">
        <f t="shared" si="29"/>
        <v>0</v>
      </c>
      <c r="AP118" s="105">
        <f t="shared" si="30"/>
        <v>0</v>
      </c>
      <c r="AS118" s="105">
        <f t="shared" si="27"/>
        <v>0</v>
      </c>
      <c r="AT118" s="105">
        <f t="shared" si="23"/>
        <v>0</v>
      </c>
      <c r="AV118" s="105" t="s">
        <v>93</v>
      </c>
      <c r="AW118" s="105">
        <v>38</v>
      </c>
      <c r="AX118" s="105">
        <v>22</v>
      </c>
      <c r="AY118" s="105">
        <v>2</v>
      </c>
      <c r="AZ118" s="106">
        <f t="shared" si="16"/>
        <v>0</v>
      </c>
      <c r="BE118" s="105">
        <v>4</v>
      </c>
      <c r="BJ118" s="105">
        <v>1</v>
      </c>
    </row>
    <row r="119" spans="15:62" x14ac:dyDescent="0.2">
      <c r="O119" s="105"/>
      <c r="AG119" s="105" t="str">
        <f t="shared" si="26"/>
        <v>0</v>
      </c>
      <c r="AH119" s="105">
        <f t="shared" si="28"/>
        <v>0</v>
      </c>
      <c r="AJ119" s="105">
        <f t="shared" si="29"/>
        <v>0</v>
      </c>
      <c r="AP119" s="105">
        <f t="shared" si="30"/>
        <v>0</v>
      </c>
      <c r="AS119" s="105">
        <f t="shared" si="27"/>
        <v>0</v>
      </c>
      <c r="AT119" s="105">
        <f t="shared" si="23"/>
        <v>0</v>
      </c>
      <c r="AV119" s="105" t="s">
        <v>93</v>
      </c>
      <c r="AW119" s="105">
        <v>38</v>
      </c>
      <c r="AX119" s="105">
        <v>22</v>
      </c>
      <c r="AY119" s="105">
        <v>2</v>
      </c>
      <c r="AZ119" s="106">
        <f t="shared" si="16"/>
        <v>0</v>
      </c>
      <c r="BE119" s="105">
        <v>4</v>
      </c>
      <c r="BJ119" s="105">
        <v>1</v>
      </c>
    </row>
    <row r="120" spans="15:62" x14ac:dyDescent="0.2">
      <c r="O120" s="105"/>
      <c r="AG120" s="105" t="str">
        <f t="shared" si="26"/>
        <v>0</v>
      </c>
      <c r="AH120" s="105">
        <f t="shared" si="28"/>
        <v>0</v>
      </c>
      <c r="AJ120" s="105">
        <f t="shared" si="29"/>
        <v>0</v>
      </c>
      <c r="AP120" s="105">
        <f t="shared" si="30"/>
        <v>0</v>
      </c>
      <c r="AS120" s="105">
        <f t="shared" si="27"/>
        <v>0</v>
      </c>
      <c r="AT120" s="105">
        <f t="shared" si="23"/>
        <v>0</v>
      </c>
      <c r="AV120" s="105" t="s">
        <v>93</v>
      </c>
      <c r="AW120" s="105">
        <v>38</v>
      </c>
      <c r="AX120" s="105">
        <v>22</v>
      </c>
      <c r="AY120" s="105">
        <v>2</v>
      </c>
      <c r="AZ120" s="106">
        <f t="shared" si="16"/>
        <v>0</v>
      </c>
      <c r="BE120" s="105">
        <v>4</v>
      </c>
      <c r="BJ120" s="105">
        <v>1</v>
      </c>
    </row>
    <row r="121" spans="15:62" x14ac:dyDescent="0.2">
      <c r="AG121" s="105" t="str">
        <f t="shared" si="26"/>
        <v>0</v>
      </c>
      <c r="AH121" s="105">
        <f t="shared" si="28"/>
        <v>0</v>
      </c>
      <c r="AJ121" s="105">
        <f t="shared" si="29"/>
        <v>0</v>
      </c>
      <c r="AP121" s="105">
        <f t="shared" si="30"/>
        <v>0</v>
      </c>
      <c r="AS121" s="105">
        <f t="shared" si="27"/>
        <v>0</v>
      </c>
      <c r="AT121" s="105">
        <f t="shared" si="23"/>
        <v>0</v>
      </c>
      <c r="AV121" s="105" t="s">
        <v>93</v>
      </c>
      <c r="AW121" s="105">
        <v>38</v>
      </c>
      <c r="AX121" s="105">
        <v>22</v>
      </c>
      <c r="AY121" s="105">
        <v>2</v>
      </c>
      <c r="AZ121" s="106">
        <f t="shared" si="16"/>
        <v>0</v>
      </c>
      <c r="BE121" s="105">
        <v>4</v>
      </c>
      <c r="BJ121" s="105">
        <v>1</v>
      </c>
    </row>
    <row r="122" spans="15:62" x14ac:dyDescent="0.2">
      <c r="AG122" s="105" t="str">
        <f t="shared" si="26"/>
        <v>0</v>
      </c>
      <c r="AH122" s="105">
        <f t="shared" si="28"/>
        <v>0</v>
      </c>
      <c r="AJ122" s="105">
        <f t="shared" si="29"/>
        <v>0</v>
      </c>
      <c r="AP122" s="105">
        <f t="shared" si="30"/>
        <v>0</v>
      </c>
      <c r="AS122" s="105">
        <f t="shared" si="27"/>
        <v>0</v>
      </c>
      <c r="AT122" s="105">
        <f t="shared" si="23"/>
        <v>0</v>
      </c>
      <c r="AV122" s="105" t="s">
        <v>93</v>
      </c>
      <c r="AW122" s="105">
        <v>38</v>
      </c>
      <c r="AX122" s="105">
        <v>22</v>
      </c>
      <c r="AY122" s="105">
        <v>2</v>
      </c>
      <c r="AZ122" s="106">
        <f t="shared" si="16"/>
        <v>0</v>
      </c>
      <c r="BE122" s="105">
        <v>4</v>
      </c>
      <c r="BJ122" s="105">
        <v>1</v>
      </c>
    </row>
    <row r="123" spans="15:62" x14ac:dyDescent="0.2">
      <c r="AG123" s="105" t="str">
        <f t="shared" si="26"/>
        <v>0</v>
      </c>
      <c r="AH123" s="105">
        <f t="shared" si="28"/>
        <v>0</v>
      </c>
      <c r="AJ123" s="105">
        <f t="shared" si="29"/>
        <v>0</v>
      </c>
      <c r="AP123" s="105">
        <f t="shared" si="30"/>
        <v>0</v>
      </c>
      <c r="AS123" s="105">
        <f t="shared" si="27"/>
        <v>0</v>
      </c>
      <c r="AT123" s="105">
        <f t="shared" si="23"/>
        <v>0</v>
      </c>
      <c r="AV123" s="105" t="s">
        <v>93</v>
      </c>
      <c r="AW123" s="105">
        <v>38</v>
      </c>
      <c r="AX123" s="105">
        <v>22</v>
      </c>
      <c r="AY123" s="105">
        <v>2</v>
      </c>
      <c r="AZ123" s="106">
        <f t="shared" si="16"/>
        <v>0</v>
      </c>
      <c r="BE123" s="105">
        <v>4</v>
      </c>
      <c r="BJ123" s="105">
        <v>1</v>
      </c>
    </row>
    <row r="124" spans="15:62" x14ac:dyDescent="0.2">
      <c r="AG124" s="105" t="str">
        <f t="shared" si="26"/>
        <v>0</v>
      </c>
      <c r="AH124" s="105">
        <f t="shared" si="28"/>
        <v>0</v>
      </c>
      <c r="AJ124" s="105">
        <f t="shared" si="29"/>
        <v>0</v>
      </c>
      <c r="AP124" s="105">
        <f t="shared" si="30"/>
        <v>0</v>
      </c>
      <c r="AS124" s="105">
        <f t="shared" si="27"/>
        <v>0</v>
      </c>
      <c r="AT124" s="105">
        <f t="shared" si="23"/>
        <v>0</v>
      </c>
      <c r="AV124" s="105" t="s">
        <v>93</v>
      </c>
      <c r="AW124" s="105">
        <v>38</v>
      </c>
      <c r="AX124" s="105">
        <v>22</v>
      </c>
      <c r="AY124" s="105">
        <v>2</v>
      </c>
      <c r="AZ124" s="106">
        <f t="shared" si="16"/>
        <v>0</v>
      </c>
      <c r="BE124" s="105">
        <v>4</v>
      </c>
      <c r="BJ124" s="105">
        <v>1</v>
      </c>
    </row>
    <row r="125" spans="15:62" x14ac:dyDescent="0.2">
      <c r="AG125" s="105" t="str">
        <f t="shared" si="26"/>
        <v>0</v>
      </c>
      <c r="AH125" s="105">
        <f t="shared" si="28"/>
        <v>0</v>
      </c>
      <c r="AJ125" s="105">
        <f t="shared" si="29"/>
        <v>0</v>
      </c>
      <c r="AP125" s="105">
        <f t="shared" si="30"/>
        <v>0</v>
      </c>
      <c r="AS125" s="105">
        <f t="shared" si="27"/>
        <v>0</v>
      </c>
      <c r="AT125" s="105">
        <f t="shared" si="23"/>
        <v>0</v>
      </c>
      <c r="AV125" s="105" t="s">
        <v>93</v>
      </c>
      <c r="AW125" s="105">
        <v>38</v>
      </c>
      <c r="AX125" s="105">
        <v>22</v>
      </c>
      <c r="AY125" s="105">
        <v>2</v>
      </c>
      <c r="AZ125" s="106">
        <f t="shared" si="16"/>
        <v>0</v>
      </c>
      <c r="BE125" s="105">
        <v>4</v>
      </c>
      <c r="BJ125" s="105">
        <v>1</v>
      </c>
    </row>
    <row r="126" spans="15:62" x14ac:dyDescent="0.2">
      <c r="AG126" s="105" t="str">
        <f t="shared" si="26"/>
        <v>0</v>
      </c>
      <c r="AH126" s="105">
        <f t="shared" si="28"/>
        <v>0</v>
      </c>
      <c r="AJ126" s="105">
        <f t="shared" si="29"/>
        <v>0</v>
      </c>
      <c r="AP126" s="105">
        <f t="shared" si="30"/>
        <v>0</v>
      </c>
      <c r="AS126" s="105">
        <f t="shared" si="27"/>
        <v>0</v>
      </c>
      <c r="AT126" s="105">
        <f t="shared" si="23"/>
        <v>0</v>
      </c>
      <c r="AV126" s="105" t="s">
        <v>93</v>
      </c>
      <c r="AW126" s="105">
        <v>38</v>
      </c>
      <c r="AX126" s="105">
        <v>22</v>
      </c>
      <c r="AY126" s="105">
        <v>2</v>
      </c>
      <c r="AZ126" s="106">
        <f t="shared" si="16"/>
        <v>0</v>
      </c>
      <c r="BE126" s="105">
        <v>4</v>
      </c>
      <c r="BJ126" s="105">
        <v>1</v>
      </c>
    </row>
    <row r="127" spans="15:62" x14ac:dyDescent="0.2">
      <c r="AG127" s="105" t="str">
        <f t="shared" si="26"/>
        <v>0</v>
      </c>
      <c r="AH127" s="105">
        <f t="shared" si="28"/>
        <v>0</v>
      </c>
      <c r="AJ127" s="105">
        <f t="shared" si="29"/>
        <v>0</v>
      </c>
      <c r="AP127" s="105">
        <f t="shared" si="30"/>
        <v>0</v>
      </c>
      <c r="AS127" s="105">
        <f t="shared" si="27"/>
        <v>0</v>
      </c>
      <c r="AT127" s="105">
        <f t="shared" si="23"/>
        <v>0</v>
      </c>
      <c r="AV127" s="105" t="s">
        <v>93</v>
      </c>
      <c r="AW127" s="105">
        <v>38</v>
      </c>
      <c r="AX127" s="105">
        <v>22</v>
      </c>
      <c r="AY127" s="105">
        <v>2</v>
      </c>
      <c r="AZ127" s="106">
        <f t="shared" si="16"/>
        <v>0</v>
      </c>
      <c r="BE127" s="105">
        <v>4</v>
      </c>
      <c r="BJ127" s="105">
        <v>1</v>
      </c>
    </row>
    <row r="128" spans="15:62" x14ac:dyDescent="0.2">
      <c r="AG128" s="105" t="str">
        <f t="shared" si="26"/>
        <v>0</v>
      </c>
      <c r="AH128" s="105">
        <f t="shared" si="28"/>
        <v>0</v>
      </c>
      <c r="AJ128" s="105">
        <f t="shared" si="29"/>
        <v>0</v>
      </c>
      <c r="AP128" s="105">
        <f t="shared" si="30"/>
        <v>0</v>
      </c>
      <c r="AS128" s="105">
        <f t="shared" si="27"/>
        <v>0</v>
      </c>
      <c r="AT128" s="105">
        <f t="shared" si="23"/>
        <v>0</v>
      </c>
      <c r="AV128" s="105" t="s">
        <v>93</v>
      </c>
      <c r="AW128" s="105">
        <v>38</v>
      </c>
      <c r="AX128" s="105">
        <v>22</v>
      </c>
      <c r="AY128" s="105">
        <v>2</v>
      </c>
      <c r="AZ128" s="106">
        <f t="shared" si="16"/>
        <v>0</v>
      </c>
      <c r="BE128" s="105">
        <v>4</v>
      </c>
      <c r="BJ128" s="105">
        <v>1</v>
      </c>
    </row>
    <row r="129" spans="33:62" x14ac:dyDescent="0.2">
      <c r="AG129" s="105" t="str">
        <f t="shared" si="26"/>
        <v>0</v>
      </c>
      <c r="AH129" s="105">
        <f t="shared" si="28"/>
        <v>0</v>
      </c>
      <c r="AJ129" s="105">
        <f t="shared" si="29"/>
        <v>0</v>
      </c>
      <c r="AP129" s="105">
        <f t="shared" si="30"/>
        <v>0</v>
      </c>
      <c r="AS129" s="105">
        <f t="shared" si="27"/>
        <v>0</v>
      </c>
      <c r="AT129" s="105">
        <f t="shared" si="23"/>
        <v>0</v>
      </c>
      <c r="AV129" s="105" t="s">
        <v>93</v>
      </c>
      <c r="AW129" s="105">
        <v>38</v>
      </c>
      <c r="AX129" s="105">
        <v>22</v>
      </c>
      <c r="AY129" s="105">
        <v>2</v>
      </c>
      <c r="AZ129" s="106">
        <f t="shared" si="16"/>
        <v>0</v>
      </c>
      <c r="BE129" s="105">
        <v>4</v>
      </c>
      <c r="BJ129" s="105">
        <v>1</v>
      </c>
    </row>
    <row r="130" spans="33:62" x14ac:dyDescent="0.2">
      <c r="AG130" s="105" t="str">
        <f t="shared" si="26"/>
        <v>0</v>
      </c>
      <c r="AH130" s="105">
        <f t="shared" si="28"/>
        <v>0</v>
      </c>
      <c r="AJ130" s="105">
        <f t="shared" si="29"/>
        <v>0</v>
      </c>
      <c r="AP130" s="105">
        <f t="shared" si="30"/>
        <v>0</v>
      </c>
      <c r="AS130" s="105">
        <f t="shared" si="27"/>
        <v>0</v>
      </c>
      <c r="AT130" s="105">
        <f t="shared" si="23"/>
        <v>0</v>
      </c>
      <c r="AV130" s="105" t="s">
        <v>93</v>
      </c>
      <c r="AW130" s="105">
        <v>38</v>
      </c>
      <c r="AX130" s="105">
        <v>22</v>
      </c>
      <c r="AY130" s="105">
        <v>2</v>
      </c>
      <c r="AZ130" s="106">
        <f t="shared" si="16"/>
        <v>0</v>
      </c>
      <c r="BE130" s="105">
        <v>4</v>
      </c>
      <c r="BJ130" s="105">
        <v>1</v>
      </c>
    </row>
    <row r="131" spans="33:62" x14ac:dyDescent="0.2">
      <c r="AG131" s="105" t="str">
        <f t="shared" si="26"/>
        <v>0</v>
      </c>
      <c r="AH131" s="105">
        <f t="shared" si="28"/>
        <v>0</v>
      </c>
      <c r="AJ131" s="105">
        <f t="shared" si="29"/>
        <v>0</v>
      </c>
      <c r="AP131" s="105">
        <f t="shared" si="30"/>
        <v>0</v>
      </c>
      <c r="AS131" s="105">
        <f t="shared" si="27"/>
        <v>0</v>
      </c>
      <c r="AT131" s="105">
        <f t="shared" si="23"/>
        <v>0</v>
      </c>
      <c r="AV131" s="105" t="s">
        <v>93</v>
      </c>
      <c r="AW131" s="105">
        <v>38</v>
      </c>
      <c r="AX131" s="105">
        <v>22</v>
      </c>
      <c r="AY131" s="105">
        <v>2</v>
      </c>
      <c r="AZ131" s="106">
        <f t="shared" si="16"/>
        <v>0</v>
      </c>
      <c r="BE131" s="105">
        <v>4</v>
      </c>
      <c r="BJ131" s="105">
        <v>1</v>
      </c>
    </row>
    <row r="132" spans="33:62" x14ac:dyDescent="0.2">
      <c r="AG132" s="105" t="str">
        <f t="shared" si="26"/>
        <v>0</v>
      </c>
      <c r="AH132" s="105">
        <f t="shared" si="28"/>
        <v>0</v>
      </c>
      <c r="AJ132" s="105">
        <f t="shared" si="29"/>
        <v>0</v>
      </c>
      <c r="AP132" s="105">
        <f t="shared" si="30"/>
        <v>0</v>
      </c>
      <c r="AS132" s="105">
        <f t="shared" si="27"/>
        <v>0</v>
      </c>
      <c r="AT132" s="105">
        <f t="shared" si="23"/>
        <v>0</v>
      </c>
      <c r="AV132" s="105" t="s">
        <v>93</v>
      </c>
      <c r="AW132" s="105">
        <v>38</v>
      </c>
      <c r="AX132" s="105">
        <v>22</v>
      </c>
      <c r="AY132" s="105">
        <v>2</v>
      </c>
      <c r="AZ132" s="106">
        <f t="shared" si="16"/>
        <v>0</v>
      </c>
      <c r="BE132" s="105">
        <v>4</v>
      </c>
      <c r="BJ132" s="105">
        <v>1</v>
      </c>
    </row>
    <row r="133" spans="33:62" x14ac:dyDescent="0.2">
      <c r="AG133" s="105" t="str">
        <f t="shared" si="26"/>
        <v>0</v>
      </c>
      <c r="AH133" s="105">
        <f t="shared" si="28"/>
        <v>0</v>
      </c>
      <c r="AJ133" s="105">
        <f t="shared" si="29"/>
        <v>0</v>
      </c>
      <c r="AP133" s="105">
        <f t="shared" si="30"/>
        <v>0</v>
      </c>
      <c r="AS133" s="105">
        <f t="shared" si="27"/>
        <v>0</v>
      </c>
      <c r="AT133" s="105">
        <f t="shared" si="23"/>
        <v>0</v>
      </c>
      <c r="AV133" s="105" t="s">
        <v>93</v>
      </c>
      <c r="AW133" s="105">
        <v>38</v>
      </c>
      <c r="AX133" s="105">
        <v>22</v>
      </c>
      <c r="AY133" s="105">
        <v>2</v>
      </c>
      <c r="AZ133" s="106">
        <f t="shared" si="16"/>
        <v>0</v>
      </c>
      <c r="BE133" s="105">
        <v>4</v>
      </c>
      <c r="BJ133" s="105">
        <v>1</v>
      </c>
    </row>
    <row r="134" spans="33:62" x14ac:dyDescent="0.2">
      <c r="AG134" s="105" t="str">
        <f t="shared" si="26"/>
        <v>0</v>
      </c>
      <c r="AH134" s="105">
        <f t="shared" si="28"/>
        <v>0</v>
      </c>
      <c r="AJ134" s="105">
        <f t="shared" si="29"/>
        <v>0</v>
      </c>
      <c r="AP134" s="105">
        <f t="shared" si="30"/>
        <v>0</v>
      </c>
      <c r="AS134" s="105">
        <f t="shared" si="27"/>
        <v>0</v>
      </c>
      <c r="AT134" s="105">
        <f t="shared" si="23"/>
        <v>0</v>
      </c>
      <c r="AV134" s="105" t="s">
        <v>93</v>
      </c>
      <c r="AW134" s="105">
        <v>38</v>
      </c>
      <c r="AX134" s="105">
        <v>22</v>
      </c>
      <c r="AY134" s="105">
        <v>2</v>
      </c>
      <c r="AZ134" s="106">
        <f t="shared" si="16"/>
        <v>0</v>
      </c>
      <c r="BE134" s="105">
        <v>4</v>
      </c>
      <c r="BJ134" s="105">
        <v>1</v>
      </c>
    </row>
    <row r="135" spans="33:62" x14ac:dyDescent="0.2">
      <c r="AG135" s="105" t="str">
        <f t="shared" si="26"/>
        <v>0</v>
      </c>
      <c r="AH135" s="105">
        <f t="shared" si="28"/>
        <v>0</v>
      </c>
      <c r="AJ135" s="105">
        <f t="shared" si="29"/>
        <v>0</v>
      </c>
      <c r="AS135" s="105">
        <f t="shared" si="27"/>
        <v>0</v>
      </c>
      <c r="AT135" s="105">
        <f t="shared" si="23"/>
        <v>0</v>
      </c>
      <c r="AV135" s="105" t="s">
        <v>93</v>
      </c>
      <c r="AW135" s="105">
        <v>38</v>
      </c>
      <c r="AX135" s="105">
        <v>22</v>
      </c>
      <c r="AY135" s="105">
        <v>2</v>
      </c>
      <c r="AZ135" s="106">
        <f t="shared" si="16"/>
        <v>0</v>
      </c>
      <c r="BE135" s="105">
        <v>4</v>
      </c>
      <c r="BJ135" s="105">
        <v>1</v>
      </c>
    </row>
    <row r="136" spans="33:62" x14ac:dyDescent="0.2">
      <c r="AG136" s="105" t="str">
        <f t="shared" si="26"/>
        <v>0</v>
      </c>
      <c r="AH136" s="105">
        <f t="shared" si="28"/>
        <v>0</v>
      </c>
      <c r="AJ136" s="105">
        <f t="shared" si="29"/>
        <v>0</v>
      </c>
      <c r="AS136" s="105">
        <f t="shared" si="27"/>
        <v>0</v>
      </c>
      <c r="AT136" s="105">
        <f t="shared" si="23"/>
        <v>0</v>
      </c>
      <c r="AV136" s="105" t="s">
        <v>93</v>
      </c>
      <c r="AW136" s="105">
        <v>38</v>
      </c>
      <c r="AX136" s="105">
        <v>22</v>
      </c>
      <c r="AY136" s="105">
        <v>2</v>
      </c>
      <c r="AZ136" s="106">
        <f t="shared" si="16"/>
        <v>0</v>
      </c>
      <c r="BE136" s="105">
        <v>4</v>
      </c>
      <c r="BJ136" s="105">
        <v>1</v>
      </c>
    </row>
    <row r="137" spans="33:62" x14ac:dyDescent="0.2">
      <c r="AG137" s="105" t="str">
        <f t="shared" si="26"/>
        <v>0</v>
      </c>
      <c r="AH137" s="105">
        <f t="shared" si="28"/>
        <v>0</v>
      </c>
      <c r="AJ137" s="105">
        <f t="shared" si="29"/>
        <v>0</v>
      </c>
      <c r="AS137" s="105">
        <f t="shared" si="27"/>
        <v>0</v>
      </c>
      <c r="AT137" s="105">
        <f t="shared" si="23"/>
        <v>0</v>
      </c>
      <c r="AV137" s="105" t="s">
        <v>93</v>
      </c>
      <c r="AW137" s="105">
        <v>38</v>
      </c>
      <c r="AX137" s="105">
        <v>22</v>
      </c>
      <c r="AY137" s="105">
        <v>2</v>
      </c>
      <c r="AZ137" s="106">
        <f t="shared" si="16"/>
        <v>0</v>
      </c>
      <c r="BE137" s="105">
        <v>4</v>
      </c>
      <c r="BJ137" s="105">
        <v>1</v>
      </c>
    </row>
    <row r="138" spans="33:62" x14ac:dyDescent="0.2">
      <c r="AG138" s="105" t="str">
        <f t="shared" si="26"/>
        <v>0</v>
      </c>
      <c r="AH138" s="105">
        <f t="shared" si="28"/>
        <v>0</v>
      </c>
      <c r="AJ138" s="105">
        <f t="shared" si="29"/>
        <v>0</v>
      </c>
      <c r="AS138" s="105">
        <f t="shared" si="27"/>
        <v>0</v>
      </c>
      <c r="AT138" s="105">
        <f t="shared" si="23"/>
        <v>0</v>
      </c>
      <c r="AV138" s="105" t="s">
        <v>93</v>
      </c>
      <c r="AW138" s="105">
        <v>38</v>
      </c>
      <c r="AX138" s="105">
        <v>22</v>
      </c>
      <c r="AY138" s="105">
        <v>2</v>
      </c>
      <c r="AZ138" s="106">
        <f t="shared" ref="AZ138:AZ200" si="31">SUM(AI138)</f>
        <v>0</v>
      </c>
      <c r="BE138" s="105">
        <v>4</v>
      </c>
      <c r="BJ138" s="105">
        <v>1</v>
      </c>
    </row>
    <row r="139" spans="33:62" x14ac:dyDescent="0.2">
      <c r="AG139" s="105" t="str">
        <f t="shared" si="26"/>
        <v>0</v>
      </c>
      <c r="AH139" s="105">
        <f t="shared" si="28"/>
        <v>0</v>
      </c>
      <c r="AJ139" s="105">
        <f t="shared" si="29"/>
        <v>0</v>
      </c>
      <c r="AS139" s="105">
        <f t="shared" si="27"/>
        <v>0</v>
      </c>
      <c r="AT139" s="105">
        <f t="shared" ref="AT139:AT175" si="32">SUM(AQ139-Z139*2)</f>
        <v>0</v>
      </c>
      <c r="AV139" s="105" t="s">
        <v>93</v>
      </c>
      <c r="AW139" s="105">
        <v>38</v>
      </c>
      <c r="AX139" s="105">
        <v>22</v>
      </c>
      <c r="AY139" s="105">
        <v>2</v>
      </c>
      <c r="AZ139" s="106">
        <f t="shared" si="31"/>
        <v>0</v>
      </c>
      <c r="BE139" s="105">
        <v>4</v>
      </c>
      <c r="BJ139" s="105">
        <v>1</v>
      </c>
    </row>
    <row r="140" spans="33:62" x14ac:dyDescent="0.2">
      <c r="AG140" s="105" t="str">
        <f t="shared" si="26"/>
        <v>0</v>
      </c>
      <c r="AH140" s="105">
        <f t="shared" si="28"/>
        <v>0</v>
      </c>
      <c r="AJ140" s="105">
        <f t="shared" si="29"/>
        <v>0</v>
      </c>
      <c r="AS140" s="105">
        <f t="shared" si="27"/>
        <v>0</v>
      </c>
      <c r="AT140" s="105">
        <f t="shared" si="32"/>
        <v>0</v>
      </c>
      <c r="AV140" s="105" t="s">
        <v>93</v>
      </c>
      <c r="AW140" s="105">
        <v>38</v>
      </c>
      <c r="AX140" s="105">
        <v>22</v>
      </c>
      <c r="AY140" s="105">
        <v>2</v>
      </c>
      <c r="AZ140" s="106">
        <f t="shared" si="31"/>
        <v>0</v>
      </c>
      <c r="BE140" s="105">
        <v>4</v>
      </c>
      <c r="BJ140" s="105">
        <v>1</v>
      </c>
    </row>
    <row r="141" spans="33:62" x14ac:dyDescent="0.2">
      <c r="AG141" s="105" t="str">
        <f t="shared" si="26"/>
        <v>0</v>
      </c>
      <c r="AH141" s="105">
        <f t="shared" si="28"/>
        <v>0</v>
      </c>
      <c r="AJ141" s="105">
        <f t="shared" si="29"/>
        <v>0</v>
      </c>
      <c r="AS141" s="105">
        <f t="shared" si="27"/>
        <v>0</v>
      </c>
      <c r="AT141" s="105">
        <f t="shared" si="32"/>
        <v>0</v>
      </c>
      <c r="AV141" s="105" t="s">
        <v>93</v>
      </c>
      <c r="AW141" s="105">
        <v>38</v>
      </c>
      <c r="AX141" s="105">
        <v>22</v>
      </c>
      <c r="AY141" s="105">
        <v>2</v>
      </c>
      <c r="AZ141" s="106">
        <f t="shared" si="31"/>
        <v>0</v>
      </c>
      <c r="BE141" s="105">
        <v>4</v>
      </c>
      <c r="BJ141" s="105">
        <v>1</v>
      </c>
    </row>
    <row r="142" spans="33:62" x14ac:dyDescent="0.2">
      <c r="AG142" s="105" t="str">
        <f t="shared" si="26"/>
        <v>0</v>
      </c>
      <c r="AH142" s="105">
        <f t="shared" si="28"/>
        <v>0</v>
      </c>
      <c r="AJ142" s="105">
        <f t="shared" si="29"/>
        <v>0</v>
      </c>
      <c r="AS142" s="105">
        <f t="shared" si="27"/>
        <v>0</v>
      </c>
      <c r="AT142" s="105">
        <f t="shared" si="32"/>
        <v>0</v>
      </c>
      <c r="AV142" s="105" t="s">
        <v>93</v>
      </c>
      <c r="AW142" s="105">
        <v>38</v>
      </c>
      <c r="AX142" s="105">
        <v>22</v>
      </c>
      <c r="AY142" s="105">
        <v>2</v>
      </c>
      <c r="AZ142" s="106">
        <f t="shared" si="31"/>
        <v>0</v>
      </c>
      <c r="BE142" s="105">
        <v>4</v>
      </c>
      <c r="BJ142" s="105">
        <v>1</v>
      </c>
    </row>
    <row r="143" spans="33:62" x14ac:dyDescent="0.2">
      <c r="AG143" s="105" t="str">
        <f t="shared" si="26"/>
        <v>0</v>
      </c>
      <c r="AH143" s="105">
        <f t="shared" si="28"/>
        <v>0</v>
      </c>
      <c r="AJ143" s="105">
        <f t="shared" si="29"/>
        <v>0</v>
      </c>
      <c r="AS143" s="105">
        <f t="shared" si="27"/>
        <v>0</v>
      </c>
      <c r="AT143" s="105">
        <f t="shared" si="32"/>
        <v>0</v>
      </c>
      <c r="AV143" s="105" t="s">
        <v>93</v>
      </c>
      <c r="AW143" s="105">
        <v>38</v>
      </c>
      <c r="AX143" s="105">
        <v>22</v>
      </c>
      <c r="AY143" s="105">
        <v>2</v>
      </c>
      <c r="AZ143" s="106">
        <f t="shared" si="31"/>
        <v>0</v>
      </c>
      <c r="BE143" s="105">
        <v>4</v>
      </c>
      <c r="BJ143" s="105">
        <v>1</v>
      </c>
    </row>
    <row r="144" spans="33:62" x14ac:dyDescent="0.2">
      <c r="AG144" s="105" t="str">
        <f t="shared" si="26"/>
        <v>0</v>
      </c>
      <c r="AH144" s="105">
        <f t="shared" si="28"/>
        <v>0</v>
      </c>
      <c r="AJ144" s="105">
        <f t="shared" si="29"/>
        <v>0</v>
      </c>
      <c r="AS144" s="105">
        <f t="shared" si="27"/>
        <v>0</v>
      </c>
      <c r="AT144" s="105">
        <f t="shared" si="32"/>
        <v>0</v>
      </c>
      <c r="AV144" s="105" t="s">
        <v>93</v>
      </c>
      <c r="AW144" s="105">
        <v>38</v>
      </c>
      <c r="AX144" s="105">
        <v>22</v>
      </c>
      <c r="AY144" s="105">
        <v>2</v>
      </c>
      <c r="AZ144" s="106">
        <f t="shared" si="31"/>
        <v>0</v>
      </c>
      <c r="BE144" s="105">
        <v>4</v>
      </c>
      <c r="BJ144" s="105">
        <v>1</v>
      </c>
    </row>
    <row r="145" spans="33:62" x14ac:dyDescent="0.2">
      <c r="AG145" s="105" t="str">
        <f t="shared" si="26"/>
        <v>0</v>
      </c>
      <c r="AH145" s="105">
        <f t="shared" si="28"/>
        <v>0</v>
      </c>
      <c r="AJ145" s="105">
        <f t="shared" si="29"/>
        <v>0</v>
      </c>
      <c r="AS145" s="105">
        <f t="shared" si="27"/>
        <v>0</v>
      </c>
      <c r="AT145" s="105">
        <f t="shared" si="32"/>
        <v>0</v>
      </c>
      <c r="AV145" s="105" t="s">
        <v>93</v>
      </c>
      <c r="AW145" s="105">
        <v>38</v>
      </c>
      <c r="AX145" s="105">
        <v>22</v>
      </c>
      <c r="AY145" s="105">
        <v>2</v>
      </c>
      <c r="AZ145" s="106">
        <f t="shared" si="31"/>
        <v>0</v>
      </c>
      <c r="BE145" s="105">
        <v>4</v>
      </c>
      <c r="BJ145" s="105">
        <v>1</v>
      </c>
    </row>
    <row r="146" spans="33:62" x14ac:dyDescent="0.2">
      <c r="AG146" s="105" t="str">
        <f t="shared" si="26"/>
        <v>0</v>
      </c>
      <c r="AH146" s="105">
        <f t="shared" si="28"/>
        <v>0</v>
      </c>
      <c r="AJ146" s="105">
        <f t="shared" si="29"/>
        <v>0</v>
      </c>
      <c r="AS146" s="105">
        <f t="shared" si="27"/>
        <v>0</v>
      </c>
      <c r="AT146" s="105">
        <f t="shared" si="32"/>
        <v>0</v>
      </c>
      <c r="AV146" s="105" t="s">
        <v>93</v>
      </c>
      <c r="AW146" s="105">
        <v>38</v>
      </c>
      <c r="AX146" s="105">
        <v>22</v>
      </c>
      <c r="AY146" s="105">
        <v>2</v>
      </c>
      <c r="AZ146" s="106">
        <f t="shared" si="31"/>
        <v>0</v>
      </c>
      <c r="BE146" s="105">
        <v>4</v>
      </c>
      <c r="BJ146" s="105">
        <v>1</v>
      </c>
    </row>
    <row r="147" spans="33:62" x14ac:dyDescent="0.2">
      <c r="AG147" s="105" t="str">
        <f t="shared" si="26"/>
        <v>0</v>
      </c>
      <c r="AH147" s="105">
        <f t="shared" si="28"/>
        <v>0</v>
      </c>
      <c r="AJ147" s="105">
        <f t="shared" si="29"/>
        <v>0</v>
      </c>
      <c r="AS147" s="105">
        <f t="shared" si="27"/>
        <v>0</v>
      </c>
      <c r="AT147" s="105">
        <f t="shared" si="32"/>
        <v>0</v>
      </c>
      <c r="AV147" s="105" t="s">
        <v>93</v>
      </c>
      <c r="AW147" s="105">
        <v>38</v>
      </c>
      <c r="AX147" s="105">
        <v>22</v>
      </c>
      <c r="AY147" s="105">
        <v>2</v>
      </c>
      <c r="AZ147" s="106">
        <f t="shared" si="31"/>
        <v>0</v>
      </c>
      <c r="BE147" s="105">
        <v>4</v>
      </c>
      <c r="BJ147" s="105">
        <v>1</v>
      </c>
    </row>
    <row r="148" spans="33:62" x14ac:dyDescent="0.2">
      <c r="AG148" s="105" t="str">
        <f t="shared" si="26"/>
        <v>0</v>
      </c>
      <c r="AH148" s="105">
        <f t="shared" si="28"/>
        <v>0</v>
      </c>
      <c r="AJ148" s="105">
        <f t="shared" si="29"/>
        <v>0</v>
      </c>
      <c r="AS148" s="105">
        <f t="shared" si="27"/>
        <v>0</v>
      </c>
      <c r="AT148" s="105">
        <f t="shared" si="32"/>
        <v>0</v>
      </c>
      <c r="AV148" s="105" t="s">
        <v>93</v>
      </c>
      <c r="AW148" s="105">
        <v>38</v>
      </c>
      <c r="AX148" s="105">
        <v>22</v>
      </c>
      <c r="AY148" s="105">
        <v>2</v>
      </c>
      <c r="AZ148" s="106">
        <f t="shared" si="31"/>
        <v>0</v>
      </c>
      <c r="BE148" s="105">
        <v>4</v>
      </c>
      <c r="BJ148" s="105">
        <v>1</v>
      </c>
    </row>
    <row r="149" spans="33:62" x14ac:dyDescent="0.2">
      <c r="AG149" s="105" t="str">
        <f t="shared" si="26"/>
        <v>0</v>
      </c>
      <c r="AH149" s="105">
        <f t="shared" si="28"/>
        <v>0</v>
      </c>
      <c r="AJ149" s="105">
        <f t="shared" si="29"/>
        <v>0</v>
      </c>
      <c r="AS149" s="105">
        <f t="shared" si="27"/>
        <v>0</v>
      </c>
      <c r="AT149" s="105">
        <f t="shared" si="32"/>
        <v>0</v>
      </c>
      <c r="AV149" s="105" t="s">
        <v>93</v>
      </c>
      <c r="AW149" s="105">
        <v>38</v>
      </c>
      <c r="AX149" s="105">
        <v>22</v>
      </c>
      <c r="AY149" s="105">
        <v>2</v>
      </c>
      <c r="AZ149" s="106">
        <f t="shared" si="31"/>
        <v>0</v>
      </c>
      <c r="BE149" s="105">
        <v>4</v>
      </c>
      <c r="BJ149" s="105">
        <v>1</v>
      </c>
    </row>
    <row r="150" spans="33:62" x14ac:dyDescent="0.2">
      <c r="AG150" s="105" t="str">
        <f t="shared" si="26"/>
        <v>0</v>
      </c>
      <c r="AH150" s="105">
        <f t="shared" si="28"/>
        <v>0</v>
      </c>
      <c r="AJ150" s="105">
        <f t="shared" si="29"/>
        <v>0</v>
      </c>
      <c r="AS150" s="105">
        <f t="shared" si="27"/>
        <v>0</v>
      </c>
      <c r="AT150" s="105">
        <f t="shared" si="32"/>
        <v>0</v>
      </c>
      <c r="AV150" s="105" t="s">
        <v>93</v>
      </c>
      <c r="AW150" s="105">
        <v>38</v>
      </c>
      <c r="AX150" s="105">
        <v>22</v>
      </c>
      <c r="AY150" s="105">
        <v>2</v>
      </c>
      <c r="AZ150" s="106">
        <f t="shared" si="31"/>
        <v>0</v>
      </c>
      <c r="BE150" s="105">
        <v>4</v>
      </c>
      <c r="BJ150" s="105">
        <v>1</v>
      </c>
    </row>
    <row r="151" spans="33:62" x14ac:dyDescent="0.2">
      <c r="AG151" s="105" t="str">
        <f t="shared" si="26"/>
        <v>0</v>
      </c>
      <c r="AH151" s="105">
        <f t="shared" si="28"/>
        <v>0</v>
      </c>
      <c r="AJ151" s="105">
        <f t="shared" si="29"/>
        <v>0</v>
      </c>
      <c r="AS151" s="105">
        <f t="shared" si="27"/>
        <v>0</v>
      </c>
      <c r="AT151" s="105">
        <f t="shared" si="32"/>
        <v>0</v>
      </c>
      <c r="AV151" s="105" t="s">
        <v>93</v>
      </c>
      <c r="AW151" s="105">
        <v>38</v>
      </c>
      <c r="AX151" s="105">
        <v>22</v>
      </c>
      <c r="AY151" s="105">
        <v>2</v>
      </c>
      <c r="AZ151" s="106">
        <f t="shared" si="31"/>
        <v>0</v>
      </c>
      <c r="BE151" s="105">
        <v>4</v>
      </c>
      <c r="BJ151" s="105">
        <v>1</v>
      </c>
    </row>
    <row r="152" spans="33:62" x14ac:dyDescent="0.2">
      <c r="AG152" s="105" t="str">
        <f t="shared" si="26"/>
        <v>0</v>
      </c>
      <c r="AH152" s="105">
        <f t="shared" si="28"/>
        <v>0</v>
      </c>
      <c r="AJ152" s="105">
        <f t="shared" si="29"/>
        <v>0</v>
      </c>
      <c r="AS152" s="105">
        <f t="shared" si="27"/>
        <v>0</v>
      </c>
      <c r="AT152" s="105">
        <f t="shared" si="32"/>
        <v>0</v>
      </c>
      <c r="AV152" s="105" t="s">
        <v>93</v>
      </c>
      <c r="AW152" s="105">
        <v>38</v>
      </c>
      <c r="AX152" s="105">
        <v>22</v>
      </c>
      <c r="AY152" s="105">
        <v>2</v>
      </c>
      <c r="AZ152" s="106">
        <f t="shared" si="31"/>
        <v>0</v>
      </c>
      <c r="BE152" s="105">
        <v>4</v>
      </c>
      <c r="BJ152" s="105">
        <v>1</v>
      </c>
    </row>
    <row r="153" spans="33:62" x14ac:dyDescent="0.2">
      <c r="AG153" s="105" t="str">
        <f t="shared" si="26"/>
        <v>0</v>
      </c>
      <c r="AH153" s="105">
        <f t="shared" si="28"/>
        <v>0</v>
      </c>
      <c r="AJ153" s="105">
        <f t="shared" si="29"/>
        <v>0</v>
      </c>
      <c r="AS153" s="105">
        <f t="shared" si="27"/>
        <v>0</v>
      </c>
      <c r="AT153" s="105">
        <f t="shared" si="32"/>
        <v>0</v>
      </c>
      <c r="AV153" s="105" t="s">
        <v>93</v>
      </c>
      <c r="AW153" s="105">
        <v>38</v>
      </c>
      <c r="AX153" s="105">
        <v>22</v>
      </c>
      <c r="AY153" s="105">
        <v>2</v>
      </c>
      <c r="AZ153" s="106">
        <f t="shared" si="31"/>
        <v>0</v>
      </c>
      <c r="BE153" s="105">
        <v>4</v>
      </c>
      <c r="BJ153" s="105">
        <v>1</v>
      </c>
    </row>
    <row r="154" spans="33:62" x14ac:dyDescent="0.2">
      <c r="AG154" s="105" t="str">
        <f t="shared" si="26"/>
        <v>0</v>
      </c>
      <c r="AH154" s="105">
        <f t="shared" si="28"/>
        <v>0</v>
      </c>
      <c r="AJ154" s="105">
        <f t="shared" si="29"/>
        <v>0</v>
      </c>
      <c r="AS154" s="105">
        <f t="shared" si="27"/>
        <v>0</v>
      </c>
      <c r="AT154" s="105">
        <f t="shared" si="32"/>
        <v>0</v>
      </c>
      <c r="AV154" s="105" t="s">
        <v>93</v>
      </c>
      <c r="AW154" s="105">
        <v>38</v>
      </c>
      <c r="AX154" s="105">
        <v>22</v>
      </c>
      <c r="AY154" s="105">
        <v>2</v>
      </c>
      <c r="AZ154" s="106">
        <f t="shared" si="31"/>
        <v>0</v>
      </c>
      <c r="BE154" s="105">
        <v>4</v>
      </c>
      <c r="BJ154" s="105">
        <v>1</v>
      </c>
    </row>
    <row r="155" spans="33:62" x14ac:dyDescent="0.2">
      <c r="AG155" s="105" t="str">
        <f t="shared" si="26"/>
        <v>0</v>
      </c>
      <c r="AH155" s="105">
        <f t="shared" si="28"/>
        <v>0</v>
      </c>
      <c r="AJ155" s="105">
        <f t="shared" si="29"/>
        <v>0</v>
      </c>
      <c r="AS155" s="105">
        <f t="shared" si="27"/>
        <v>0</v>
      </c>
      <c r="AT155" s="105">
        <f t="shared" si="32"/>
        <v>0</v>
      </c>
      <c r="AV155" s="105" t="s">
        <v>93</v>
      </c>
      <c r="AW155" s="105">
        <v>38</v>
      </c>
      <c r="AX155" s="105">
        <v>22</v>
      </c>
      <c r="AY155" s="105">
        <v>2</v>
      </c>
      <c r="AZ155" s="106">
        <f t="shared" si="31"/>
        <v>0</v>
      </c>
      <c r="BE155" s="105">
        <v>4</v>
      </c>
      <c r="BJ155" s="105">
        <v>1</v>
      </c>
    </row>
    <row r="156" spans="33:62" x14ac:dyDescent="0.2">
      <c r="AG156" s="105" t="str">
        <f t="shared" si="26"/>
        <v>0</v>
      </c>
      <c r="AH156" s="105">
        <f t="shared" si="28"/>
        <v>0</v>
      </c>
      <c r="AJ156" s="105">
        <f t="shared" si="29"/>
        <v>0</v>
      </c>
      <c r="AS156" s="105">
        <f t="shared" si="27"/>
        <v>0</v>
      </c>
      <c r="AT156" s="105">
        <f t="shared" si="32"/>
        <v>0</v>
      </c>
      <c r="AV156" s="105" t="s">
        <v>93</v>
      </c>
      <c r="AW156" s="105">
        <v>38</v>
      </c>
      <c r="AX156" s="105">
        <v>22</v>
      </c>
      <c r="AY156" s="105">
        <v>2</v>
      </c>
      <c r="AZ156" s="106">
        <f t="shared" si="31"/>
        <v>0</v>
      </c>
      <c r="BE156" s="105">
        <v>4</v>
      </c>
      <c r="BJ156" s="105">
        <v>1</v>
      </c>
    </row>
    <row r="157" spans="33:62" x14ac:dyDescent="0.2">
      <c r="AG157" s="105" t="str">
        <f t="shared" si="26"/>
        <v>0</v>
      </c>
      <c r="AH157" s="105">
        <f t="shared" si="28"/>
        <v>0</v>
      </c>
      <c r="AJ157" s="105">
        <f t="shared" si="29"/>
        <v>0</v>
      </c>
      <c r="AS157" s="105">
        <f t="shared" si="27"/>
        <v>0</v>
      </c>
      <c r="AT157" s="105">
        <f t="shared" si="32"/>
        <v>0</v>
      </c>
      <c r="AV157" s="105" t="s">
        <v>93</v>
      </c>
      <c r="AW157" s="105">
        <v>38</v>
      </c>
      <c r="AX157" s="105">
        <v>22</v>
      </c>
      <c r="AY157" s="105">
        <v>2</v>
      </c>
      <c r="AZ157" s="106">
        <f t="shared" si="31"/>
        <v>0</v>
      </c>
      <c r="BJ157" s="105">
        <v>1</v>
      </c>
    </row>
    <row r="158" spans="33:62" x14ac:dyDescent="0.2">
      <c r="AH158" s="105">
        <f t="shared" si="28"/>
        <v>0</v>
      </c>
      <c r="AS158" s="105">
        <f t="shared" si="27"/>
        <v>0</v>
      </c>
      <c r="AT158" s="105">
        <f t="shared" si="32"/>
        <v>0</v>
      </c>
      <c r="AV158" s="105" t="s">
        <v>93</v>
      </c>
      <c r="AW158" s="105">
        <v>38</v>
      </c>
      <c r="AX158" s="105">
        <v>22</v>
      </c>
      <c r="AY158" s="105">
        <v>2</v>
      </c>
      <c r="AZ158" s="106">
        <f t="shared" si="31"/>
        <v>0</v>
      </c>
      <c r="BJ158" s="105">
        <v>1</v>
      </c>
    </row>
    <row r="159" spans="33:62" x14ac:dyDescent="0.2">
      <c r="AH159" s="105">
        <f t="shared" si="28"/>
        <v>0</v>
      </c>
      <c r="AS159" s="105">
        <f t="shared" si="27"/>
        <v>0</v>
      </c>
      <c r="AT159" s="105">
        <f t="shared" si="32"/>
        <v>0</v>
      </c>
      <c r="AV159" s="105" t="s">
        <v>93</v>
      </c>
      <c r="AW159" s="105">
        <v>38</v>
      </c>
      <c r="AX159" s="105">
        <v>22</v>
      </c>
      <c r="AY159" s="105">
        <v>2</v>
      </c>
      <c r="AZ159" s="106">
        <f t="shared" si="31"/>
        <v>0</v>
      </c>
      <c r="BJ159" s="105">
        <v>1</v>
      </c>
    </row>
    <row r="160" spans="33:62" x14ac:dyDescent="0.2">
      <c r="AH160" s="105">
        <f t="shared" si="28"/>
        <v>0</v>
      </c>
      <c r="AS160" s="105">
        <f t="shared" si="27"/>
        <v>0</v>
      </c>
      <c r="AT160" s="105">
        <f t="shared" si="32"/>
        <v>0</v>
      </c>
      <c r="AV160" s="105" t="s">
        <v>93</v>
      </c>
      <c r="AW160" s="105">
        <v>38</v>
      </c>
      <c r="AX160" s="105">
        <v>22</v>
      </c>
      <c r="AY160" s="105">
        <v>2</v>
      </c>
      <c r="AZ160" s="106">
        <f t="shared" si="31"/>
        <v>0</v>
      </c>
      <c r="BJ160" s="105">
        <v>1</v>
      </c>
    </row>
    <row r="161" spans="34:62" x14ac:dyDescent="0.2">
      <c r="AH161" s="105">
        <f t="shared" si="28"/>
        <v>0</v>
      </c>
      <c r="AS161" s="105">
        <f t="shared" si="27"/>
        <v>0</v>
      </c>
      <c r="AT161" s="105">
        <f t="shared" si="32"/>
        <v>0</v>
      </c>
      <c r="AV161" s="105" t="s">
        <v>93</v>
      </c>
      <c r="AW161" s="105">
        <v>38</v>
      </c>
      <c r="AX161" s="105">
        <v>22</v>
      </c>
      <c r="AY161" s="105">
        <v>2</v>
      </c>
      <c r="AZ161" s="106">
        <f t="shared" si="31"/>
        <v>0</v>
      </c>
      <c r="BJ161" s="105">
        <v>1</v>
      </c>
    </row>
    <row r="162" spans="34:62" x14ac:dyDescent="0.2">
      <c r="AH162" s="105">
        <f t="shared" si="28"/>
        <v>0</v>
      </c>
      <c r="AS162" s="105">
        <f t="shared" si="27"/>
        <v>0</v>
      </c>
      <c r="AT162" s="105">
        <f t="shared" si="32"/>
        <v>0</v>
      </c>
      <c r="AV162" s="105" t="s">
        <v>93</v>
      </c>
      <c r="AW162" s="105">
        <v>38</v>
      </c>
      <c r="AX162" s="105">
        <v>22</v>
      </c>
      <c r="AY162" s="105">
        <v>2</v>
      </c>
      <c r="AZ162" s="106">
        <f t="shared" si="31"/>
        <v>0</v>
      </c>
      <c r="BJ162" s="105">
        <v>1</v>
      </c>
    </row>
    <row r="163" spans="34:62" x14ac:dyDescent="0.2">
      <c r="AH163" s="105">
        <f t="shared" si="28"/>
        <v>0</v>
      </c>
      <c r="AS163" s="105">
        <f t="shared" si="27"/>
        <v>0</v>
      </c>
      <c r="AT163" s="105">
        <f t="shared" si="32"/>
        <v>0</v>
      </c>
      <c r="AV163" s="105" t="s">
        <v>93</v>
      </c>
      <c r="AW163" s="105">
        <v>38</v>
      </c>
      <c r="AX163" s="105">
        <v>22</v>
      </c>
      <c r="AY163" s="105">
        <v>2</v>
      </c>
      <c r="AZ163" s="106">
        <f t="shared" si="31"/>
        <v>0</v>
      </c>
      <c r="BJ163" s="105">
        <v>1</v>
      </c>
    </row>
    <row r="164" spans="34:62" x14ac:dyDescent="0.2">
      <c r="AH164" s="105">
        <f t="shared" si="28"/>
        <v>0</v>
      </c>
      <c r="AS164" s="105">
        <f t="shared" si="27"/>
        <v>0</v>
      </c>
      <c r="AT164" s="105">
        <f t="shared" si="32"/>
        <v>0</v>
      </c>
      <c r="AV164" s="105" t="s">
        <v>93</v>
      </c>
      <c r="AW164" s="105">
        <v>38</v>
      </c>
      <c r="AX164" s="105">
        <v>22</v>
      </c>
      <c r="AY164" s="105">
        <v>2</v>
      </c>
      <c r="AZ164" s="106">
        <f t="shared" si="31"/>
        <v>0</v>
      </c>
      <c r="BJ164" s="105">
        <v>1</v>
      </c>
    </row>
    <row r="165" spans="34:62" x14ac:dyDescent="0.2">
      <c r="AH165" s="105">
        <f t="shared" si="28"/>
        <v>0</v>
      </c>
      <c r="AS165" s="105">
        <f t="shared" ref="AS165:AS200" si="33">SUM(AP165-AA165)</f>
        <v>0</v>
      </c>
      <c r="AT165" s="105">
        <f t="shared" si="32"/>
        <v>0</v>
      </c>
      <c r="AV165" s="105" t="s">
        <v>93</v>
      </c>
      <c r="AW165" s="105">
        <v>38</v>
      </c>
      <c r="AX165" s="105">
        <v>22</v>
      </c>
      <c r="AY165" s="105">
        <v>2</v>
      </c>
      <c r="AZ165" s="106">
        <f t="shared" si="31"/>
        <v>0</v>
      </c>
      <c r="BJ165" s="105">
        <v>1</v>
      </c>
    </row>
    <row r="166" spans="34:62" x14ac:dyDescent="0.2">
      <c r="AH166" s="105">
        <f t="shared" si="28"/>
        <v>0</v>
      </c>
      <c r="AS166" s="105">
        <f t="shared" si="33"/>
        <v>0</v>
      </c>
      <c r="AT166" s="105">
        <f t="shared" si="32"/>
        <v>0</v>
      </c>
      <c r="AV166" s="105" t="s">
        <v>93</v>
      </c>
      <c r="AW166" s="105">
        <v>38</v>
      </c>
      <c r="AX166" s="105">
        <v>22</v>
      </c>
      <c r="AY166" s="105">
        <v>2</v>
      </c>
      <c r="AZ166" s="106">
        <f t="shared" si="31"/>
        <v>0</v>
      </c>
      <c r="BJ166" s="105">
        <v>1</v>
      </c>
    </row>
    <row r="167" spans="34:62" x14ac:dyDescent="0.2">
      <c r="AH167" s="105">
        <f t="shared" si="28"/>
        <v>0</v>
      </c>
      <c r="AS167" s="105">
        <f t="shared" si="33"/>
        <v>0</v>
      </c>
      <c r="AT167" s="105">
        <f t="shared" si="32"/>
        <v>0</v>
      </c>
      <c r="AV167" s="105" t="s">
        <v>93</v>
      </c>
      <c r="AW167" s="105">
        <v>38</v>
      </c>
      <c r="AX167" s="105">
        <v>22</v>
      </c>
      <c r="AY167" s="105">
        <v>2</v>
      </c>
      <c r="AZ167" s="106">
        <f t="shared" si="31"/>
        <v>0</v>
      </c>
      <c r="BJ167" s="105">
        <v>1</v>
      </c>
    </row>
    <row r="168" spans="34:62" x14ac:dyDescent="0.2">
      <c r="AH168" s="105">
        <f t="shared" si="28"/>
        <v>0</v>
      </c>
      <c r="AS168" s="105">
        <f t="shared" si="33"/>
        <v>0</v>
      </c>
      <c r="AT168" s="105">
        <f t="shared" si="32"/>
        <v>0</v>
      </c>
      <c r="AV168" s="105" t="s">
        <v>93</v>
      </c>
      <c r="AW168" s="105">
        <v>38</v>
      </c>
      <c r="AX168" s="105">
        <v>22</v>
      </c>
      <c r="AY168" s="105">
        <v>2</v>
      </c>
      <c r="AZ168" s="106">
        <f t="shared" si="31"/>
        <v>0</v>
      </c>
      <c r="BJ168" s="105">
        <v>1</v>
      </c>
    </row>
    <row r="169" spans="34:62" x14ac:dyDescent="0.2">
      <c r="AH169" s="105">
        <f t="shared" si="28"/>
        <v>0</v>
      </c>
      <c r="AS169" s="105">
        <f t="shared" si="33"/>
        <v>0</v>
      </c>
      <c r="AT169" s="105">
        <f t="shared" si="32"/>
        <v>0</v>
      </c>
      <c r="AV169" s="105" t="s">
        <v>93</v>
      </c>
      <c r="AW169" s="105">
        <v>38</v>
      </c>
      <c r="AX169" s="105">
        <v>22</v>
      </c>
      <c r="AY169" s="105">
        <v>2</v>
      </c>
      <c r="AZ169" s="106">
        <f t="shared" si="31"/>
        <v>0</v>
      </c>
      <c r="BJ169" s="105">
        <v>1</v>
      </c>
    </row>
    <row r="170" spans="34:62" x14ac:dyDescent="0.2">
      <c r="AH170" s="105">
        <f t="shared" si="28"/>
        <v>0</v>
      </c>
      <c r="AS170" s="105">
        <f t="shared" si="33"/>
        <v>0</v>
      </c>
      <c r="AT170" s="105">
        <f t="shared" si="32"/>
        <v>0</v>
      </c>
      <c r="AV170" s="105" t="s">
        <v>93</v>
      </c>
      <c r="AW170" s="105">
        <v>38</v>
      </c>
      <c r="AX170" s="105">
        <v>22</v>
      </c>
      <c r="AY170" s="105">
        <v>2</v>
      </c>
      <c r="AZ170" s="106">
        <f t="shared" si="31"/>
        <v>0</v>
      </c>
      <c r="BJ170" s="105">
        <v>1</v>
      </c>
    </row>
    <row r="171" spans="34:62" x14ac:dyDescent="0.2">
      <c r="AH171" s="105">
        <f t="shared" ref="AH171:AH200" si="34">SUM(K171+AB171+AD171+AF171)</f>
        <v>0</v>
      </c>
      <c r="AS171" s="105">
        <f t="shared" si="33"/>
        <v>0</v>
      </c>
      <c r="AT171" s="105">
        <f t="shared" si="32"/>
        <v>0</v>
      </c>
      <c r="AV171" s="105" t="s">
        <v>93</v>
      </c>
      <c r="AW171" s="105">
        <v>38</v>
      </c>
      <c r="AX171" s="105">
        <v>22</v>
      </c>
      <c r="AY171" s="105">
        <v>2</v>
      </c>
      <c r="AZ171" s="106">
        <f t="shared" si="31"/>
        <v>0</v>
      </c>
      <c r="BJ171" s="105">
        <v>1</v>
      </c>
    </row>
    <row r="172" spans="34:62" x14ac:dyDescent="0.2">
      <c r="AH172" s="105">
        <f t="shared" si="34"/>
        <v>0</v>
      </c>
      <c r="AS172" s="105">
        <f t="shared" si="33"/>
        <v>0</v>
      </c>
      <c r="AT172" s="105">
        <f t="shared" si="32"/>
        <v>0</v>
      </c>
      <c r="AV172" s="105" t="s">
        <v>93</v>
      </c>
      <c r="AW172" s="105">
        <v>38</v>
      </c>
      <c r="AX172" s="105">
        <v>22</v>
      </c>
      <c r="AY172" s="105">
        <v>2</v>
      </c>
      <c r="AZ172" s="106">
        <f t="shared" si="31"/>
        <v>0</v>
      </c>
      <c r="BJ172" s="105">
        <v>1</v>
      </c>
    </row>
    <row r="173" spans="34:62" x14ac:dyDescent="0.2">
      <c r="AH173" s="105">
        <f t="shared" si="34"/>
        <v>0</v>
      </c>
      <c r="AS173" s="105">
        <f t="shared" si="33"/>
        <v>0</v>
      </c>
      <c r="AT173" s="105">
        <f t="shared" si="32"/>
        <v>0</v>
      </c>
      <c r="AV173" s="105" t="s">
        <v>93</v>
      </c>
      <c r="AW173" s="105">
        <v>38</v>
      </c>
      <c r="AX173" s="105">
        <v>22</v>
      </c>
      <c r="AY173" s="105">
        <v>2</v>
      </c>
      <c r="AZ173" s="106">
        <f t="shared" si="31"/>
        <v>0</v>
      </c>
      <c r="BJ173" s="105">
        <v>1</v>
      </c>
    </row>
    <row r="174" spans="34:62" x14ac:dyDescent="0.2">
      <c r="AH174" s="105">
        <f t="shared" si="34"/>
        <v>0</v>
      </c>
      <c r="AS174" s="105">
        <f t="shared" si="33"/>
        <v>0</v>
      </c>
      <c r="AT174" s="105">
        <f t="shared" si="32"/>
        <v>0</v>
      </c>
      <c r="AV174" s="105" t="s">
        <v>93</v>
      </c>
      <c r="AW174" s="105">
        <v>38</v>
      </c>
      <c r="AX174" s="105">
        <v>22</v>
      </c>
      <c r="AY174" s="105">
        <v>2</v>
      </c>
      <c r="AZ174" s="106">
        <f t="shared" si="31"/>
        <v>0</v>
      </c>
      <c r="BJ174" s="105">
        <v>1</v>
      </c>
    </row>
    <row r="175" spans="34:62" x14ac:dyDescent="0.2">
      <c r="AH175" s="105">
        <f t="shared" si="34"/>
        <v>0</v>
      </c>
      <c r="AS175" s="105">
        <f t="shared" si="33"/>
        <v>0</v>
      </c>
      <c r="AT175" s="105">
        <f t="shared" si="32"/>
        <v>0</v>
      </c>
      <c r="AV175" s="105" t="s">
        <v>93</v>
      </c>
      <c r="AW175" s="105">
        <v>38</v>
      </c>
      <c r="AX175" s="105">
        <v>22</v>
      </c>
      <c r="AY175" s="105">
        <v>2</v>
      </c>
      <c r="AZ175" s="106">
        <f t="shared" si="31"/>
        <v>0</v>
      </c>
      <c r="BJ175" s="105">
        <v>1</v>
      </c>
    </row>
    <row r="176" spans="34:62" x14ac:dyDescent="0.2">
      <c r="AH176" s="105">
        <f t="shared" si="34"/>
        <v>0</v>
      </c>
      <c r="AS176" s="105">
        <f t="shared" si="33"/>
        <v>0</v>
      </c>
      <c r="AT176" s="105">
        <f t="shared" ref="AT176:AT200" si="35">SUM(AQ176-AA176*2)</f>
        <v>0</v>
      </c>
      <c r="AV176" s="105" t="s">
        <v>93</v>
      </c>
      <c r="AW176" s="105">
        <v>38</v>
      </c>
      <c r="AX176" s="105">
        <v>22</v>
      </c>
      <c r="AY176" s="105">
        <v>2</v>
      </c>
      <c r="AZ176" s="106">
        <f t="shared" si="31"/>
        <v>0</v>
      </c>
      <c r="BJ176" s="105">
        <v>1</v>
      </c>
    </row>
    <row r="177" spans="34:62" x14ac:dyDescent="0.2">
      <c r="AH177" s="105">
        <f t="shared" si="34"/>
        <v>0</v>
      </c>
      <c r="AS177" s="105">
        <f t="shared" si="33"/>
        <v>0</v>
      </c>
      <c r="AT177" s="105">
        <f t="shared" si="35"/>
        <v>0</v>
      </c>
      <c r="AV177" s="105" t="s">
        <v>93</v>
      </c>
      <c r="AW177" s="105">
        <v>38</v>
      </c>
      <c r="AX177" s="105">
        <v>22</v>
      </c>
      <c r="AY177" s="105">
        <v>2</v>
      </c>
      <c r="AZ177" s="106">
        <f t="shared" si="31"/>
        <v>0</v>
      </c>
      <c r="BJ177" s="105">
        <v>1</v>
      </c>
    </row>
    <row r="178" spans="34:62" x14ac:dyDescent="0.2">
      <c r="AH178" s="105">
        <f t="shared" si="34"/>
        <v>0</v>
      </c>
      <c r="AS178" s="105">
        <f t="shared" si="33"/>
        <v>0</v>
      </c>
      <c r="AT178" s="105">
        <f t="shared" si="35"/>
        <v>0</v>
      </c>
      <c r="AV178" s="105" t="s">
        <v>93</v>
      </c>
      <c r="AW178" s="105">
        <v>38</v>
      </c>
      <c r="AX178" s="105">
        <v>22</v>
      </c>
      <c r="AY178" s="105">
        <v>2</v>
      </c>
      <c r="AZ178" s="106">
        <f t="shared" si="31"/>
        <v>0</v>
      </c>
      <c r="BJ178" s="105">
        <v>1</v>
      </c>
    </row>
    <row r="179" spans="34:62" x14ac:dyDescent="0.2">
      <c r="AH179" s="105">
        <f t="shared" si="34"/>
        <v>0</v>
      </c>
      <c r="AS179" s="105">
        <f t="shared" si="33"/>
        <v>0</v>
      </c>
      <c r="AT179" s="105">
        <f t="shared" si="35"/>
        <v>0</v>
      </c>
      <c r="AV179" s="105" t="s">
        <v>93</v>
      </c>
      <c r="AW179" s="105">
        <v>38</v>
      </c>
      <c r="AX179" s="105">
        <v>22</v>
      </c>
      <c r="AY179" s="105">
        <v>2</v>
      </c>
      <c r="AZ179" s="106">
        <f t="shared" si="31"/>
        <v>0</v>
      </c>
      <c r="BJ179" s="105">
        <v>1</v>
      </c>
    </row>
    <row r="180" spans="34:62" x14ac:dyDescent="0.2">
      <c r="AH180" s="105">
        <f t="shared" si="34"/>
        <v>0</v>
      </c>
      <c r="AS180" s="105">
        <f t="shared" si="33"/>
        <v>0</v>
      </c>
      <c r="AT180" s="105">
        <f t="shared" si="35"/>
        <v>0</v>
      </c>
      <c r="AV180" s="105" t="s">
        <v>93</v>
      </c>
      <c r="AW180" s="105">
        <v>38</v>
      </c>
      <c r="AX180" s="105">
        <v>22</v>
      </c>
      <c r="AY180" s="105">
        <v>2</v>
      </c>
      <c r="AZ180" s="106">
        <f t="shared" si="31"/>
        <v>0</v>
      </c>
      <c r="BJ180" s="105">
        <v>1</v>
      </c>
    </row>
    <row r="181" spans="34:62" x14ac:dyDescent="0.2">
      <c r="AH181" s="105">
        <f t="shared" si="34"/>
        <v>0</v>
      </c>
      <c r="AS181" s="105">
        <f t="shared" si="33"/>
        <v>0</v>
      </c>
      <c r="AT181" s="105">
        <f t="shared" si="35"/>
        <v>0</v>
      </c>
      <c r="AV181" s="105" t="s">
        <v>93</v>
      </c>
      <c r="AW181" s="105">
        <v>38</v>
      </c>
      <c r="AX181" s="105">
        <v>22</v>
      </c>
      <c r="AY181" s="105">
        <v>2</v>
      </c>
      <c r="AZ181" s="106">
        <f t="shared" si="31"/>
        <v>0</v>
      </c>
      <c r="BJ181" s="105">
        <v>1</v>
      </c>
    </row>
    <row r="182" spans="34:62" x14ac:dyDescent="0.2">
      <c r="AH182" s="105">
        <f t="shared" si="34"/>
        <v>0</v>
      </c>
      <c r="AS182" s="105">
        <f t="shared" si="33"/>
        <v>0</v>
      </c>
      <c r="AT182" s="105">
        <f t="shared" si="35"/>
        <v>0</v>
      </c>
      <c r="AV182" s="105" t="s">
        <v>93</v>
      </c>
      <c r="AW182" s="105">
        <v>38</v>
      </c>
      <c r="AX182" s="105">
        <v>22</v>
      </c>
      <c r="AY182" s="105">
        <v>2</v>
      </c>
      <c r="AZ182" s="106">
        <f t="shared" si="31"/>
        <v>0</v>
      </c>
      <c r="BJ182" s="105">
        <v>1</v>
      </c>
    </row>
    <row r="183" spans="34:62" x14ac:dyDescent="0.2">
      <c r="AH183" s="105">
        <f t="shared" si="34"/>
        <v>0</v>
      </c>
      <c r="AS183" s="105">
        <f t="shared" si="33"/>
        <v>0</v>
      </c>
      <c r="AT183" s="105">
        <f t="shared" si="35"/>
        <v>0</v>
      </c>
      <c r="AV183" s="105" t="s">
        <v>93</v>
      </c>
      <c r="AW183" s="105">
        <v>38</v>
      </c>
      <c r="AX183" s="105">
        <v>22</v>
      </c>
      <c r="AY183" s="105">
        <v>2</v>
      </c>
      <c r="AZ183" s="106">
        <f t="shared" si="31"/>
        <v>0</v>
      </c>
      <c r="BJ183" s="105">
        <v>1</v>
      </c>
    </row>
    <row r="184" spans="34:62" x14ac:dyDescent="0.2">
      <c r="AH184" s="105">
        <f t="shared" si="34"/>
        <v>0</v>
      </c>
      <c r="AS184" s="105">
        <f t="shared" si="33"/>
        <v>0</v>
      </c>
      <c r="AT184" s="105">
        <f t="shared" si="35"/>
        <v>0</v>
      </c>
      <c r="AV184" s="105" t="s">
        <v>93</v>
      </c>
      <c r="AW184" s="105">
        <v>38</v>
      </c>
      <c r="AX184" s="105">
        <v>22</v>
      </c>
      <c r="AY184" s="105">
        <v>2</v>
      </c>
      <c r="AZ184" s="106">
        <f t="shared" si="31"/>
        <v>0</v>
      </c>
      <c r="BJ184" s="105">
        <v>1</v>
      </c>
    </row>
    <row r="185" spans="34:62" x14ac:dyDescent="0.2">
      <c r="AH185" s="105">
        <f t="shared" si="34"/>
        <v>0</v>
      </c>
      <c r="AS185" s="105">
        <f t="shared" si="33"/>
        <v>0</v>
      </c>
      <c r="AT185" s="105">
        <f t="shared" si="35"/>
        <v>0</v>
      </c>
      <c r="AV185" s="105" t="s">
        <v>93</v>
      </c>
      <c r="AW185" s="105">
        <v>38</v>
      </c>
      <c r="AX185" s="105">
        <v>22</v>
      </c>
      <c r="AY185" s="105">
        <v>2</v>
      </c>
      <c r="AZ185" s="106">
        <f t="shared" si="31"/>
        <v>0</v>
      </c>
      <c r="BJ185" s="105">
        <v>1</v>
      </c>
    </row>
    <row r="186" spans="34:62" x14ac:dyDescent="0.2">
      <c r="AH186" s="105">
        <f t="shared" si="34"/>
        <v>0</v>
      </c>
      <c r="AS186" s="105">
        <f t="shared" si="33"/>
        <v>0</v>
      </c>
      <c r="AT186" s="105">
        <f t="shared" si="35"/>
        <v>0</v>
      </c>
      <c r="AV186" s="105" t="s">
        <v>93</v>
      </c>
      <c r="AW186" s="105">
        <v>38</v>
      </c>
      <c r="AX186" s="105">
        <v>22</v>
      </c>
      <c r="AY186" s="105">
        <v>2</v>
      </c>
      <c r="AZ186" s="106">
        <f t="shared" si="31"/>
        <v>0</v>
      </c>
      <c r="BJ186" s="105">
        <v>1</v>
      </c>
    </row>
    <row r="187" spans="34:62" x14ac:dyDescent="0.2">
      <c r="AH187" s="105">
        <f t="shared" si="34"/>
        <v>0</v>
      </c>
      <c r="AS187" s="105">
        <f t="shared" si="33"/>
        <v>0</v>
      </c>
      <c r="AT187" s="105">
        <f t="shared" si="35"/>
        <v>0</v>
      </c>
      <c r="AV187" s="105" t="s">
        <v>93</v>
      </c>
      <c r="AW187" s="105">
        <v>38</v>
      </c>
      <c r="AX187" s="105">
        <v>22</v>
      </c>
      <c r="AY187" s="105">
        <v>2</v>
      </c>
      <c r="AZ187" s="106">
        <f t="shared" si="31"/>
        <v>0</v>
      </c>
      <c r="BJ187" s="105">
        <v>1</v>
      </c>
    </row>
    <row r="188" spans="34:62" x14ac:dyDescent="0.2">
      <c r="AH188" s="105">
        <f t="shared" si="34"/>
        <v>0</v>
      </c>
      <c r="AS188" s="105">
        <f t="shared" si="33"/>
        <v>0</v>
      </c>
      <c r="AT188" s="105">
        <f t="shared" si="35"/>
        <v>0</v>
      </c>
      <c r="AV188" s="105" t="s">
        <v>93</v>
      </c>
      <c r="AW188" s="105">
        <v>38</v>
      </c>
      <c r="AX188" s="105">
        <v>22</v>
      </c>
      <c r="AY188" s="105">
        <v>2</v>
      </c>
      <c r="AZ188" s="106">
        <f t="shared" si="31"/>
        <v>0</v>
      </c>
      <c r="BJ188" s="105">
        <v>1</v>
      </c>
    </row>
    <row r="189" spans="34:62" x14ac:dyDescent="0.2">
      <c r="AH189" s="105">
        <f t="shared" si="34"/>
        <v>0</v>
      </c>
      <c r="AS189" s="105">
        <f t="shared" si="33"/>
        <v>0</v>
      </c>
      <c r="AT189" s="105">
        <f t="shared" si="35"/>
        <v>0</v>
      </c>
      <c r="AV189" s="105" t="s">
        <v>93</v>
      </c>
      <c r="AW189" s="105">
        <v>38</v>
      </c>
      <c r="AX189" s="105">
        <v>22</v>
      </c>
      <c r="AY189" s="105">
        <v>2</v>
      </c>
      <c r="AZ189" s="106">
        <f t="shared" si="31"/>
        <v>0</v>
      </c>
      <c r="BJ189" s="105">
        <v>1</v>
      </c>
    </row>
    <row r="190" spans="34:62" x14ac:dyDescent="0.2">
      <c r="AH190" s="105">
        <f t="shared" si="34"/>
        <v>0</v>
      </c>
      <c r="AS190" s="105">
        <f t="shared" si="33"/>
        <v>0</v>
      </c>
      <c r="AT190" s="105">
        <f t="shared" si="35"/>
        <v>0</v>
      </c>
      <c r="AV190" s="105" t="s">
        <v>93</v>
      </c>
      <c r="AW190" s="105">
        <v>38</v>
      </c>
      <c r="AX190" s="105">
        <v>22</v>
      </c>
      <c r="AY190" s="105">
        <v>2</v>
      </c>
      <c r="AZ190" s="106">
        <f t="shared" si="31"/>
        <v>0</v>
      </c>
      <c r="BJ190" s="105">
        <v>1</v>
      </c>
    </row>
    <row r="191" spans="34:62" x14ac:dyDescent="0.2">
      <c r="AH191" s="105">
        <f t="shared" si="34"/>
        <v>0</v>
      </c>
      <c r="AS191" s="105">
        <f t="shared" si="33"/>
        <v>0</v>
      </c>
      <c r="AT191" s="105">
        <f t="shared" si="35"/>
        <v>0</v>
      </c>
      <c r="AV191" s="105" t="s">
        <v>93</v>
      </c>
      <c r="AW191" s="105">
        <v>38</v>
      </c>
      <c r="AX191" s="105">
        <v>22</v>
      </c>
      <c r="AY191" s="105">
        <v>2</v>
      </c>
      <c r="AZ191" s="106">
        <f t="shared" si="31"/>
        <v>0</v>
      </c>
      <c r="BJ191" s="105">
        <v>1</v>
      </c>
    </row>
    <row r="192" spans="34:62" x14ac:dyDescent="0.2">
      <c r="AH192" s="105">
        <f t="shared" si="34"/>
        <v>0</v>
      </c>
      <c r="AS192" s="105">
        <f t="shared" si="33"/>
        <v>0</v>
      </c>
      <c r="AT192" s="105">
        <f t="shared" si="35"/>
        <v>0</v>
      </c>
      <c r="AV192" s="105" t="s">
        <v>93</v>
      </c>
      <c r="AW192" s="105">
        <v>38</v>
      </c>
      <c r="AX192" s="105">
        <v>22</v>
      </c>
      <c r="AY192" s="105">
        <v>2</v>
      </c>
      <c r="AZ192" s="106">
        <f t="shared" si="31"/>
        <v>0</v>
      </c>
      <c r="BJ192" s="105">
        <v>1</v>
      </c>
    </row>
    <row r="193" spans="34:62" x14ac:dyDescent="0.2">
      <c r="AH193" s="105">
        <f t="shared" si="34"/>
        <v>0</v>
      </c>
      <c r="AS193" s="105">
        <f t="shared" si="33"/>
        <v>0</v>
      </c>
      <c r="AT193" s="105">
        <f t="shared" si="35"/>
        <v>0</v>
      </c>
      <c r="AV193" s="105" t="s">
        <v>93</v>
      </c>
      <c r="AW193" s="105">
        <v>38</v>
      </c>
      <c r="AX193" s="105">
        <v>22</v>
      </c>
      <c r="AY193" s="105">
        <v>2</v>
      </c>
      <c r="AZ193" s="106">
        <f t="shared" si="31"/>
        <v>0</v>
      </c>
      <c r="BJ193" s="105">
        <v>1</v>
      </c>
    </row>
    <row r="194" spans="34:62" x14ac:dyDescent="0.2">
      <c r="AH194" s="105">
        <f t="shared" si="34"/>
        <v>0</v>
      </c>
      <c r="AS194" s="105">
        <f t="shared" si="33"/>
        <v>0</v>
      </c>
      <c r="AT194" s="105">
        <f t="shared" si="35"/>
        <v>0</v>
      </c>
      <c r="AV194" s="105" t="s">
        <v>93</v>
      </c>
      <c r="AW194" s="105">
        <v>38</v>
      </c>
      <c r="AX194" s="105">
        <v>22</v>
      </c>
      <c r="AY194" s="105">
        <v>2</v>
      </c>
      <c r="AZ194" s="106">
        <f t="shared" si="31"/>
        <v>0</v>
      </c>
      <c r="BJ194" s="105">
        <v>1</v>
      </c>
    </row>
    <row r="195" spans="34:62" x14ac:dyDescent="0.2">
      <c r="AH195" s="105">
        <f t="shared" si="34"/>
        <v>0</v>
      </c>
      <c r="AS195" s="105">
        <f t="shared" si="33"/>
        <v>0</v>
      </c>
      <c r="AT195" s="105">
        <f t="shared" si="35"/>
        <v>0</v>
      </c>
      <c r="AV195" s="105" t="s">
        <v>93</v>
      </c>
      <c r="AW195" s="105">
        <v>38</v>
      </c>
      <c r="AX195" s="105">
        <v>22</v>
      </c>
      <c r="AY195" s="105">
        <v>2</v>
      </c>
      <c r="AZ195" s="106">
        <f t="shared" si="31"/>
        <v>0</v>
      </c>
      <c r="BJ195" s="105">
        <v>1</v>
      </c>
    </row>
    <row r="196" spans="34:62" x14ac:dyDescent="0.2">
      <c r="AH196" s="105">
        <f t="shared" si="34"/>
        <v>0</v>
      </c>
      <c r="AS196" s="105">
        <f t="shared" si="33"/>
        <v>0</v>
      </c>
      <c r="AT196" s="105">
        <f t="shared" si="35"/>
        <v>0</v>
      </c>
      <c r="AV196" s="105" t="s">
        <v>93</v>
      </c>
      <c r="AW196" s="105">
        <v>38</v>
      </c>
      <c r="AX196" s="105">
        <v>22</v>
      </c>
      <c r="AY196" s="105">
        <v>2</v>
      </c>
      <c r="AZ196" s="106">
        <f t="shared" si="31"/>
        <v>0</v>
      </c>
      <c r="BJ196" s="105">
        <v>1</v>
      </c>
    </row>
    <row r="197" spans="34:62" x14ac:dyDescent="0.2">
      <c r="AH197" s="105">
        <f t="shared" si="34"/>
        <v>0</v>
      </c>
      <c r="AS197" s="105">
        <f t="shared" si="33"/>
        <v>0</v>
      </c>
      <c r="AT197" s="105">
        <f t="shared" si="35"/>
        <v>0</v>
      </c>
      <c r="AV197" s="105" t="s">
        <v>93</v>
      </c>
      <c r="AW197" s="105">
        <v>38</v>
      </c>
      <c r="AX197" s="105">
        <v>22</v>
      </c>
      <c r="AY197" s="105">
        <v>2</v>
      </c>
      <c r="AZ197" s="106">
        <f t="shared" si="31"/>
        <v>0</v>
      </c>
      <c r="BJ197" s="105">
        <v>1</v>
      </c>
    </row>
    <row r="198" spans="34:62" x14ac:dyDescent="0.2">
      <c r="AH198" s="105">
        <f t="shared" si="34"/>
        <v>0</v>
      </c>
      <c r="AS198" s="105">
        <f t="shared" si="33"/>
        <v>0</v>
      </c>
      <c r="AT198" s="105">
        <f t="shared" si="35"/>
        <v>0</v>
      </c>
      <c r="AV198" s="105" t="s">
        <v>93</v>
      </c>
      <c r="AW198" s="105">
        <v>38</v>
      </c>
      <c r="AX198" s="105">
        <v>22</v>
      </c>
      <c r="AY198" s="105">
        <v>2</v>
      </c>
      <c r="AZ198" s="106">
        <f t="shared" si="31"/>
        <v>0</v>
      </c>
      <c r="BJ198" s="105">
        <v>1</v>
      </c>
    </row>
    <row r="199" spans="34:62" x14ac:dyDescent="0.2">
      <c r="AH199" s="105">
        <f t="shared" si="34"/>
        <v>0</v>
      </c>
      <c r="AS199" s="105">
        <f t="shared" si="33"/>
        <v>0</v>
      </c>
      <c r="AT199" s="105">
        <f t="shared" si="35"/>
        <v>0</v>
      </c>
      <c r="AV199" s="105" t="s">
        <v>93</v>
      </c>
      <c r="AW199" s="105">
        <v>38</v>
      </c>
      <c r="AX199" s="105">
        <v>22</v>
      </c>
      <c r="AY199" s="105">
        <v>2</v>
      </c>
      <c r="AZ199" s="106">
        <f t="shared" si="31"/>
        <v>0</v>
      </c>
      <c r="BJ199" s="105">
        <v>1</v>
      </c>
    </row>
    <row r="200" spans="34:62" x14ac:dyDescent="0.2">
      <c r="AH200" s="105">
        <f t="shared" si="34"/>
        <v>0</v>
      </c>
      <c r="AS200" s="105">
        <f t="shared" si="33"/>
        <v>0</v>
      </c>
      <c r="AT200" s="105">
        <f t="shared" si="35"/>
        <v>0</v>
      </c>
      <c r="AV200" s="105" t="s">
        <v>93</v>
      </c>
      <c r="AW200" s="105">
        <v>38</v>
      </c>
      <c r="AX200" s="105">
        <v>22</v>
      </c>
      <c r="AY200" s="105">
        <v>2</v>
      </c>
      <c r="AZ200" s="106">
        <f t="shared" si="31"/>
        <v>0</v>
      </c>
      <c r="BJ200" s="105">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3" customWidth="1"/>
    <col min="5" max="5" width="55.33203125" style="15" customWidth="1"/>
  </cols>
  <sheetData>
    <row r="1" spans="1:5" ht="63.95" customHeight="1" x14ac:dyDescent="0.25">
      <c r="A1" s="16"/>
      <c r="C1" s="41"/>
      <c r="D1" s="41"/>
      <c r="E1" s="16"/>
    </row>
    <row r="2" spans="1:5" ht="32.1" customHeight="1" x14ac:dyDescent="0.2">
      <c r="A2" s="3" t="str">
        <f>"Exceptions " &amp;COUNTA(A4:A9985)</f>
        <v>Exceptions 0</v>
      </c>
      <c r="C2" s="3"/>
      <c r="D2" s="3"/>
      <c r="E2" s="19"/>
    </row>
    <row r="3" spans="1:5" x14ac:dyDescent="0.2">
      <c r="A3" s="17" t="s">
        <v>3</v>
      </c>
      <c r="B3" s="24" t="s">
        <v>4</v>
      </c>
      <c r="C3" s="42" t="s">
        <v>6</v>
      </c>
      <c r="D3" s="42" t="s">
        <v>7</v>
      </c>
      <c r="E3" s="18"/>
    </row>
    <row r="4" spans="1:5" x14ac:dyDescent="0.2">
      <c r="B4" s="44"/>
    </row>
    <row r="5" spans="1:5" x14ac:dyDescent="0.2">
      <c r="B5" s="44"/>
    </row>
    <row r="6" spans="1:5" x14ac:dyDescent="0.2">
      <c r="B6" s="44"/>
    </row>
    <row r="7" spans="1:5" x14ac:dyDescent="0.2">
      <c r="B7" s="44"/>
    </row>
    <row r="8" spans="1:5" x14ac:dyDescent="0.2">
      <c r="B8" s="44"/>
    </row>
    <row r="9" spans="1:5" x14ac:dyDescent="0.2">
      <c r="B9" s="44"/>
    </row>
    <row r="10" spans="1:5" x14ac:dyDescent="0.2">
      <c r="B10" s="44"/>
    </row>
    <row r="11" spans="1:5" x14ac:dyDescent="0.2">
      <c r="B11" s="44"/>
    </row>
    <row r="12" spans="1:5" x14ac:dyDescent="0.2">
      <c r="B12" s="44"/>
    </row>
    <row r="13" spans="1:5" x14ac:dyDescent="0.2">
      <c r="B13" s="44"/>
    </row>
    <row r="14" spans="1:5" x14ac:dyDescent="0.2">
      <c r="B14" s="44"/>
    </row>
    <row r="15" spans="1:5" x14ac:dyDescent="0.2">
      <c r="B15" s="44"/>
    </row>
    <row r="16" spans="1:5" x14ac:dyDescent="0.2">
      <c r="B16" s="44"/>
    </row>
    <row r="17" spans="2:2" x14ac:dyDescent="0.2">
      <c r="B17" s="44"/>
    </row>
    <row r="18" spans="2:2" x14ac:dyDescent="0.2">
      <c r="B18" s="44"/>
    </row>
    <row r="19" spans="2:2" x14ac:dyDescent="0.2">
      <c r="B19" s="44"/>
    </row>
    <row r="20" spans="2:2" x14ac:dyDescent="0.2">
      <c r="B20" s="44"/>
    </row>
    <row r="21" spans="2:2" x14ac:dyDescent="0.2">
      <c r="B21" s="44"/>
    </row>
    <row r="22" spans="2:2" x14ac:dyDescent="0.2">
      <c r="B22" s="44"/>
    </row>
    <row r="23" spans="2:2" x14ac:dyDescent="0.2">
      <c r="B23" s="44"/>
    </row>
    <row r="24" spans="2:2" x14ac:dyDescent="0.2">
      <c r="B24" s="44"/>
    </row>
    <row r="25" spans="2:2" x14ac:dyDescent="0.2">
      <c r="B25" s="44"/>
    </row>
    <row r="26" spans="2:2" x14ac:dyDescent="0.2">
      <c r="B26" s="44"/>
    </row>
    <row r="27" spans="2:2" x14ac:dyDescent="0.2">
      <c r="B27" s="44"/>
    </row>
    <row r="28" spans="2:2" x14ac:dyDescent="0.2">
      <c r="B28" s="44"/>
    </row>
    <row r="29" spans="2:2" x14ac:dyDescent="0.2">
      <c r="B29" s="44"/>
    </row>
    <row r="30" spans="2:2" x14ac:dyDescent="0.2">
      <c r="B30" s="44"/>
    </row>
    <row r="31" spans="2:2" x14ac:dyDescent="0.2">
      <c r="B31" s="44"/>
    </row>
    <row r="32" spans="2:2" x14ac:dyDescent="0.2">
      <c r="B32" s="44"/>
    </row>
    <row r="33" spans="2:2" x14ac:dyDescent="0.2">
      <c r="B33" s="44"/>
    </row>
    <row r="34" spans="2:2" x14ac:dyDescent="0.2">
      <c r="B34" s="44"/>
    </row>
    <row r="35" spans="2:2" x14ac:dyDescent="0.2">
      <c r="B35" s="44"/>
    </row>
    <row r="36" spans="2:2" x14ac:dyDescent="0.2">
      <c r="B36" s="44"/>
    </row>
    <row r="37" spans="2:2" x14ac:dyDescent="0.2">
      <c r="B37" s="44"/>
    </row>
    <row r="38" spans="2:2" x14ac:dyDescent="0.2">
      <c r="B38" s="44"/>
    </row>
    <row r="39" spans="2:2" x14ac:dyDescent="0.2">
      <c r="B39" s="44"/>
    </row>
    <row r="40" spans="2:2" x14ac:dyDescent="0.2">
      <c r="B40" s="44"/>
    </row>
    <row r="41" spans="2:2" x14ac:dyDescent="0.2">
      <c r="B41" s="44"/>
    </row>
    <row r="42" spans="2:2" x14ac:dyDescent="0.2">
      <c r="B42" s="44"/>
    </row>
    <row r="43" spans="2:2" x14ac:dyDescent="0.2">
      <c r="B43" s="44"/>
    </row>
    <row r="44" spans="2:2" x14ac:dyDescent="0.2">
      <c r="B44" s="44"/>
    </row>
    <row r="45" spans="2:2" x14ac:dyDescent="0.2">
      <c r="B45" s="44"/>
    </row>
    <row r="46" spans="2:2" x14ac:dyDescent="0.2">
      <c r="B46" s="44"/>
    </row>
    <row r="47" spans="2:2" x14ac:dyDescent="0.2">
      <c r="B47" s="44"/>
    </row>
    <row r="48" spans="2:2" x14ac:dyDescent="0.2">
      <c r="B48" s="44"/>
    </row>
    <row r="49" spans="2:2" x14ac:dyDescent="0.2">
      <c r="B49" s="44"/>
    </row>
    <row r="50" spans="2:2" x14ac:dyDescent="0.2">
      <c r="B50" s="44"/>
    </row>
    <row r="51" spans="2:2" x14ac:dyDescent="0.2">
      <c r="B51" s="44"/>
    </row>
    <row r="52" spans="2:2" x14ac:dyDescent="0.2">
      <c r="B52" s="44"/>
    </row>
    <row r="53" spans="2:2" x14ac:dyDescent="0.2">
      <c r="B53" s="44"/>
    </row>
    <row r="54" spans="2:2" x14ac:dyDescent="0.2">
      <c r="B54" s="44"/>
    </row>
    <row r="55" spans="2:2" x14ac:dyDescent="0.2">
      <c r="B55" s="44"/>
    </row>
    <row r="56" spans="2:2" x14ac:dyDescent="0.2">
      <c r="B56" s="44"/>
    </row>
    <row r="57" spans="2:2" x14ac:dyDescent="0.2">
      <c r="B57" s="44"/>
    </row>
    <row r="58" spans="2:2" x14ac:dyDescent="0.2">
      <c r="B58" s="44"/>
    </row>
    <row r="59" spans="2:2" x14ac:dyDescent="0.2">
      <c r="B59" s="44"/>
    </row>
    <row r="60" spans="2:2" x14ac:dyDescent="0.2">
      <c r="B60" s="44"/>
    </row>
    <row r="61" spans="2:2" x14ac:dyDescent="0.2">
      <c r="B61" s="44"/>
    </row>
    <row r="62" spans="2:2" x14ac:dyDescent="0.2">
      <c r="B62" s="44"/>
    </row>
    <row r="63" spans="2:2" x14ac:dyDescent="0.2">
      <c r="B63" s="44"/>
    </row>
    <row r="64" spans="2:2" x14ac:dyDescent="0.2">
      <c r="B64" s="44"/>
    </row>
    <row r="65" spans="2:2" x14ac:dyDescent="0.2">
      <c r="B65" s="44"/>
    </row>
    <row r="66" spans="2:2" x14ac:dyDescent="0.2">
      <c r="B66" s="44"/>
    </row>
    <row r="67" spans="2:2" x14ac:dyDescent="0.2">
      <c r="B67" s="44"/>
    </row>
    <row r="68" spans="2:2" x14ac:dyDescent="0.2">
      <c r="B68" s="44"/>
    </row>
    <row r="69" spans="2:2" x14ac:dyDescent="0.2">
      <c r="B69" s="44"/>
    </row>
    <row r="70" spans="2:2" x14ac:dyDescent="0.2">
      <c r="B70" s="44"/>
    </row>
    <row r="71" spans="2:2" x14ac:dyDescent="0.2">
      <c r="B71" s="44"/>
    </row>
    <row r="72" spans="2:2" x14ac:dyDescent="0.2">
      <c r="B72" s="44"/>
    </row>
    <row r="73" spans="2:2" x14ac:dyDescent="0.2">
      <c r="B73" s="44"/>
    </row>
    <row r="74" spans="2:2" x14ac:dyDescent="0.2">
      <c r="B74" s="44"/>
    </row>
    <row r="75" spans="2:2" x14ac:dyDescent="0.2">
      <c r="B75" s="44"/>
    </row>
    <row r="76" spans="2:2" x14ac:dyDescent="0.2">
      <c r="B76" s="44"/>
    </row>
    <row r="77" spans="2:2" x14ac:dyDescent="0.2">
      <c r="B77" s="44"/>
    </row>
    <row r="78" spans="2:2" x14ac:dyDescent="0.2">
      <c r="B78" s="44"/>
    </row>
    <row r="79" spans="2:2" x14ac:dyDescent="0.2">
      <c r="B79" s="44"/>
    </row>
    <row r="80" spans="2:2" x14ac:dyDescent="0.2">
      <c r="B80" s="44"/>
    </row>
    <row r="81" spans="2:2" x14ac:dyDescent="0.2">
      <c r="B81" s="44"/>
    </row>
    <row r="82" spans="2:2" x14ac:dyDescent="0.2">
      <c r="B82" s="44"/>
    </row>
    <row r="83" spans="2:2" x14ac:dyDescent="0.2">
      <c r="B83" s="44"/>
    </row>
    <row r="84" spans="2:2" x14ac:dyDescent="0.2">
      <c r="B84" s="44"/>
    </row>
    <row r="85" spans="2:2" x14ac:dyDescent="0.2">
      <c r="B85" s="44"/>
    </row>
    <row r="86" spans="2:2" x14ac:dyDescent="0.2">
      <c r="B86" s="44"/>
    </row>
    <row r="87" spans="2:2" x14ac:dyDescent="0.2">
      <c r="B87" s="44"/>
    </row>
    <row r="88" spans="2:2" x14ac:dyDescent="0.2">
      <c r="B88" s="44"/>
    </row>
    <row r="89" spans="2:2" x14ac:dyDescent="0.2">
      <c r="B89" s="44"/>
    </row>
    <row r="90" spans="2:2" x14ac:dyDescent="0.2">
      <c r="B90" s="44"/>
    </row>
    <row r="91" spans="2:2" x14ac:dyDescent="0.2">
      <c r="B91" s="44"/>
    </row>
    <row r="92" spans="2:2" x14ac:dyDescent="0.2">
      <c r="B92" s="44"/>
    </row>
    <row r="93" spans="2:2" x14ac:dyDescent="0.2">
      <c r="B93" s="44"/>
    </row>
    <row r="94" spans="2:2" x14ac:dyDescent="0.2">
      <c r="B94" s="44"/>
    </row>
    <row r="95" spans="2:2" x14ac:dyDescent="0.2">
      <c r="B95" s="44"/>
    </row>
    <row r="96" spans="2:2" x14ac:dyDescent="0.2">
      <c r="B96" s="44"/>
    </row>
    <row r="97" spans="2:2" x14ac:dyDescent="0.2">
      <c r="B97" s="44"/>
    </row>
    <row r="98" spans="2:2" x14ac:dyDescent="0.2">
      <c r="B98" s="44"/>
    </row>
    <row r="99" spans="2:2" x14ac:dyDescent="0.2">
      <c r="B99" s="44"/>
    </row>
    <row r="100" spans="2:2" x14ac:dyDescent="0.2">
      <c r="B100" s="44"/>
    </row>
    <row r="101" spans="2:2" x14ac:dyDescent="0.2">
      <c r="B101" s="44"/>
    </row>
    <row r="102" spans="2:2" x14ac:dyDescent="0.2">
      <c r="B102" s="44"/>
    </row>
    <row r="103" spans="2:2" x14ac:dyDescent="0.2">
      <c r="B103" s="44"/>
    </row>
    <row r="200" spans="1:5" s="9" customFormat="1" x14ac:dyDescent="0.2">
      <c r="A200" s="14"/>
      <c r="B200"/>
      <c r="C200" s="43"/>
      <c r="D200" s="43"/>
      <c r="E200" s="15"/>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1"/>
  <sheetViews>
    <sheetView showGridLines="0" workbookViewId="0">
      <pane ySplit="3" topLeftCell="A4" activePane="bottomLeft" state="frozen"/>
      <selection pane="bottomLeft" activeCell="F11" sqref="F11"/>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3" t="str">
        <f>oeFilename &amp; " v" &amp;TEXT(oeReleaseNumber,"0.00")</f>
        <v>Redwills v0.04</v>
      </c>
      <c r="B2" s="4"/>
      <c r="M2" s="27"/>
    </row>
    <row r="3" spans="1:13" ht="15" x14ac:dyDescent="0.25">
      <c r="A3" s="1" t="s">
        <v>14</v>
      </c>
      <c r="B3" s="2" t="s">
        <v>15</v>
      </c>
      <c r="M3" s="28"/>
    </row>
    <row r="4" spans="1:13" ht="15" x14ac:dyDescent="0.25">
      <c r="A4" s="6" t="s">
        <v>506</v>
      </c>
      <c r="B4" s="7" t="s">
        <v>491</v>
      </c>
      <c r="M4" s="28"/>
    </row>
    <row r="5" spans="1:13" ht="15" x14ac:dyDescent="0.25">
      <c r="A5" s="6" t="s">
        <v>490</v>
      </c>
      <c r="B5" s="7" t="s">
        <v>491</v>
      </c>
      <c r="M5" s="28"/>
    </row>
    <row r="6" spans="1:13" ht="15" x14ac:dyDescent="0.25">
      <c r="A6" s="6" t="s">
        <v>427</v>
      </c>
      <c r="B6" s="7" t="s">
        <v>428</v>
      </c>
      <c r="M6" s="28"/>
    </row>
    <row r="7" spans="1:13" ht="15" x14ac:dyDescent="0.25">
      <c r="A7" s="6" t="s">
        <v>123</v>
      </c>
      <c r="B7" s="7" t="s">
        <v>124</v>
      </c>
      <c r="M7" s="28"/>
    </row>
    <row r="8" spans="1:13" ht="15" x14ac:dyDescent="0.25">
      <c r="A8" s="6" t="s">
        <v>0</v>
      </c>
      <c r="B8" s="7" t="s">
        <v>122</v>
      </c>
      <c r="M8" s="28"/>
    </row>
    <row r="9" spans="1:13" ht="15" x14ac:dyDescent="0.25">
      <c r="A9" s="6"/>
      <c r="B9" s="7"/>
      <c r="M9" s="28"/>
    </row>
    <row r="10" spans="1:13" ht="15" x14ac:dyDescent="0.25">
      <c r="A10" s="6"/>
      <c r="B10" s="10"/>
      <c r="M10" s="28"/>
    </row>
    <row r="11" spans="1:13" ht="15" x14ac:dyDescent="0.25">
      <c r="A11" s="6"/>
      <c r="B11" s="7"/>
      <c r="M11" s="28"/>
    </row>
    <row r="12" spans="1:13" ht="15" x14ac:dyDescent="0.25">
      <c r="A12" s="6"/>
      <c r="B12" s="10"/>
      <c r="M12" s="28"/>
    </row>
    <row r="13" spans="1:13" ht="15" x14ac:dyDescent="0.25">
      <c r="A13" s="6"/>
      <c r="B13" s="10"/>
      <c r="M13" s="28"/>
    </row>
    <row r="14" spans="1:13" ht="15" x14ac:dyDescent="0.25">
      <c r="A14" s="6"/>
      <c r="B14" s="7"/>
      <c r="M14" s="28"/>
    </row>
    <row r="15" spans="1:13" ht="15" x14ac:dyDescent="0.25">
      <c r="A15" s="6"/>
      <c r="B15" s="7"/>
      <c r="M15" s="28"/>
    </row>
    <row r="16" spans="1:13" ht="15" x14ac:dyDescent="0.25">
      <c r="A16" s="6"/>
      <c r="B16" s="7"/>
      <c r="M16" s="28"/>
    </row>
    <row r="17" spans="1:13" ht="15" x14ac:dyDescent="0.25">
      <c r="A17" s="6"/>
      <c r="B17" s="10"/>
      <c r="M17" s="28"/>
    </row>
    <row r="18" spans="1:13" ht="15" x14ac:dyDescent="0.25">
      <c r="A18" s="6"/>
      <c r="B18" s="7"/>
      <c r="M18" s="28"/>
    </row>
    <row r="19" spans="1:13" ht="15" x14ac:dyDescent="0.25">
      <c r="A19" s="6"/>
      <c r="B19" s="10"/>
      <c r="M19" s="28"/>
    </row>
    <row r="20" spans="1:13" ht="15" x14ac:dyDescent="0.25">
      <c r="A20" s="6"/>
      <c r="B20" s="10"/>
      <c r="M20" s="28"/>
    </row>
    <row r="21" spans="1:13" ht="15" x14ac:dyDescent="0.25">
      <c r="A21" s="6"/>
      <c r="B21" s="7"/>
      <c r="M21" s="28"/>
    </row>
    <row r="22" spans="1:13" ht="15" x14ac:dyDescent="0.25">
      <c r="A22" s="6"/>
      <c r="B22" s="10"/>
      <c r="M22" s="28"/>
    </row>
    <row r="23" spans="1:13" ht="15" x14ac:dyDescent="0.25">
      <c r="A23" s="6"/>
      <c r="B23" s="10"/>
      <c r="M23" s="28"/>
    </row>
    <row r="24" spans="1:13" ht="15" x14ac:dyDescent="0.25">
      <c r="A24" s="6"/>
      <c r="B24" s="7"/>
      <c r="M24" s="28"/>
    </row>
    <row r="25" spans="1:13" ht="15" x14ac:dyDescent="0.25">
      <c r="A25" s="6"/>
      <c r="B25" s="10"/>
      <c r="M25" s="28"/>
    </row>
    <row r="26" spans="1:13" ht="15" x14ac:dyDescent="0.25">
      <c r="A26" s="6"/>
      <c r="B26" s="7"/>
      <c r="M26" s="28"/>
    </row>
    <row r="27" spans="1:13" ht="15" x14ac:dyDescent="0.25">
      <c r="A27" s="6"/>
      <c r="B27" s="10"/>
      <c r="M27" s="28"/>
    </row>
    <row r="28" spans="1:13" ht="15" x14ac:dyDescent="0.25">
      <c r="A28" s="6"/>
      <c r="B28" s="10"/>
      <c r="M28" s="28"/>
    </row>
    <row r="29" spans="1:13" ht="15" x14ac:dyDescent="0.25">
      <c r="A29" s="6"/>
      <c r="B29" s="7"/>
      <c r="M29" s="28"/>
    </row>
    <row r="30" spans="1:13" ht="15" x14ac:dyDescent="0.25">
      <c r="A30" s="6"/>
      <c r="B30" s="10"/>
      <c r="M30" s="28"/>
    </row>
    <row r="31" spans="1:13" ht="15" x14ac:dyDescent="0.25">
      <c r="A31" s="11"/>
      <c r="B31" s="12"/>
      <c r="M31" s="28"/>
    </row>
    <row r="32" spans="1:13" ht="15" x14ac:dyDescent="0.25">
      <c r="A32" s="6"/>
      <c r="B32" s="7"/>
      <c r="M32" s="28"/>
    </row>
    <row r="33" spans="1:13" ht="15" x14ac:dyDescent="0.25">
      <c r="A33" s="6"/>
      <c r="B33" s="10" t="s">
        <v>13</v>
      </c>
      <c r="M33" s="28"/>
    </row>
    <row r="34" spans="1:13" ht="15" x14ac:dyDescent="0.25">
      <c r="A34" s="11"/>
      <c r="B34" s="12"/>
      <c r="M34" s="28"/>
    </row>
    <row r="35" spans="1:13" ht="15" x14ac:dyDescent="0.25">
      <c r="A35" s="6"/>
      <c r="B35" s="7"/>
      <c r="M35" s="28"/>
    </row>
    <row r="36" spans="1:13" ht="15" x14ac:dyDescent="0.25">
      <c r="A36" s="6"/>
      <c r="B36" s="7"/>
      <c r="M36" s="28"/>
    </row>
    <row r="37" spans="1:13" ht="15" x14ac:dyDescent="0.25">
      <c r="A37" s="6"/>
      <c r="B37" s="10"/>
      <c r="M37" s="28"/>
    </row>
    <row r="38" spans="1:13" ht="15" x14ac:dyDescent="0.25">
      <c r="A38" s="6"/>
      <c r="B38" s="7"/>
      <c r="M38" s="28"/>
    </row>
    <row r="39" spans="1:13" ht="15" x14ac:dyDescent="0.25">
      <c r="A39" s="6"/>
      <c r="B39" s="7"/>
      <c r="M39" s="28"/>
    </row>
    <row r="40" spans="1:13" ht="15" x14ac:dyDescent="0.25">
      <c r="A40" s="6"/>
      <c r="B40" s="10"/>
      <c r="M40" s="28"/>
    </row>
    <row r="41" spans="1:13" ht="15" x14ac:dyDescent="0.25">
      <c r="A41" s="6"/>
      <c r="B41" s="10"/>
      <c r="M41" s="28"/>
    </row>
    <row r="42" spans="1:13" ht="15" x14ac:dyDescent="0.25">
      <c r="A42" s="6"/>
      <c r="B42" s="7"/>
      <c r="M42" s="28"/>
    </row>
    <row r="43" spans="1:13" ht="15" x14ac:dyDescent="0.25">
      <c r="A43" s="6"/>
      <c r="B43" s="7"/>
      <c r="M43" s="28"/>
    </row>
    <row r="44" spans="1:13" ht="15" x14ac:dyDescent="0.25">
      <c r="A44" s="6"/>
      <c r="B44" s="7"/>
      <c r="M44" s="28"/>
    </row>
    <row r="45" spans="1:13" ht="15" x14ac:dyDescent="0.25">
      <c r="A45" s="6"/>
      <c r="B45" s="7"/>
      <c r="M45" s="28"/>
    </row>
    <row r="46" spans="1:13" ht="15" x14ac:dyDescent="0.25">
      <c r="A46" s="6"/>
      <c r="B46" s="7"/>
      <c r="M46" s="28"/>
    </row>
    <row r="47" spans="1:13" ht="15" x14ac:dyDescent="0.25">
      <c r="A47" s="6"/>
      <c r="B47" s="7"/>
      <c r="M47" s="28"/>
    </row>
    <row r="48" spans="1:13" ht="15" x14ac:dyDescent="0.25">
      <c r="A48" s="6"/>
      <c r="B48" s="7"/>
      <c r="M48" s="28"/>
    </row>
    <row r="49" spans="1:13" ht="15" x14ac:dyDescent="0.25">
      <c r="A49" s="6"/>
      <c r="B49" s="7"/>
      <c r="M49" s="28"/>
    </row>
    <row r="50" spans="1:13" ht="15" x14ac:dyDescent="0.25">
      <c r="A50" s="6"/>
      <c r="B50" s="10"/>
      <c r="M50" s="28"/>
    </row>
    <row r="51" spans="1:13" ht="15" x14ac:dyDescent="0.25">
      <c r="A51" s="6"/>
      <c r="B51" s="7"/>
      <c r="M51" s="28"/>
    </row>
    <row r="52" spans="1:13" ht="15" x14ac:dyDescent="0.25">
      <c r="A52" s="6"/>
      <c r="B52" s="7"/>
      <c r="M52" s="28"/>
    </row>
    <row r="53" spans="1:13" ht="15" x14ac:dyDescent="0.25">
      <c r="A53" s="6"/>
      <c r="B53" s="7"/>
      <c r="M53" s="28"/>
    </row>
    <row r="54" spans="1:13" ht="15" x14ac:dyDescent="0.25">
      <c r="A54" s="6"/>
      <c r="B54" s="7"/>
      <c r="M54" s="28"/>
    </row>
    <row r="55" spans="1:13" ht="15" x14ac:dyDescent="0.25">
      <c r="A55" s="6"/>
      <c r="B55" s="7"/>
      <c r="M55" s="28"/>
    </row>
    <row r="56" spans="1:13" ht="15" x14ac:dyDescent="0.25">
      <c r="A56" s="6"/>
      <c r="B56" s="10"/>
      <c r="M56" s="28"/>
    </row>
    <row r="57" spans="1:13" ht="15" x14ac:dyDescent="0.25">
      <c r="A57" s="6"/>
      <c r="B57" s="7"/>
      <c r="M57" s="28"/>
    </row>
    <row r="58" spans="1:13" ht="15" x14ac:dyDescent="0.25">
      <c r="A58" s="6"/>
      <c r="B58" s="10"/>
      <c r="M58" s="28"/>
    </row>
    <row r="59" spans="1:13" ht="15" x14ac:dyDescent="0.25">
      <c r="A59" s="6"/>
      <c r="B59" s="7"/>
      <c r="M59" s="28"/>
    </row>
    <row r="60" spans="1:13" ht="15" x14ac:dyDescent="0.25">
      <c r="A60" s="6"/>
      <c r="B60" s="10"/>
      <c r="M60" s="28"/>
    </row>
    <row r="61" spans="1:13" ht="15" x14ac:dyDescent="0.25">
      <c r="A61" s="11"/>
      <c r="B61" s="12"/>
      <c r="M61" s="28"/>
    </row>
    <row r="62" spans="1:13" ht="15" x14ac:dyDescent="0.25">
      <c r="A62" s="11"/>
      <c r="B62" s="10"/>
      <c r="M62" s="28"/>
    </row>
    <row r="63" spans="1:13" ht="15" x14ac:dyDescent="0.25">
      <c r="A63" s="6"/>
      <c r="B63" s="7"/>
      <c r="M63" s="28"/>
    </row>
    <row r="64" spans="1:13" ht="15" x14ac:dyDescent="0.25">
      <c r="A64" s="6"/>
      <c r="B64" s="10"/>
      <c r="M64" s="28"/>
    </row>
    <row r="65" spans="1:13" ht="15" x14ac:dyDescent="0.25">
      <c r="A65" s="6"/>
      <c r="B65" s="7"/>
      <c r="M65" s="28"/>
    </row>
    <row r="66" spans="1:13" ht="15" x14ac:dyDescent="0.25">
      <c r="A66" s="6"/>
      <c r="B66" s="10"/>
      <c r="M66" s="28"/>
    </row>
    <row r="67" spans="1:13" ht="15" x14ac:dyDescent="0.25">
      <c r="A67" s="6"/>
      <c r="B67" s="7"/>
      <c r="M67" s="28"/>
    </row>
    <row r="68" spans="1:13" ht="15" x14ac:dyDescent="0.25">
      <c r="A68" s="6"/>
      <c r="B68" s="10"/>
      <c r="M68" s="28"/>
    </row>
    <row r="69" spans="1:13" ht="15" x14ac:dyDescent="0.25">
      <c r="A69" s="11"/>
      <c r="B69" s="12"/>
      <c r="M69" s="28"/>
    </row>
    <row r="70" spans="1:13" ht="15" x14ac:dyDescent="0.25">
      <c r="A70" s="11"/>
      <c r="B70" s="10"/>
    </row>
    <row r="71" spans="1:13" ht="15" x14ac:dyDescent="0.25">
      <c r="A71" s="11"/>
      <c r="B71" s="10"/>
    </row>
    <row r="72" spans="1:13" ht="15" x14ac:dyDescent="0.25">
      <c r="A72" s="11"/>
      <c r="B72" s="10"/>
    </row>
    <row r="73" spans="1:13" ht="15" x14ac:dyDescent="0.25">
      <c r="A73" s="11"/>
      <c r="B73" s="10"/>
    </row>
    <row r="74" spans="1:13" ht="15" x14ac:dyDescent="0.25">
      <c r="A74" s="11"/>
      <c r="B74" s="10"/>
    </row>
    <row r="75" spans="1:13" ht="15" x14ac:dyDescent="0.25">
      <c r="A75" s="11"/>
      <c r="B75" s="10"/>
    </row>
    <row r="76" spans="1:13" ht="15" x14ac:dyDescent="0.25">
      <c r="A76" s="6"/>
      <c r="B76" s="7"/>
    </row>
    <row r="77" spans="1:13" ht="15" x14ac:dyDescent="0.25">
      <c r="A77" s="6"/>
      <c r="B77" s="7"/>
    </row>
    <row r="78" spans="1:13" ht="15" x14ac:dyDescent="0.25">
      <c r="A78" s="6"/>
      <c r="B78" s="10"/>
    </row>
    <row r="79" spans="1:13" ht="15" x14ac:dyDescent="0.25">
      <c r="A79" s="6"/>
      <c r="B79" s="7"/>
    </row>
    <row r="80" spans="1:13" ht="15" x14ac:dyDescent="0.25">
      <c r="A80" s="6"/>
      <c r="B80" s="7"/>
    </row>
    <row r="81" spans="1:2" ht="15" x14ac:dyDescent="0.25">
      <c r="A81" s="6"/>
      <c r="B81" s="7"/>
    </row>
    <row r="82" spans="1:2" ht="15" x14ac:dyDescent="0.25">
      <c r="A82" s="6"/>
      <c r="B82" s="10"/>
    </row>
    <row r="83" spans="1:2" ht="15" x14ac:dyDescent="0.25">
      <c r="A83" s="6"/>
      <c r="B83" s="7"/>
    </row>
    <row r="84" spans="1:2" ht="15" x14ac:dyDescent="0.25">
      <c r="A84" s="11"/>
      <c r="B84" s="12"/>
    </row>
    <row r="85" spans="1:2" ht="15" x14ac:dyDescent="0.25">
      <c r="A85" s="11"/>
      <c r="B85" s="10"/>
    </row>
    <row r="86" spans="1:2" ht="15" x14ac:dyDescent="0.25">
      <c r="A86" s="6"/>
      <c r="B86" s="7"/>
    </row>
    <row r="87" spans="1:2" ht="15" x14ac:dyDescent="0.25">
      <c r="A87" s="11"/>
      <c r="B87" s="12"/>
    </row>
    <row r="88" spans="1:2" ht="15" x14ac:dyDescent="0.25">
      <c r="A88" s="11"/>
      <c r="B88" s="10"/>
    </row>
    <row r="89" spans="1:2" ht="15" x14ac:dyDescent="0.25">
      <c r="A89" s="6"/>
      <c r="B89" s="7"/>
    </row>
    <row r="90" spans="1:2" ht="15" x14ac:dyDescent="0.25">
      <c r="A90" s="6"/>
      <c r="B90" s="7"/>
    </row>
    <row r="91" spans="1:2" ht="15" x14ac:dyDescent="0.25">
      <c r="A91" s="6"/>
      <c r="B91" s="10"/>
    </row>
    <row r="92" spans="1:2" ht="15" x14ac:dyDescent="0.25">
      <c r="A92" s="11"/>
      <c r="B92" s="12"/>
    </row>
    <row r="93" spans="1:2" ht="15" x14ac:dyDescent="0.25">
      <c r="A93" s="11"/>
      <c r="B93" s="7"/>
    </row>
    <row r="94" spans="1:2" ht="15" x14ac:dyDescent="0.25">
      <c r="A94" s="6"/>
      <c r="B94" s="7"/>
    </row>
    <row r="95" spans="1:2" ht="15" x14ac:dyDescent="0.25">
      <c r="A95" s="6"/>
      <c r="B95" s="10"/>
    </row>
    <row r="96" spans="1:2" ht="15" x14ac:dyDescent="0.25">
      <c r="A96" s="6"/>
      <c r="B96" s="7"/>
    </row>
    <row r="97" spans="1:2" ht="15" x14ac:dyDescent="0.25">
      <c r="A97" s="6"/>
      <c r="B97" s="10"/>
    </row>
    <row r="98" spans="1:2" ht="15" x14ac:dyDescent="0.25">
      <c r="A98" s="6"/>
      <c r="B98" s="7"/>
    </row>
    <row r="99" spans="1:2" ht="15" x14ac:dyDescent="0.25">
      <c r="A99" s="6"/>
      <c r="B99" s="10"/>
    </row>
    <row r="100" spans="1:2" ht="15" x14ac:dyDescent="0.25">
      <c r="A100" s="6"/>
      <c r="B100" s="7"/>
    </row>
    <row r="101" spans="1:2" ht="15" x14ac:dyDescent="0.25">
      <c r="A101" s="6"/>
      <c r="B101" s="10"/>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11"/>
      <c r="B116" s="12"/>
    </row>
    <row r="117" spans="1:2" ht="15" x14ac:dyDescent="0.25">
      <c r="A117" s="11"/>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7"/>
    </row>
    <row r="124" spans="1:2" ht="15" x14ac:dyDescent="0.25">
      <c r="A124" s="6"/>
      <c r="B124" s="10"/>
    </row>
    <row r="125" spans="1:2" ht="15" x14ac:dyDescent="0.25">
      <c r="A125" s="6"/>
      <c r="B125" s="7"/>
    </row>
    <row r="126" spans="1:2" ht="15" x14ac:dyDescent="0.25">
      <c r="A126" s="6"/>
      <c r="B126" s="10"/>
    </row>
    <row r="127" spans="1:2" ht="15" x14ac:dyDescent="0.25">
      <c r="A127" s="11"/>
      <c r="B127" s="12"/>
    </row>
    <row r="128" spans="1:2" ht="15" x14ac:dyDescent="0.25">
      <c r="A128" s="11"/>
      <c r="B128" s="10"/>
    </row>
    <row r="129" spans="1:2" ht="15" x14ac:dyDescent="0.25">
      <c r="A129" s="11"/>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11"/>
      <c r="B144" s="12"/>
    </row>
    <row r="145" spans="1:2" ht="15" x14ac:dyDescent="0.25">
      <c r="A145" s="11"/>
      <c r="B145" s="10"/>
    </row>
    <row r="146" spans="1:2" ht="15" x14ac:dyDescent="0.25">
      <c r="A146" s="11"/>
      <c r="B146" s="12"/>
    </row>
    <row r="147" spans="1:2" ht="15" x14ac:dyDescent="0.25">
      <c r="A147" s="11"/>
      <c r="B147" s="10"/>
    </row>
    <row r="148" spans="1:2" ht="15" x14ac:dyDescent="0.25">
      <c r="A148" s="6"/>
      <c r="B148" s="7"/>
    </row>
    <row r="149" spans="1:2" ht="15" x14ac:dyDescent="0.25">
      <c r="A149" s="6"/>
      <c r="B149" s="7"/>
    </row>
    <row r="150" spans="1:2" ht="15" x14ac:dyDescent="0.25">
      <c r="A150" s="6"/>
      <c r="B150" s="7"/>
    </row>
    <row r="151" spans="1:2" ht="15" x14ac:dyDescent="0.25">
      <c r="A151" s="6"/>
      <c r="B151" s="10"/>
    </row>
    <row r="152" spans="1:2" ht="15" x14ac:dyDescent="0.25">
      <c r="A152" s="6"/>
      <c r="B152" s="10"/>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6"/>
      <c r="B157" s="7"/>
    </row>
    <row r="158" spans="1:2" ht="15" x14ac:dyDescent="0.25">
      <c r="A158" s="6"/>
      <c r="B158" s="10"/>
    </row>
    <row r="159" spans="1:2" ht="15" x14ac:dyDescent="0.25">
      <c r="A159" s="6"/>
      <c r="B159" s="7"/>
    </row>
    <row r="160" spans="1:2" ht="15" x14ac:dyDescent="0.25">
      <c r="A160" s="6"/>
      <c r="B160" s="10"/>
    </row>
    <row r="161" spans="1:2" ht="15" x14ac:dyDescent="0.25">
      <c r="A161" s="11"/>
      <c r="B161" s="12"/>
    </row>
    <row r="162" spans="1:2" ht="15" x14ac:dyDescent="0.25">
      <c r="A162" s="11"/>
      <c r="B162" s="10"/>
    </row>
    <row r="163" spans="1:2" ht="15" x14ac:dyDescent="0.25">
      <c r="A163" s="6"/>
      <c r="B163" s="7"/>
    </row>
    <row r="164" spans="1:2" ht="15" x14ac:dyDescent="0.25">
      <c r="A164" s="6"/>
      <c r="B164" s="10"/>
    </row>
    <row r="165" spans="1:2" ht="15" x14ac:dyDescent="0.25">
      <c r="A165" s="6"/>
      <c r="B165" s="10"/>
    </row>
    <row r="166" spans="1:2" ht="15" x14ac:dyDescent="0.25">
      <c r="A166" s="6"/>
      <c r="B166" s="10"/>
    </row>
    <row r="167" spans="1:2" ht="15" x14ac:dyDescent="0.25">
      <c r="A167" s="6"/>
      <c r="B167" s="7"/>
    </row>
    <row r="168" spans="1:2" ht="15" x14ac:dyDescent="0.25">
      <c r="A168" s="6"/>
      <c r="B168" s="10"/>
    </row>
    <row r="169" spans="1:2" ht="15" x14ac:dyDescent="0.25">
      <c r="A169" s="6"/>
      <c r="B169" s="7"/>
    </row>
    <row r="170" spans="1:2" ht="15" x14ac:dyDescent="0.25">
      <c r="A170" s="6"/>
      <c r="B170" s="7"/>
    </row>
    <row r="171" spans="1:2" ht="15" x14ac:dyDescent="0.25">
      <c r="A171" s="6"/>
      <c r="B171" s="10"/>
    </row>
    <row r="172" spans="1:2" ht="15" x14ac:dyDescent="0.25">
      <c r="A172" s="6"/>
      <c r="B172" s="10"/>
    </row>
    <row r="173" spans="1:2" ht="15" x14ac:dyDescent="0.25">
      <c r="A173" s="11"/>
      <c r="B173" s="12"/>
    </row>
    <row r="174" spans="1:2" ht="15" x14ac:dyDescent="0.25">
      <c r="A174" s="11"/>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6"/>
      <c r="B181" s="10"/>
    </row>
    <row r="182" spans="1:2" ht="15" x14ac:dyDescent="0.25">
      <c r="A182" s="6"/>
      <c r="B182" s="10"/>
    </row>
    <row r="183" spans="1:2" ht="15" x14ac:dyDescent="0.25">
      <c r="A183" s="6"/>
      <c r="B183" s="10"/>
    </row>
    <row r="184" spans="1:2" ht="15" x14ac:dyDescent="0.25">
      <c r="A184" s="6"/>
      <c r="B184" s="7"/>
    </row>
    <row r="185" spans="1:2" ht="15" x14ac:dyDescent="0.25">
      <c r="A185" s="6"/>
      <c r="B185" s="10"/>
    </row>
    <row r="186" spans="1:2" ht="15" x14ac:dyDescent="0.25">
      <c r="A186" s="6"/>
      <c r="B186" s="7"/>
    </row>
    <row r="187" spans="1:2" ht="15" x14ac:dyDescent="0.25">
      <c r="A187" s="6"/>
      <c r="B187" s="10"/>
    </row>
    <row r="188" spans="1:2" ht="15" x14ac:dyDescent="0.25">
      <c r="A188" s="6"/>
      <c r="B188" s="7"/>
    </row>
    <row r="189" spans="1:2" ht="15" x14ac:dyDescent="0.25">
      <c r="A189" s="6"/>
      <c r="B189" s="10"/>
    </row>
    <row r="190" spans="1:2" ht="15" x14ac:dyDescent="0.25">
      <c r="A190" s="6"/>
      <c r="B190" s="10"/>
    </row>
    <row r="191" spans="1:2" ht="15" x14ac:dyDescent="0.25">
      <c r="A191" s="6"/>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10"/>
    </row>
    <row r="199" spans="1:2" ht="15" x14ac:dyDescent="0.25">
      <c r="A199" s="6"/>
      <c r="B199" s="7"/>
    </row>
    <row r="200" spans="1:2" ht="15" x14ac:dyDescent="0.25">
      <c r="A200" s="6"/>
      <c r="B200" s="10"/>
    </row>
    <row r="201" spans="1:2" ht="15" x14ac:dyDescent="0.25">
      <c r="A201" s="6"/>
      <c r="B201" s="10"/>
    </row>
    <row r="202" spans="1:2" ht="15" x14ac:dyDescent="0.25">
      <c r="A202" s="6"/>
      <c r="B202" s="10"/>
    </row>
    <row r="203" spans="1:2" ht="15" x14ac:dyDescent="0.25">
      <c r="A203" s="6"/>
      <c r="B203" s="7"/>
    </row>
    <row r="204" spans="1:2" ht="15" x14ac:dyDescent="0.25">
      <c r="A204" s="6"/>
      <c r="B204" s="10"/>
    </row>
    <row r="205" spans="1:2" ht="15" x14ac:dyDescent="0.25">
      <c r="A205" s="6"/>
      <c r="B205" s="7"/>
    </row>
    <row r="206" spans="1:2" ht="15" x14ac:dyDescent="0.25">
      <c r="A206" s="6"/>
      <c r="B206" s="10"/>
    </row>
    <row r="207" spans="1:2" ht="15" x14ac:dyDescent="0.25">
      <c r="A207" s="6"/>
      <c r="B207" s="7"/>
    </row>
    <row r="208" spans="1:2" ht="15" x14ac:dyDescent="0.25">
      <c r="A208" s="6"/>
      <c r="B208" s="7"/>
    </row>
    <row r="209" spans="1:2" ht="15" x14ac:dyDescent="0.25">
      <c r="A209" s="6"/>
      <c r="B209" s="7"/>
    </row>
    <row r="210" spans="1:2" ht="15" x14ac:dyDescent="0.25">
      <c r="A210" s="6"/>
      <c r="B210" s="7"/>
    </row>
    <row r="211" spans="1:2" ht="15" x14ac:dyDescent="0.25">
      <c r="A211" s="6"/>
      <c r="B211" s="7"/>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topLeftCell="H1" zoomScaleNormal="100" workbookViewId="0">
      <pane ySplit="2" topLeftCell="A3" activePane="bottomLeft" state="frozen"/>
      <selection pane="bottomLeft" activeCell="X19" sqref="X19"/>
    </sheetView>
  </sheetViews>
  <sheetFormatPr defaultColWidth="9" defaultRowHeight="12" x14ac:dyDescent="0.2"/>
  <cols>
    <col min="1" max="1" width="13.33203125" style="14" bestFit="1" customWidth="1"/>
    <col min="2" max="2" width="3.6640625" customWidth="1"/>
    <col min="3" max="3" width="26.6640625" style="43" bestFit="1" customWidth="1"/>
    <col min="4" max="4" width="3.6640625" style="43"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s>
  <sheetData>
    <row r="1" spans="1:25" ht="63.95" customHeight="1" x14ac:dyDescent="0.25">
      <c r="A1" s="16"/>
      <c r="C1" s="41"/>
      <c r="D1" s="41"/>
      <c r="E1" s="16"/>
    </row>
    <row r="2" spans="1:25" ht="32.1" customHeight="1" x14ac:dyDescent="0.2">
      <c r="A2" s="3" t="s">
        <v>314</v>
      </c>
      <c r="C2" s="3"/>
      <c r="D2" s="3"/>
      <c r="E2" s="19"/>
    </row>
    <row r="3" spans="1:25" ht="12" customHeight="1" x14ac:dyDescent="0.2">
      <c r="A3" s="14" t="s">
        <v>388</v>
      </c>
      <c r="C3" s="14" t="s">
        <v>401</v>
      </c>
      <c r="D3"/>
      <c r="E3" s="165" t="s">
        <v>402</v>
      </c>
      <c r="F3" s="44"/>
      <c r="G3" s="165" t="s">
        <v>399</v>
      </c>
      <c r="H3" s="165"/>
      <c r="I3" s="166" t="s">
        <v>40</v>
      </c>
      <c r="J3" s="165"/>
      <c r="K3" t="s">
        <v>46</v>
      </c>
      <c r="L3" s="165"/>
      <c r="M3" t="s">
        <v>409</v>
      </c>
      <c r="O3" t="s">
        <v>413</v>
      </c>
      <c r="Q3" t="s">
        <v>412</v>
      </c>
      <c r="S3" t="s">
        <v>31</v>
      </c>
      <c r="U3" t="s">
        <v>414</v>
      </c>
      <c r="W3" t="s">
        <v>415</v>
      </c>
      <c r="Y3" t="s">
        <v>32</v>
      </c>
    </row>
    <row r="4" spans="1:25" ht="12" customHeight="1" x14ac:dyDescent="0.2">
      <c r="A4" s="14" t="s">
        <v>389</v>
      </c>
      <c r="C4" s="191" t="s">
        <v>400</v>
      </c>
      <c r="D4"/>
      <c r="E4" s="185" t="s">
        <v>398</v>
      </c>
      <c r="F4" s="44"/>
      <c r="G4" s="185" t="s">
        <v>420</v>
      </c>
      <c r="H4" s="185"/>
      <c r="I4" s="166" t="s">
        <v>96</v>
      </c>
      <c r="J4" s="185"/>
      <c r="K4" t="s">
        <v>315</v>
      </c>
      <c r="L4" s="185"/>
      <c r="M4" s="189">
        <v>0</v>
      </c>
      <c r="O4" t="s">
        <v>410</v>
      </c>
      <c r="Q4" s="189">
        <v>0</v>
      </c>
      <c r="S4" t="s">
        <v>104</v>
      </c>
      <c r="U4" s="189">
        <v>0</v>
      </c>
      <c r="W4" s="189">
        <v>0</v>
      </c>
      <c r="Y4" s="5" t="s">
        <v>107</v>
      </c>
    </row>
    <row r="5" spans="1:25" ht="12" customHeight="1" x14ac:dyDescent="0.2">
      <c r="A5" s="14" t="s">
        <v>390</v>
      </c>
      <c r="C5" s="191" t="s">
        <v>94</v>
      </c>
      <c r="D5"/>
      <c r="E5" s="14" t="s">
        <v>393</v>
      </c>
      <c r="F5" s="44"/>
      <c r="G5" s="185" t="s">
        <v>406</v>
      </c>
      <c r="H5" s="14"/>
      <c r="I5" s="166" t="s">
        <v>99</v>
      </c>
      <c r="J5" s="14"/>
      <c r="K5" t="s">
        <v>316</v>
      </c>
      <c r="L5" s="14"/>
      <c r="M5" s="189">
        <v>1</v>
      </c>
      <c r="O5" t="s">
        <v>411</v>
      </c>
      <c r="Q5" s="189">
        <v>1</v>
      </c>
      <c r="S5" t="s">
        <v>418</v>
      </c>
      <c r="U5" s="189">
        <v>1</v>
      </c>
      <c r="W5" s="189">
        <v>1</v>
      </c>
      <c r="Y5" s="5" t="s">
        <v>421</v>
      </c>
    </row>
    <row r="6" spans="1:25" ht="12" customHeight="1" x14ac:dyDescent="0.2">
      <c r="A6" s="14" t="s">
        <v>391</v>
      </c>
      <c r="C6" s="191" t="s">
        <v>97</v>
      </c>
      <c r="D6"/>
      <c r="E6" s="185" t="s">
        <v>395</v>
      </c>
      <c r="F6" s="44"/>
      <c r="G6" s="14" t="s">
        <v>407</v>
      </c>
      <c r="H6" s="43"/>
      <c r="I6" s="15"/>
      <c r="J6" s="185"/>
      <c r="K6" t="s">
        <v>317</v>
      </c>
      <c r="L6" s="185"/>
      <c r="M6" s="189">
        <v>2</v>
      </c>
      <c r="O6" s="43"/>
      <c r="Q6" s="189">
        <v>2</v>
      </c>
      <c r="S6" t="s">
        <v>419</v>
      </c>
      <c r="U6" s="189">
        <v>2</v>
      </c>
      <c r="W6" s="189">
        <v>2</v>
      </c>
      <c r="Y6" s="5" t="s">
        <v>422</v>
      </c>
    </row>
    <row r="7" spans="1:25" ht="12" customHeight="1" x14ac:dyDescent="0.2">
      <c r="A7"/>
      <c r="C7" s="185"/>
      <c r="D7"/>
      <c r="E7" s="14" t="s">
        <v>394</v>
      </c>
      <c r="F7" s="44"/>
      <c r="G7" s="43"/>
      <c r="H7" s="43"/>
      <c r="I7" s="15"/>
      <c r="J7" s="14"/>
      <c r="L7" s="14"/>
      <c r="M7" s="189">
        <v>3</v>
      </c>
      <c r="O7" s="43"/>
      <c r="Q7" s="189">
        <v>3</v>
      </c>
      <c r="U7" s="189">
        <v>3</v>
      </c>
      <c r="W7" s="189">
        <v>3</v>
      </c>
      <c r="Y7" s="5" t="s">
        <v>423</v>
      </c>
    </row>
    <row r="8" spans="1:25" ht="12" customHeight="1" x14ac:dyDescent="0.2">
      <c r="A8"/>
      <c r="C8"/>
      <c r="D8"/>
      <c r="E8" s="185" t="s">
        <v>396</v>
      </c>
      <c r="F8" s="44"/>
      <c r="G8" s="43"/>
      <c r="H8" s="43"/>
      <c r="I8" s="15"/>
      <c r="J8" s="185"/>
      <c r="L8" s="185"/>
      <c r="M8" s="189">
        <v>4</v>
      </c>
      <c r="O8" s="43"/>
      <c r="Q8" s="189">
        <v>4</v>
      </c>
      <c r="U8" s="189">
        <v>4</v>
      </c>
      <c r="W8" s="189">
        <v>4</v>
      </c>
      <c r="Y8" s="5" t="s">
        <v>109</v>
      </c>
    </row>
    <row r="9" spans="1:25" ht="12" customHeight="1" x14ac:dyDescent="0.2">
      <c r="A9"/>
      <c r="C9"/>
      <c r="D9"/>
      <c r="E9" s="185" t="s">
        <v>397</v>
      </c>
      <c r="F9" s="44"/>
      <c r="G9" s="43"/>
      <c r="H9" s="43"/>
      <c r="I9" s="15"/>
      <c r="J9" s="185"/>
      <c r="L9" s="185"/>
      <c r="M9" s="189">
        <v>5</v>
      </c>
      <c r="O9" s="43"/>
      <c r="Q9" s="189">
        <v>5</v>
      </c>
      <c r="S9" s="43"/>
      <c r="U9" s="189">
        <v>5</v>
      </c>
      <c r="W9" s="189">
        <v>5</v>
      </c>
      <c r="Y9" s="5" t="s">
        <v>424</v>
      </c>
    </row>
    <row r="10" spans="1:25" ht="12" customHeight="1" x14ac:dyDescent="0.2">
      <c r="A10"/>
      <c r="C10"/>
      <c r="D10"/>
      <c r="E10" s="14"/>
      <c r="F10" s="44"/>
      <c r="G10" s="43"/>
      <c r="H10" s="43"/>
      <c r="I10" s="43"/>
      <c r="J10" s="43"/>
      <c r="K10" s="43"/>
      <c r="L10" s="43"/>
      <c r="M10" s="189">
        <v>6</v>
      </c>
      <c r="N10" s="43"/>
      <c r="O10" s="43"/>
      <c r="P10" s="15"/>
      <c r="Q10" s="190">
        <v>6</v>
      </c>
      <c r="R10" s="43"/>
      <c r="S10" s="43"/>
      <c r="U10" s="190">
        <v>6</v>
      </c>
      <c r="W10" s="190">
        <v>6</v>
      </c>
      <c r="Y10" s="5" t="s">
        <v>425</v>
      </c>
    </row>
    <row r="11" spans="1:25" x14ac:dyDescent="0.2">
      <c r="A11"/>
      <c r="C11"/>
      <c r="D11"/>
      <c r="E11" s="14"/>
      <c r="F11" s="44"/>
      <c r="G11" s="43"/>
      <c r="H11" s="43"/>
      <c r="I11" s="43"/>
      <c r="J11" s="43"/>
      <c r="K11" s="43"/>
      <c r="L11" s="43"/>
      <c r="M11" s="190">
        <v>7</v>
      </c>
      <c r="N11" s="43"/>
      <c r="O11" s="43"/>
      <c r="P11" s="15"/>
      <c r="Q11" s="190">
        <v>7</v>
      </c>
      <c r="R11" s="43"/>
      <c r="S11" s="43"/>
      <c r="U11" s="190">
        <v>7</v>
      </c>
      <c r="W11" s="190">
        <v>7</v>
      </c>
    </row>
    <row r="12" spans="1:25" x14ac:dyDescent="0.2">
      <c r="A12"/>
      <c r="C12"/>
      <c r="D12"/>
      <c r="E12" s="14"/>
      <c r="F12" s="44"/>
      <c r="G12" s="43"/>
      <c r="H12" s="43"/>
      <c r="I12" s="43"/>
      <c r="J12" s="43"/>
      <c r="K12" s="43"/>
      <c r="L12" s="43"/>
      <c r="M12" s="190">
        <v>8</v>
      </c>
      <c r="N12" s="43"/>
      <c r="O12" s="43"/>
      <c r="P12" s="15"/>
      <c r="Q12" s="190">
        <v>8</v>
      </c>
      <c r="R12" s="43"/>
      <c r="S12" s="43"/>
      <c r="U12" s="190">
        <v>8</v>
      </c>
      <c r="W12" s="190">
        <v>8</v>
      </c>
      <c r="Y12" s="43"/>
    </row>
    <row r="13" spans="1:25" x14ac:dyDescent="0.2">
      <c r="A13"/>
      <c r="C13"/>
      <c r="D13"/>
      <c r="E13" s="14"/>
      <c r="F13" s="44"/>
      <c r="G13" s="43"/>
      <c r="H13" s="43"/>
      <c r="I13" s="43"/>
      <c r="J13" s="43"/>
      <c r="K13" s="43"/>
      <c r="L13" s="43"/>
      <c r="M13" s="190">
        <v>9</v>
      </c>
      <c r="N13" s="43"/>
      <c r="O13" s="43"/>
      <c r="P13" s="15"/>
      <c r="Q13" s="190">
        <v>9</v>
      </c>
      <c r="R13" s="43"/>
      <c r="S13" s="43"/>
      <c r="U13" s="190">
        <v>9</v>
      </c>
      <c r="W13" s="190">
        <v>9</v>
      </c>
      <c r="Y13" s="43"/>
    </row>
    <row r="14" spans="1:25" x14ac:dyDescent="0.2">
      <c r="A14" s="43"/>
      <c r="C14"/>
      <c r="D14"/>
      <c r="E14" s="14"/>
      <c r="F14" s="44"/>
      <c r="G14" s="43"/>
      <c r="H14" s="43"/>
      <c r="I14" s="43"/>
      <c r="J14" s="43"/>
      <c r="K14" s="43"/>
      <c r="L14" s="43"/>
      <c r="M14" s="190">
        <v>10</v>
      </c>
      <c r="N14" s="43"/>
      <c r="O14" s="43"/>
      <c r="P14" s="15"/>
      <c r="Q14" s="190">
        <v>10</v>
      </c>
      <c r="R14" s="43"/>
      <c r="S14" s="43"/>
      <c r="U14" s="190">
        <v>10</v>
      </c>
      <c r="W14" s="190">
        <v>10</v>
      </c>
      <c r="Y14" s="43"/>
    </row>
    <row r="15" spans="1:25" x14ac:dyDescent="0.2">
      <c r="A15" s="43"/>
      <c r="D15"/>
      <c r="E15" s="14"/>
      <c r="F15" s="44"/>
      <c r="G15" s="43"/>
      <c r="H15" s="43"/>
      <c r="I15" s="43"/>
      <c r="J15" s="43"/>
      <c r="K15" s="43"/>
      <c r="L15" s="43"/>
      <c r="M15" s="43"/>
      <c r="N15" s="43"/>
      <c r="O15" s="43"/>
      <c r="P15" s="15"/>
      <c r="S15" s="43"/>
      <c r="Y15" s="43"/>
    </row>
    <row r="16" spans="1:25" s="43" customFormat="1" x14ac:dyDescent="0.2">
      <c r="E16" s="14"/>
      <c r="F16" s="44"/>
      <c r="P16" s="15"/>
      <c r="Q16"/>
      <c r="R16"/>
    </row>
    <row r="17" spans="1:16" s="43" customFormat="1" x14ac:dyDescent="0.2">
      <c r="E17" s="14"/>
      <c r="F17" s="44"/>
      <c r="P17" s="15"/>
    </row>
    <row r="18" spans="1:16" s="43" customFormat="1" x14ac:dyDescent="0.2">
      <c r="E18" s="14"/>
      <c r="F18" s="44"/>
      <c r="P18" s="15"/>
    </row>
    <row r="19" spans="1:16" s="43" customFormat="1" x14ac:dyDescent="0.2">
      <c r="E19" s="14"/>
      <c r="F19" s="44"/>
      <c r="P19" s="15"/>
    </row>
    <row r="20" spans="1:16" s="43" customFormat="1" x14ac:dyDescent="0.2">
      <c r="A20" s="14"/>
      <c r="E20" s="14"/>
      <c r="F20" s="44"/>
      <c r="P20" s="15"/>
    </row>
    <row r="21" spans="1:16" s="43" customFormat="1" x14ac:dyDescent="0.2">
      <c r="A21" s="14"/>
      <c r="E21" s="14"/>
      <c r="F21" s="44"/>
      <c r="P21" s="15"/>
    </row>
    <row r="22" spans="1:16" s="43" customFormat="1" x14ac:dyDescent="0.2">
      <c r="A22" s="14"/>
      <c r="B22" s="44"/>
      <c r="E22" s="15"/>
    </row>
    <row r="23" spans="1:16" s="43" customFormat="1" x14ac:dyDescent="0.2">
      <c r="A23" s="14"/>
      <c r="B23" s="44"/>
      <c r="E23" s="15"/>
    </row>
    <row r="24" spans="1:16" s="43" customFormat="1" x14ac:dyDescent="0.2">
      <c r="A24" s="14"/>
      <c r="B24" s="44"/>
      <c r="E24" s="15"/>
    </row>
    <row r="25" spans="1:16" s="43" customFormat="1" x14ac:dyDescent="0.2">
      <c r="A25" s="14"/>
      <c r="B25" s="44"/>
      <c r="E25" s="15"/>
    </row>
    <row r="26" spans="1:16" s="43" customFormat="1" x14ac:dyDescent="0.2">
      <c r="A26" s="14"/>
      <c r="B26" s="44"/>
      <c r="E26" s="15"/>
    </row>
    <row r="27" spans="1:16" s="43" customFormat="1" x14ac:dyDescent="0.2">
      <c r="A27" s="14"/>
      <c r="B27" s="44"/>
      <c r="E27" s="15"/>
    </row>
    <row r="28" spans="1:16" s="43" customFormat="1" x14ac:dyDescent="0.2">
      <c r="A28" s="14"/>
      <c r="B28" s="44"/>
      <c r="E28" s="15"/>
    </row>
    <row r="29" spans="1:16" s="43" customFormat="1" x14ac:dyDescent="0.2">
      <c r="A29" s="14"/>
      <c r="B29" s="44"/>
      <c r="E29" s="15"/>
    </row>
    <row r="30" spans="1:16" s="43" customFormat="1" x14ac:dyDescent="0.2">
      <c r="A30" s="14"/>
      <c r="B30" s="44"/>
      <c r="E30" s="15"/>
    </row>
    <row r="31" spans="1:16" s="43" customFormat="1" x14ac:dyDescent="0.2">
      <c r="A31" s="14"/>
      <c r="B31" s="44"/>
      <c r="E31" s="15"/>
    </row>
    <row r="32" spans="1:16" s="43" customFormat="1" x14ac:dyDescent="0.2">
      <c r="A32" s="14"/>
      <c r="B32" s="44"/>
      <c r="E32" s="15"/>
    </row>
    <row r="33" spans="1:5" s="43" customFormat="1" x14ac:dyDescent="0.2">
      <c r="A33" s="14"/>
      <c r="B33" s="44"/>
      <c r="E33" s="15"/>
    </row>
    <row r="34" spans="1:5" s="43" customFormat="1" x14ac:dyDescent="0.2">
      <c r="A34" s="14"/>
      <c r="B34" s="44"/>
      <c r="E34" s="15"/>
    </row>
    <row r="35" spans="1:5" s="43" customFormat="1" x14ac:dyDescent="0.2">
      <c r="A35" s="14"/>
      <c r="B35" s="44"/>
      <c r="E35" s="15"/>
    </row>
    <row r="36" spans="1:5" s="43" customFormat="1" x14ac:dyDescent="0.2">
      <c r="A36" s="14"/>
      <c r="B36" s="44"/>
      <c r="E36" s="15"/>
    </row>
    <row r="37" spans="1:5" s="43" customFormat="1" x14ac:dyDescent="0.2">
      <c r="A37" s="14"/>
      <c r="B37" s="44"/>
      <c r="E37" s="15"/>
    </row>
    <row r="38" spans="1:5" s="43" customFormat="1" x14ac:dyDescent="0.2">
      <c r="A38" s="14"/>
      <c r="B38" s="44"/>
      <c r="E38" s="15"/>
    </row>
    <row r="39" spans="1:5" s="43" customFormat="1" x14ac:dyDescent="0.2">
      <c r="A39" s="14"/>
      <c r="B39" s="44"/>
      <c r="E39" s="15"/>
    </row>
    <row r="40" spans="1:5" s="43" customFormat="1" x14ac:dyDescent="0.2">
      <c r="A40" s="14"/>
      <c r="B40" s="44"/>
      <c r="E40" s="15"/>
    </row>
    <row r="41" spans="1:5" s="43" customFormat="1" x14ac:dyDescent="0.2">
      <c r="A41" s="14"/>
      <c r="B41" s="44"/>
      <c r="E41" s="15"/>
    </row>
    <row r="42" spans="1:5" s="43" customFormat="1" x14ac:dyDescent="0.2">
      <c r="A42" s="14"/>
      <c r="B42" s="44"/>
      <c r="E42" s="15"/>
    </row>
    <row r="43" spans="1:5" s="43" customFormat="1" x14ac:dyDescent="0.2">
      <c r="A43" s="14"/>
      <c r="B43" s="44"/>
      <c r="E43" s="15"/>
    </row>
    <row r="44" spans="1:5" s="43" customFormat="1" x14ac:dyDescent="0.2">
      <c r="A44" s="14"/>
      <c r="B44" s="44"/>
      <c r="E44" s="15"/>
    </row>
    <row r="45" spans="1:5" s="43" customFormat="1" x14ac:dyDescent="0.2">
      <c r="A45" s="14"/>
      <c r="B45" s="44"/>
      <c r="E45" s="15"/>
    </row>
    <row r="46" spans="1:5" s="43" customFormat="1" x14ac:dyDescent="0.2">
      <c r="A46" s="14"/>
      <c r="B46" s="44"/>
      <c r="E46" s="15"/>
    </row>
    <row r="47" spans="1:5" s="43" customFormat="1" x14ac:dyDescent="0.2">
      <c r="A47" s="14"/>
      <c r="B47" s="44"/>
      <c r="E47" s="15"/>
    </row>
    <row r="48" spans="1:5" s="43" customFormat="1" x14ac:dyDescent="0.2">
      <c r="A48" s="14"/>
      <c r="B48" s="44"/>
      <c r="E48" s="15"/>
    </row>
    <row r="49" spans="1:5" s="43" customFormat="1" x14ac:dyDescent="0.2">
      <c r="A49" s="14"/>
      <c r="B49" s="44"/>
      <c r="E49" s="15"/>
    </row>
    <row r="50" spans="1:5" s="43" customFormat="1" x14ac:dyDescent="0.2">
      <c r="A50" s="14"/>
      <c r="B50" s="44"/>
      <c r="E50" s="15"/>
    </row>
    <row r="51" spans="1:5" s="43" customFormat="1" x14ac:dyDescent="0.2">
      <c r="A51" s="14"/>
      <c r="B51" s="44"/>
      <c r="E51" s="15"/>
    </row>
    <row r="52" spans="1:5" s="43" customFormat="1" x14ac:dyDescent="0.2">
      <c r="A52" s="14"/>
      <c r="B52" s="44"/>
      <c r="E52" s="15"/>
    </row>
    <row r="53" spans="1:5" s="43" customFormat="1" x14ac:dyDescent="0.2">
      <c r="A53" s="14"/>
      <c r="B53" s="44"/>
      <c r="E53" s="15"/>
    </row>
    <row r="54" spans="1:5" s="43" customFormat="1" x14ac:dyDescent="0.2">
      <c r="A54" s="14"/>
      <c r="B54" s="44"/>
      <c r="E54" s="15"/>
    </row>
    <row r="55" spans="1:5" s="43" customFormat="1" x14ac:dyDescent="0.2">
      <c r="A55" s="14"/>
      <c r="B55" s="44"/>
      <c r="E55" s="15"/>
    </row>
    <row r="56" spans="1:5" s="43" customFormat="1" x14ac:dyDescent="0.2">
      <c r="A56" s="14"/>
      <c r="B56" s="44"/>
      <c r="E56" s="15"/>
    </row>
    <row r="57" spans="1:5" s="43" customFormat="1" x14ac:dyDescent="0.2">
      <c r="A57" s="14"/>
      <c r="B57" s="44"/>
      <c r="E57" s="15"/>
    </row>
    <row r="58" spans="1:5" s="43" customFormat="1" x14ac:dyDescent="0.2">
      <c r="A58" s="14"/>
      <c r="B58" s="44"/>
      <c r="E58" s="15"/>
    </row>
    <row r="59" spans="1:5" s="43" customFormat="1" x14ac:dyDescent="0.2">
      <c r="A59" s="14"/>
      <c r="B59" s="44"/>
      <c r="E59" s="15"/>
    </row>
    <row r="60" spans="1:5" s="43" customFormat="1" x14ac:dyDescent="0.2">
      <c r="A60" s="14"/>
      <c r="B60" s="44"/>
      <c r="E60" s="15"/>
    </row>
    <row r="61" spans="1:5" s="43" customFormat="1" x14ac:dyDescent="0.2">
      <c r="A61" s="14"/>
      <c r="B61" s="44"/>
      <c r="E61" s="15"/>
    </row>
    <row r="62" spans="1:5" s="43" customFormat="1" x14ac:dyDescent="0.2">
      <c r="A62" s="14"/>
      <c r="B62" s="44"/>
      <c r="E62" s="15"/>
    </row>
    <row r="63" spans="1:5" s="43" customFormat="1" x14ac:dyDescent="0.2">
      <c r="A63" s="14"/>
      <c r="B63" s="44"/>
      <c r="E63" s="15"/>
    </row>
    <row r="64" spans="1:5" s="43" customFormat="1" x14ac:dyDescent="0.2">
      <c r="A64" s="14"/>
      <c r="B64" s="44"/>
      <c r="E64" s="15"/>
    </row>
    <row r="65" spans="1:5" s="43" customFormat="1" x14ac:dyDescent="0.2">
      <c r="A65" s="14"/>
      <c r="B65" s="44"/>
      <c r="E65" s="15"/>
    </row>
    <row r="66" spans="1:5" s="43" customFormat="1" x14ac:dyDescent="0.2">
      <c r="A66" s="14"/>
      <c r="B66" s="44"/>
      <c r="E66" s="15"/>
    </row>
    <row r="67" spans="1:5" s="43" customFormat="1" x14ac:dyDescent="0.2">
      <c r="A67" s="14"/>
      <c r="B67" s="44"/>
      <c r="E67" s="15"/>
    </row>
    <row r="68" spans="1:5" s="43" customFormat="1" x14ac:dyDescent="0.2">
      <c r="A68" s="14"/>
      <c r="B68" s="44"/>
      <c r="E68" s="15"/>
    </row>
    <row r="69" spans="1:5" s="43" customFormat="1" x14ac:dyDescent="0.2">
      <c r="A69" s="14"/>
      <c r="B69" s="44"/>
      <c r="E69" s="15"/>
    </row>
    <row r="70" spans="1:5" s="43" customFormat="1" x14ac:dyDescent="0.2">
      <c r="A70" s="14"/>
      <c r="B70" s="44"/>
      <c r="E70" s="15"/>
    </row>
    <row r="71" spans="1:5" s="43" customFormat="1" x14ac:dyDescent="0.2">
      <c r="A71" s="14"/>
      <c r="B71" s="44"/>
      <c r="E71" s="15"/>
    </row>
    <row r="72" spans="1:5" s="43" customFormat="1" x14ac:dyDescent="0.2">
      <c r="A72" s="14"/>
      <c r="B72" s="44"/>
      <c r="E72" s="15"/>
    </row>
    <row r="73" spans="1:5" s="43" customFormat="1" x14ac:dyDescent="0.2">
      <c r="A73" s="14"/>
      <c r="B73" s="44"/>
      <c r="E73" s="15"/>
    </row>
    <row r="74" spans="1:5" s="43" customFormat="1" x14ac:dyDescent="0.2">
      <c r="A74" s="14"/>
      <c r="B74" s="44"/>
      <c r="E74" s="15"/>
    </row>
    <row r="75" spans="1:5" s="43" customFormat="1" x14ac:dyDescent="0.2">
      <c r="A75" s="14"/>
      <c r="B75" s="44"/>
      <c r="E75" s="15"/>
    </row>
    <row r="76" spans="1:5" s="43" customFormat="1" x14ac:dyDescent="0.2">
      <c r="A76" s="14"/>
      <c r="B76" s="44"/>
      <c r="E76" s="15"/>
    </row>
    <row r="77" spans="1:5" s="43" customFormat="1" x14ac:dyDescent="0.2">
      <c r="A77" s="14"/>
      <c r="B77" s="44"/>
      <c r="E77" s="15"/>
    </row>
    <row r="78" spans="1:5" s="43" customFormat="1" x14ac:dyDescent="0.2">
      <c r="A78" s="14"/>
      <c r="B78" s="44"/>
      <c r="E78" s="15"/>
    </row>
    <row r="79" spans="1:5" s="43" customFormat="1" x14ac:dyDescent="0.2">
      <c r="A79" s="14"/>
      <c r="B79" s="44"/>
      <c r="E79" s="15"/>
    </row>
    <row r="80" spans="1:5" s="43" customFormat="1" x14ac:dyDescent="0.2">
      <c r="A80" s="14"/>
      <c r="B80" s="44"/>
      <c r="E80" s="15"/>
    </row>
    <row r="81" spans="1:19" s="43" customFormat="1" x14ac:dyDescent="0.2">
      <c r="A81" s="14"/>
      <c r="B81" s="44"/>
      <c r="E81" s="15"/>
    </row>
    <row r="82" spans="1:19" s="43" customFormat="1" x14ac:dyDescent="0.2">
      <c r="A82" s="14"/>
      <c r="B82" s="44"/>
      <c r="E82" s="15"/>
    </row>
    <row r="83" spans="1:19" s="43" customFormat="1" x14ac:dyDescent="0.2">
      <c r="A83" s="14"/>
      <c r="B83" s="44"/>
      <c r="E83" s="15"/>
    </row>
    <row r="84" spans="1:19" s="43" customFormat="1" x14ac:dyDescent="0.2">
      <c r="A84" s="14"/>
      <c r="B84" s="44"/>
      <c r="E84" s="15"/>
    </row>
    <row r="85" spans="1:19" s="43" customFormat="1" x14ac:dyDescent="0.2">
      <c r="A85" s="14"/>
      <c r="B85" s="44"/>
      <c r="E85" s="15"/>
    </row>
    <row r="86" spans="1:19" s="43" customFormat="1" x14ac:dyDescent="0.2">
      <c r="A86" s="14"/>
      <c r="B86" s="44"/>
      <c r="E86" s="15"/>
    </row>
    <row r="87" spans="1:19" s="43" customFormat="1" x14ac:dyDescent="0.2">
      <c r="A87" s="14"/>
      <c r="B87" s="44"/>
      <c r="E87" s="15"/>
    </row>
    <row r="88" spans="1:19" s="43" customFormat="1" x14ac:dyDescent="0.2">
      <c r="A88" s="14"/>
      <c r="B88" s="44"/>
      <c r="E88" s="15"/>
    </row>
    <row r="89" spans="1:19" s="43" customFormat="1" x14ac:dyDescent="0.2">
      <c r="A89" s="14"/>
      <c r="B89" s="44"/>
      <c r="E89" s="15"/>
    </row>
    <row r="90" spans="1:19" s="43" customFormat="1" x14ac:dyDescent="0.2">
      <c r="A90" s="14"/>
      <c r="B90" s="44"/>
      <c r="E90" s="15"/>
    </row>
    <row r="91" spans="1:19" s="43" customFormat="1" x14ac:dyDescent="0.2">
      <c r="A91" s="14"/>
      <c r="B91" s="44"/>
      <c r="E91" s="15"/>
    </row>
    <row r="92" spans="1:19" s="43" customFormat="1" x14ac:dyDescent="0.2">
      <c r="A92" s="14"/>
      <c r="B92" s="44"/>
      <c r="E92" s="15"/>
    </row>
    <row r="93" spans="1:19" s="43" customFormat="1" x14ac:dyDescent="0.2">
      <c r="A93" s="14"/>
      <c r="B93" s="44"/>
      <c r="E93" s="15"/>
      <c r="O93"/>
    </row>
    <row r="94" spans="1:19" s="43" customFormat="1" x14ac:dyDescent="0.2">
      <c r="A94" s="14"/>
      <c r="B94" s="44"/>
      <c r="E94" s="15"/>
      <c r="O94"/>
    </row>
    <row r="95" spans="1:19" s="43" customFormat="1" x14ac:dyDescent="0.2">
      <c r="A95" s="14"/>
      <c r="B95" s="44"/>
      <c r="E95" s="15"/>
      <c r="O95"/>
    </row>
    <row r="96" spans="1:19" s="43" customFormat="1" x14ac:dyDescent="0.2">
      <c r="A96" s="14"/>
      <c r="B96" s="44"/>
      <c r="E96" s="15"/>
      <c r="O96"/>
      <c r="S96"/>
    </row>
    <row r="97" spans="1:25" s="43" customFormat="1" x14ac:dyDescent="0.2">
      <c r="A97" s="14"/>
      <c r="B97" s="44"/>
      <c r="E97" s="15"/>
      <c r="O97"/>
      <c r="S97"/>
    </row>
    <row r="98" spans="1:25" s="43" customFormat="1" x14ac:dyDescent="0.2">
      <c r="A98" s="14"/>
      <c r="B98" s="44"/>
      <c r="E98" s="15"/>
      <c r="O98"/>
      <c r="S98"/>
    </row>
    <row r="99" spans="1:25" s="43" customFormat="1" x14ac:dyDescent="0.2">
      <c r="A99" s="14"/>
      <c r="B99" s="44"/>
      <c r="E99" s="15"/>
      <c r="M99"/>
      <c r="O99"/>
      <c r="S99"/>
      <c r="Y99"/>
    </row>
    <row r="100" spans="1:25" s="43" customFormat="1" x14ac:dyDescent="0.2">
      <c r="A100" s="14"/>
      <c r="B100" s="44"/>
      <c r="E100" s="15"/>
      <c r="M100"/>
      <c r="O100"/>
      <c r="S100"/>
      <c r="Y100"/>
    </row>
    <row r="101" spans="1:25" s="43" customFormat="1" x14ac:dyDescent="0.2">
      <c r="A101" s="14"/>
      <c r="B101" s="44"/>
      <c r="E101" s="15"/>
      <c r="H101"/>
      <c r="M101"/>
      <c r="O101"/>
      <c r="S101"/>
      <c r="Y101"/>
    </row>
    <row r="102" spans="1:25" s="43" customFormat="1" x14ac:dyDescent="0.2">
      <c r="A102" s="14"/>
      <c r="B102" s="44"/>
      <c r="E102" s="15"/>
      <c r="G102"/>
      <c r="H102"/>
      <c r="M102"/>
      <c r="N102"/>
      <c r="O102"/>
      <c r="S102"/>
      <c r="Y102"/>
    </row>
    <row r="103" spans="1:25" x14ac:dyDescent="0.2">
      <c r="I103" s="43"/>
      <c r="J103" s="43"/>
      <c r="K103" s="43"/>
      <c r="L103" s="43"/>
      <c r="Q103" s="43"/>
      <c r="R103" s="43"/>
    </row>
    <row r="104" spans="1:25" x14ac:dyDescent="0.2">
      <c r="I104" s="43"/>
      <c r="J104" s="43"/>
      <c r="K104" s="43"/>
      <c r="L104" s="43"/>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3"/>
      <c r="D199" s="43"/>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66"/>
  <sheetViews>
    <sheetView topLeftCell="A43" workbookViewId="0">
      <selection activeCell="A67" sqref="A67"/>
    </sheetView>
  </sheetViews>
  <sheetFormatPr defaultRowHeight="12" x14ac:dyDescent="0.2"/>
  <cols>
    <col min="1" max="1" width="141.33203125" customWidth="1"/>
  </cols>
  <sheetData>
    <row r="1" spans="1:2" x14ac:dyDescent="0.2">
      <c r="A1" t="s">
        <v>328</v>
      </c>
      <c r="B1" t="s">
        <v>429</v>
      </c>
    </row>
    <row r="2" spans="1:2" x14ac:dyDescent="0.2">
      <c r="A2" t="s">
        <v>338</v>
      </c>
      <c r="B2" t="s">
        <v>429</v>
      </c>
    </row>
    <row r="3" spans="1:2" x14ac:dyDescent="0.2">
      <c r="A3" t="s">
        <v>319</v>
      </c>
      <c r="B3" t="s">
        <v>429</v>
      </c>
    </row>
    <row r="4" spans="1:2" x14ac:dyDescent="0.2">
      <c r="A4" t="s">
        <v>320</v>
      </c>
      <c r="B4" t="s">
        <v>429</v>
      </c>
    </row>
    <row r="5" spans="1:2" x14ac:dyDescent="0.2">
      <c r="A5" t="s">
        <v>321</v>
      </c>
      <c r="B5" t="s">
        <v>429</v>
      </c>
    </row>
    <row r="6" spans="1:2" x14ac:dyDescent="0.2">
      <c r="A6" t="s">
        <v>322</v>
      </c>
      <c r="B6" t="s">
        <v>429</v>
      </c>
    </row>
    <row r="7" spans="1:2" x14ac:dyDescent="0.2">
      <c r="A7" t="s">
        <v>323</v>
      </c>
      <c r="B7" t="s">
        <v>429</v>
      </c>
    </row>
    <row r="8" spans="1:2" x14ac:dyDescent="0.2">
      <c r="A8" t="s">
        <v>324</v>
      </c>
      <c r="B8" t="s">
        <v>429</v>
      </c>
    </row>
    <row r="9" spans="1:2" x14ac:dyDescent="0.2">
      <c r="A9" t="s">
        <v>325</v>
      </c>
    </row>
    <row r="10" spans="1:2" x14ac:dyDescent="0.2">
      <c r="A10" t="s">
        <v>326</v>
      </c>
    </row>
    <row r="11" spans="1:2" x14ac:dyDescent="0.2">
      <c r="A11" t="s">
        <v>341</v>
      </c>
      <c r="B11" t="s">
        <v>429</v>
      </c>
    </row>
    <row r="12" spans="1:2" x14ac:dyDescent="0.2">
      <c r="A12" t="s">
        <v>342</v>
      </c>
      <c r="B12" t="s">
        <v>429</v>
      </c>
    </row>
    <row r="14" spans="1:2" x14ac:dyDescent="0.2">
      <c r="A14" t="s">
        <v>327</v>
      </c>
    </row>
    <row r="15" spans="1:2" x14ac:dyDescent="0.2">
      <c r="A15" t="s">
        <v>329</v>
      </c>
    </row>
    <row r="16" spans="1:2" x14ac:dyDescent="0.2">
      <c r="A16" t="s">
        <v>330</v>
      </c>
    </row>
    <row r="17" spans="1:2" x14ac:dyDescent="0.2">
      <c r="A17" t="s">
        <v>331</v>
      </c>
    </row>
    <row r="19" spans="1:2" x14ac:dyDescent="0.2">
      <c r="A19" t="s">
        <v>334</v>
      </c>
    </row>
    <row r="21" spans="1:2" x14ac:dyDescent="0.2">
      <c r="A21" t="s">
        <v>332</v>
      </c>
    </row>
    <row r="22" spans="1:2" x14ac:dyDescent="0.2">
      <c r="A22" t="s">
        <v>333</v>
      </c>
    </row>
    <row r="23" spans="1:2" x14ac:dyDescent="0.2">
      <c r="A23" t="s">
        <v>335</v>
      </c>
    </row>
    <row r="24" spans="1:2" x14ac:dyDescent="0.2">
      <c r="A24" t="s">
        <v>337</v>
      </c>
    </row>
    <row r="26" spans="1:2" x14ac:dyDescent="0.2">
      <c r="A26" t="s">
        <v>503</v>
      </c>
    </row>
    <row r="27" spans="1:2" x14ac:dyDescent="0.2">
      <c r="A27" t="s">
        <v>502</v>
      </c>
    </row>
    <row r="30" spans="1:2" x14ac:dyDescent="0.2">
      <c r="A30" t="s">
        <v>484</v>
      </c>
    </row>
    <row r="31" spans="1:2" x14ac:dyDescent="0.2">
      <c r="A31" t="s">
        <v>483</v>
      </c>
      <c r="B31" t="s">
        <v>429</v>
      </c>
    </row>
    <row r="32" spans="1:2" x14ac:dyDescent="0.2">
      <c r="A32" t="s">
        <v>500</v>
      </c>
      <c r="B32" t="s">
        <v>429</v>
      </c>
    </row>
    <row r="33" spans="1:2" x14ac:dyDescent="0.2">
      <c r="A33" t="s">
        <v>488</v>
      </c>
      <c r="B33" t="s">
        <v>429</v>
      </c>
    </row>
    <row r="34" spans="1:2" x14ac:dyDescent="0.2">
      <c r="A34" t="s">
        <v>489</v>
      </c>
      <c r="B34" t="s">
        <v>429</v>
      </c>
    </row>
    <row r="35" spans="1:2" x14ac:dyDescent="0.2">
      <c r="A35" t="s">
        <v>495</v>
      </c>
      <c r="B35" t="s">
        <v>429</v>
      </c>
    </row>
    <row r="36" spans="1:2" x14ac:dyDescent="0.2">
      <c r="A36" t="s">
        <v>496</v>
      </c>
      <c r="B36" t="s">
        <v>429</v>
      </c>
    </row>
    <row r="37" spans="1:2" x14ac:dyDescent="0.2">
      <c r="A37" t="s">
        <v>505</v>
      </c>
      <c r="B37" t="s">
        <v>429</v>
      </c>
    </row>
    <row r="38" spans="1:2" x14ac:dyDescent="0.2">
      <c r="A38" t="s">
        <v>498</v>
      </c>
      <c r="B38" t="s">
        <v>429</v>
      </c>
    </row>
    <row r="39" spans="1:2" x14ac:dyDescent="0.2">
      <c r="A39" t="s">
        <v>499</v>
      </c>
      <c r="B39" t="s">
        <v>429</v>
      </c>
    </row>
    <row r="40" spans="1:2" x14ac:dyDescent="0.2">
      <c r="A40" t="s">
        <v>493</v>
      </c>
    </row>
    <row r="41" spans="1:2" x14ac:dyDescent="0.2">
      <c r="A41" t="s">
        <v>501</v>
      </c>
      <c r="B41" t="s">
        <v>429</v>
      </c>
    </row>
    <row r="43" spans="1:2" x14ac:dyDescent="0.2">
      <c r="A43" t="s">
        <v>340</v>
      </c>
    </row>
    <row r="44" spans="1:2" x14ac:dyDescent="0.2">
      <c r="A44" t="s">
        <v>339</v>
      </c>
    </row>
    <row r="45" spans="1:2" x14ac:dyDescent="0.2">
      <c r="A45" t="s">
        <v>487</v>
      </c>
    </row>
    <row r="46" spans="1:2" x14ac:dyDescent="0.2">
      <c r="A46" t="s">
        <v>497</v>
      </c>
    </row>
    <row r="47" spans="1:2" x14ac:dyDescent="0.2">
      <c r="A47" t="s">
        <v>492</v>
      </c>
    </row>
    <row r="48" spans="1:2" x14ac:dyDescent="0.2">
      <c r="A48" t="s">
        <v>494</v>
      </c>
    </row>
    <row r="49" spans="1:1" x14ac:dyDescent="0.2">
      <c r="A49" t="s">
        <v>504</v>
      </c>
    </row>
    <row r="53" spans="1:1" x14ac:dyDescent="0.2">
      <c r="A53" t="s">
        <v>508</v>
      </c>
    </row>
    <row r="54" spans="1:1" x14ac:dyDescent="0.2">
      <c r="A54" t="s">
        <v>509</v>
      </c>
    </row>
    <row r="55" spans="1:1" x14ac:dyDescent="0.2">
      <c r="A55" t="s">
        <v>510</v>
      </c>
    </row>
    <row r="56" spans="1:1" x14ac:dyDescent="0.2">
      <c r="A56" t="s">
        <v>511</v>
      </c>
    </row>
    <row r="57" spans="1:1" x14ac:dyDescent="0.2">
      <c r="A57" t="s">
        <v>512</v>
      </c>
    </row>
    <row r="58" spans="1:1" x14ac:dyDescent="0.2">
      <c r="A58" t="s">
        <v>513</v>
      </c>
    </row>
    <row r="59" spans="1:1" x14ac:dyDescent="0.2">
      <c r="A59" t="s">
        <v>514</v>
      </c>
    </row>
    <row r="60" spans="1:1" x14ac:dyDescent="0.2">
      <c r="A60" t="s">
        <v>515</v>
      </c>
    </row>
    <row r="61" spans="1:1" x14ac:dyDescent="0.2">
      <c r="A61" t="s">
        <v>516</v>
      </c>
    </row>
    <row r="62" spans="1:1" x14ac:dyDescent="0.2">
      <c r="A62" t="s">
        <v>517</v>
      </c>
    </row>
    <row r="63" spans="1:1" x14ac:dyDescent="0.2">
      <c r="A63" t="s">
        <v>518</v>
      </c>
    </row>
    <row r="64" spans="1:1" x14ac:dyDescent="0.2">
      <c r="A64" t="s">
        <v>519</v>
      </c>
    </row>
    <row r="65" spans="1:1" x14ac:dyDescent="0.2">
      <c r="A65" t="s">
        <v>520</v>
      </c>
    </row>
    <row r="66" spans="1:1" x14ac:dyDescent="0.2">
      <c r="A66" t="s">
        <v>521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Report1</vt:lpstr>
      <vt:lpstr>Constants</vt:lpstr>
      <vt:lpstr>Controls</vt:lpstr>
      <vt:lpstr>Job Ref</vt:lpstr>
      <vt:lpstr>Schedules</vt:lpstr>
      <vt:lpstr>SchedulesRef</vt:lpstr>
      <vt:lpstr>Exceptions</vt:lpstr>
      <vt:lpstr>ReleaseNotes</vt:lpstr>
      <vt:lpstr>Lists</vt:lpstr>
      <vt:lpstr>Todo</vt:lpstr>
      <vt:lpstr>BlockQuantity</vt:lpstr>
      <vt:lpstr>HeadClearance_mm</vt:lpstr>
      <vt:lpstr>LegQuantity</vt:lpstr>
      <vt:lpstr>MarginForHingeClearance_mm</vt:lpstr>
      <vt:lpstr>MeetingStyleClearance_mm</vt:lpstr>
      <vt:lpstr>PerformanceExport</vt:lpstr>
      <vt:lpstr>PerformanceImport</vt:lpstr>
      <vt:lpstr>PerformanceProcess</vt:lpstr>
      <vt:lpstr>StrappingQuantity</vt:lpstr>
      <vt:lpstr>StrappingThickness_mm</vt:lpstr>
      <vt:lpstr>StrappingWidth_mm</vt:lpstr>
      <vt:lpstr>ThresholdQuantity</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2020-09-16T16:48:04Z</cp:lastPrinted>
  <dcterms:created xsi:type="dcterms:W3CDTF">2019-05-16T09:51:05Z</dcterms:created>
  <dcterms:modified xsi:type="dcterms:W3CDTF">2020-09-16T17:01:21Z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