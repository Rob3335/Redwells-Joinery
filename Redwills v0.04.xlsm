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70A1C998-8330-44D2-AE7D-80E06FC43A0D}" xr6:coauthVersionLast="45" xr6:coauthVersionMax="45" xr10:uidLastSave="{00000000-0000-0000-0000-000000000000}"/>
  <bookViews>
    <workbookView xWindow="-120" yWindow="-120" windowWidth="20730" windowHeight="11160" tabRatio="500" firstSheet="3" activeTab="3" xr2:uid="{00000000-000D-0000-FFFF-FFFF00000000}"/>
  </bookViews>
  <sheets>
    <sheet name="Page Page Ref" sheetId="43" r:id="rId1"/>
    <sheet name="Report1" sheetId="42" r:id="rId2"/>
    <sheet name="Constants" sheetId="41" r:id="rId3"/>
    <sheet name="Controls" sheetId="9" r:id="rId4"/>
    <sheet name="Sheet1" sheetId="44" r:id="rId5"/>
    <sheet name="Job Ref" sheetId="37" r:id="rId6"/>
    <sheet name="Schedules" sheetId="38" r:id="rId7"/>
    <sheet name="SchedulesRef" sheetId="36" r:id="rId8"/>
    <sheet name="Exceptions" sheetId="11" r:id="rId9"/>
    <sheet name="ReleaseNotes" sheetId="8" r:id="rId10"/>
    <sheet name="Lists" sheetId="39" r:id="rId11"/>
    <sheet name="Todo" sheetId="40" r:id="rId12"/>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<sst xmlns="http://schemas.openxmlformats.org/spreadsheetml/2006/main" count="5404" uniqueCount="590">
  <si>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</si>
  <si>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</si>
  <si>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</si>
  <si>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</si>
  <si>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</si>
  <si>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</si>
  <si>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</si>
  <si>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</si>
  <si>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</si>
  <si>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</si>
  <si>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</si>
  <si>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</si>
  <si>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</si>
  <si>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</si>
  <si>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</si>
  <si>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</si>
  <si>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</si>
  <si>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</si>
  <si>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</si>
  <si>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</si>
  <si>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</si>
  <si>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</si>
  <si>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</si>
  <si>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</si>
  <si>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</si>
  <si>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</si>
  <si>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</si>
  <si>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</si>
  <si>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</si>
  <si>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</si>
  <si>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</si>
  <si>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</si>
  <si>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</si>
  <si>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</si>
  <si>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</si>
  <si>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</si>
  <si>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</si>
  <si>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</si>
  <si>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</si>
  <si>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</si>
  <si>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</si>
  <si>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</si>
  <si>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</si>
  <si>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</si>
  <si>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</si>
  <si>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</si>
  <si>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</si>
  <si>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</si>
  <si>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</si>
  <si>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</si>
  <si>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</si>
  <si>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</si>
  <si>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</si>
  <si>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</si>
  <si>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</si>
  <si>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</si>
  <si>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</si>
  <si>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</si>
  <si>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</si>
  <si>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</si>
  <si>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</si>
  <si>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</si>
  <si>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</si>
  <si>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</si>
  <si>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</si>
  <si>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</si>
  <si>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</si>
  <si>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</si>
  <si>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</si>
  <si>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</si>
  <si>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</si>
  <si>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</si>
  <si>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</si>
  <si>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</si>
  <si>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</si>
  <si>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</si>
  <si>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</si>
  <si>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</si>
  <si>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</si>
  <si>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</si>
  <si>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</si>
  <si>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</si>
  <si>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</si>
  <si>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</si>
  <si>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</si>
  <si>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</si>
  <si>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</si>
  <si>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</si>
  <si>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</si>
  <si>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</si>
  <si>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</si>
  <si>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</si>
  <si>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</si>
  <si>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</si>
  <si>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</si>
  <si>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</si>
  <si>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</si>
  <si>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</si>
  <si>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</si>
  <si>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</si>
  <si>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</si>
  <si>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</si>
  <si>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</si>
  <si>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</si>
  <si>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</si>
  <si>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</si>
  <si>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</si>
  <si>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</si>
  <si>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</si>
  <si>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</si>
  <si>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</si>
  <si>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</si>
  <si>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</si>
  <si>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</si>
  <si>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</si>
  <si>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</si>
  <si>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</si>
  <si>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</si>
  <si>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</si>
  <si>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</si>
  <si>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</si>
  <si>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</si>
  <si>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</si>
  <si>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</si>
  <si>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</si>
  <si>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</si>
  <si>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</si>
  <si>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</si>
  <si>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</si>
  <si>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</si>
  <si>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</si>
  <si>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</si>
  <si>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</si>
  <si>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</si>
  <si>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</si>
  <si>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</si>
  <si>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</si>
  <si>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</si>
  <si>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</si>
  <si>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</si>
  <si>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</si>
  <si>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</si>
  <si>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</si>
  <si>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</si>
  <si>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</si>
  <si>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</si>
  <si>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</si>
  <si>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</si>
  <si>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</si>
  <si>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</si>
  <si>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</si>
  <si>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</si>
  <si>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</si>
  <si>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</si>
  <si>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</si>
  <si>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</si>
  <si>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</si>
  <si>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</si>
  <si>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</si>
  <si>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</si>
  <si>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</si>
  <si>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</si>
  <si>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</si>
  <si>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</si>
  <si>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</si>
  <si>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</si>
  <si>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</si>
  <si>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</si>
  <si>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</si>
  <si>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</si>
  <si>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</si>
  <si>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</si>
  <si>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</si>
  <si>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</si>
  <si>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</si>
  <si>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</si>
  <si>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</si>
  <si>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</si>
  <si>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</si>
  <si>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</si>
  <si>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</si>
  <si>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</si>
  <si>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</si>
  <si>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</si>
  <si>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</si>
  <si>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</si>
  <si>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</si>
  <si>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</si>
  <si>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</si>
  <si>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</si>
  <si>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</si>
  <si>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</si>
  <si>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</si>
  <si>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</si>
  <si>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</si>
  <si>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</si>
  <si>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</si>
  <si>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</si>
  <si>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</si>
  <si>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</si>
  <si>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</si>
  <si>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</si>
  <si>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</si>
  <si>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</si>
  <si>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</si>
  <si>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</si>
  <si>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</si>
  <si>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</si>
  <si>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</si>
  <si>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</si>
  <si>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</si>
  <si>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</si>
  <si>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</si>
  <si>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</si>
  <si>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</si>
  <si>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</si>
  <si>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</si>
  <si>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</si>
  <si>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</si>
  <si>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</si>
  <si>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</si>
  <si>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</si>
  <si>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</si>
  <si>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</si>
  <si>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</si>
  <si>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</si>
  <si>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</si>
  <si>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</si>
  <si>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</si>
  <si>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</si>
  <si>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</si>
  <si>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</si>
  <si>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</si>
  <si>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</si>
  <si>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</si>
  <si>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</si>
  <si>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</si>
  <si>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</si>
  <si>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</si>
  <si>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</si>
  <si>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</si>
  <si>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</si>
  <si>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</si>
  <si>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</si>
  <si>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</si>
  <si>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</si>
  <si>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</si>
  <si>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</si>
  <si>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</si>
  <si>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</si>
  <si>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</si>
  <si>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</si>
  <si>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</si>
  <si>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</si>
  <si>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</si>
  <si>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</si>
  <si>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</si>
  <si>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</si>
  <si>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</si>
  <si>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</si>
  <si>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</si>
  <si>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</si>
  <si>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</si>
  <si>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</si>
  <si>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</si>
  <si>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</si>
  <si>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</si>
  <si>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</si>
  <si>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</si>
  <si>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</si>
  <si>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</si>
  <si>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</si>
  <si>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</si>
  <si>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</si>
  <si>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</si>
  <si>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</si>
  <si>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</si>
  <si>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</si>
  <si>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</si>
  <si>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</si>
  <si>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</si>
  <si>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</si>
  <si>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</si>
  <si>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</si>
  <si>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</si>
  <si>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</si>
  <si>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</si>
  <si>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</si>
  <si>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</si>
  <si>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</si>
  <si>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</si>
  <si>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</si>
  <si>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</si>
  <si>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</si>
  <si>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</si>
  <si>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</si>
  <si>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</si>
  <si>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</si>
  <si>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</si>
  <si>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</si>
  <si>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</si>
  <si>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</si>
  <si>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</si>
  <si>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</si>
  <si>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</si>
  <si>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</si>
  <si>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</si>
  <si>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</si>
  <si>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</si>
  <si>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</si>
  <si>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</si>
  <si>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</si>
  <si>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</si>
  <si>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</si>
  <si>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</si>
  <si>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</si>
  <si>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</si>
  <si>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</si>
  <si>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</si>
  <si>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</si>
  <si>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</si>
  <si>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</si>
  <si>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</si>
  <si>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</si>
  <si>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</si>
  <si>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</si>
  <si>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</si>
  <si>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</si>
  <si>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</si>
  <si>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</si>
  <si>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</si>
  <si>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</si>
  <si>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</si>
  <si>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</si>
  <si>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</si>
  <si>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</si>
  <si>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</si>
  <si>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</si>
  <si>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</si>
  <si>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</si>
  <si>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</si>
  <si>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</si>
  <si>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</si>
  <si>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</si>
  <si>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</si>
  <si>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</si>
  <si>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</si>
  <si>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</si>
  <si>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</si>
  <si>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</si>
  <si>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</si>
  <si>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</si>
  <si>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</si>
  <si>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</si>
  <si>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</si>
  <si>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</si>
  <si>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</si>
  <si>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</si>
  <si>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</si>
  <si>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</si>
  <si>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</si>
  <si>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</si>
  <si>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</si>
  <si>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</si>
  <si>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</si>
  <si>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</si>
  <si>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</si>
  <si>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</si>
  <si>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</si>
  <si>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</si>
  <si>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</si>
  <si>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</si>
  <si>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</si>
  <si>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</si>
  <si>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</si>
  <si>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</si>
  <si>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</si>
  <si>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</si>
  <si>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</si>
  <si>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</si>
  <si>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</si>
  <si>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</si>
  <si>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</si>
  <si>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</si>
  <si>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</si>
  <si>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</si>
  <si>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</si>
  <si>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</si>
  <si>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</si>
  <si>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</si>
  <si>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</si>
  <si>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</si>
  <si>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</si>
  <si>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</si>
  <si>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</si>
  <si>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</si>
  <si>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</si>
  <si>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</si>
  <si>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</si>
  <si>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</si>
  <si>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</si>
  <si>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</si>
  <si>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</si>
  <si>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</si>
  <si>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</si>
  <si>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</si>
  <si>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</si>
  <si>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</si>
  <si>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</si>
  <si>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</si>
  <si>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</si>
  <si>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</si>
  <si>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</si>
  <si>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</si>
  <si>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</si>
  <si>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</si>
  <si>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</si>
  <si>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</si>
  <si>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</si>
  <si>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</si>
  <si>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</si>
  <si>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</si>
  <si>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</si>
  <si>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</si>
  <si>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</si>
  <si>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</si>
  <si>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</si>
  <si>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</si>
  <si>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</si>
  <si>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</si>
  <si>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</si>
  <si>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</si>
  <si>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</si>
  <si>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</si>
  <si>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</si>
  <si>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</si>
  <si>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</si>
  <si>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</si>
  <si>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</si>
  <si>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</si>
  <si>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</si>
  <si>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</si>
  <si>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</si>
  <si>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</si>
  <si>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</si>
  <si>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</si>
  <si>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</si>
  <si>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</si>
  <si>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</si>
  <si>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</si>
  <si>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</si>
  <si>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</si>
  <si>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</si>
  <si>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</si>
  <si>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</si>
  <si>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</si>
  <si>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</si>
  <si>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</si>
  <si>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</si>
  <si>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</si>
  <si>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</si>
  <si>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</si>
  <si>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</si>
  <si>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</si>
  <si>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</si>
  <si>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</si>
  <si>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</si>
  <si>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</si>
  <si>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</si>
  <si>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</si>
  <si>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</si>
  <si>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</si>
  <si>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</si>
  <si>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</si>
  <si>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</si>
  <si>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</si>
  <si>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</si>
  <si>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</si>
  <si>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</si>
  <si>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Downstairs toilet</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</si>
  <si>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</si>
  <si>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</si>
  <si>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</si>
  <si>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</si>
  <si>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</si>
  <si>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</si>
  <si>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</si>
  <si>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</si>
  <si>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</si>
  <si>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</si>
  <si>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</si>
  <si>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</si>
  <si>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</si>
  <si>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</si>
  <si>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</si>
  <si>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</si>
  <si>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</si>
  <si>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</si>
  <si>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</si>
  <si>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</si>
  <si>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</si>
  <si>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</si>
  <si>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</si>
  <si>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</si>
  <si>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</si>
  <si>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</si>
  <si>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</si>
  <si>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</si>
  <si>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</si>
  <si>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</si>
  <si>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</si>
  <si>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</si>
  <si>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</si>
  <si>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</si>
  <si>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</si>
  <si>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</si>
  <si>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</si>
  <si>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</si>
  <si>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</si>
  <si>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</si>
  <si>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</si>
  <si>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</si>
  <si>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</si>
  <si>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</si>
  <si>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</si>
  <si>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</si>
  <si>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</si>
  <si>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</si>
  <si>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</si>
  <si>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</si>
  <si>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</si>
  <si>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</si>
  <si>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</si>
  <si>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</si>
  <si>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</si>
  <si>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</si>
  <si>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</si>
  <si>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</si>
  <si>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</si>
  <si>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</si>
  <si>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</si>
  <si>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</si>
  <si>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</si>
  <si>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</si>
  <si>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</si>
  <si>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</si>
  <si>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</si>
  <si>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</si>
  <si>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</si>
  <si>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</si>
  <si>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</si>
  <si>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</si>
  <si>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</si>
  <si>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</si>
  <si>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</si>
  <si>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</si>
  <si>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</si>
  <si>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</si>
  <si>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</si>
  <si>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</si>
  <si>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</si>
  <si>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</si>
  <si>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</si>
  <si>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</si>
  <si>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</si>
  <si>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</si>
  <si>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</si>
  <si>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</si>
  <si>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</si>
  <si>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</si>
  <si>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</si>
  <si>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</si>
  <si>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</si>
  <si>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</si>
  <si>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</si>
  <si>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</si>
  <si>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</si>
  <si>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</si>
  <si>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</si>
  <si>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</si>
  <si>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</si>
  <si>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</si>
  <si>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</si>
  <si>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2</t>
  </si>
  <si>
    <t>Bedroom 3</t>
  </si>
  <si>
    <t>Include facings</t>
  </si>
  <si>
    <t>RPM: Combine facings  onto one tab.  Checkbox for whether controls are enabled</t>
  </si>
  <si>
    <t>RPM. Add ability to mirror door.  On mirrored door can change location, ref but not any values in the multipage</t>
  </si>
  <si>
    <t>RPM. Parts of the form don't work if a door is deleted as index given door number rather than row number a door is in</t>
  </si>
  <si>
    <t>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</si>
</sst>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8" fillId="0" borderId="0" xfId="0" applyFont="1" applyFill="1" applyAlignment="1">
      <alignment vertical="center"/>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8" fillId="0" borderId="0" xfId="0" applyFont="1" applyFill="1" applyAlignment="1">
      <alignment horizontal="center" vertic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8">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7"/>
      <tableStyleElement type="secondSubtotalRow" dxfId="96"/>
      <tableStyleElement type="thirdSubtotalRow" dxfId="9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692943</xdr:colOff>
      <xdr:row>2</xdr:row>
      <xdr:rowOff>230585</xdr:rowOff>
    </xdr:from>
    <xdr:to>
      <xdr:col>1</xdr:col>
      <xdr:colOff>647302</xdr:colOff>
      <xdr:row>3</xdr:row>
      <xdr:rowOff>193278</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692943" y="1433116"/>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4" dataDxfId="93">
  <autoFilter ref="A3:B14" xr:uid="{46B05878-3C26-48D2-BABD-E80EB00EAFDE}"/>
  <tableColumns count="2">
    <tableColumn id="1" xr3:uid="{C1DD83A2-653E-4627-8930-ACBCCE77789E}" name="Constant name" dataDxfId="92"/>
    <tableColumn id="2" xr3:uid="{A9145533-B66B-47C9-A95D-53EB03D79361}" name="Value" dataDxfId="9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0"/>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89" dataDxfId="88">
  <autoFilter ref="J3:L9" xr:uid="{17A7A251-CB23-4371-B0BB-8F9962D21228}"/>
  <tableColumns count="3">
    <tableColumn id="1" xr3:uid="{82F5BB6B-0EC7-4077-B16B-ACCD87098A8D}" name="Timber widths (mm)" dataDxfId="87"/>
    <tableColumn id="2" xr3:uid="{598FE3FC-6493-4228-B531-5F1504D3177B}" name="Min cut (mm)" dataDxfId="86"/>
    <tableColumn id="3" xr3:uid="{373993A9-4710-478C-9EE7-52600C4EE1CC}" name="Max cut (mm)"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4" dataDxfId="83">
  <autoFilter ref="N3:P6" xr:uid="{98B60C2B-9BAB-43DB-9D0B-2AF9E4EDFAAF}"/>
  <tableColumns count="3">
    <tableColumn id="1" xr3:uid="{33DFDE00-0307-4FA5-8852-A2E11B18FD2D}" name="Timber thickness (mm)" dataDxfId="82"/>
    <tableColumn id="2" xr3:uid="{6847C624-DECB-4924-BBC3-FCCE4414230F}" name="Min cut (mm)" dataDxfId="81"/>
    <tableColumn id="3" xr3:uid="{B4507771-0E50-4655-A977-CCFE84522E91}" name="Max cut (mm)" dataDxfId="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13" totalsRowShown="0" headerRowDxfId="74" dataDxfId="72" headerRowBorderDxfId="73" tableBorderDxfId="71" headerRowCellStyle="Normal 2" dataCellStyle="Normal 2">
  <autoFilter ref="A3:AR13" xr:uid="{DE85FB59-543A-41EE-A949-B9F186418161}"/>
  <tableColumns count="44">
    <tableColumn id="63" xr3:uid="{EE02FA41-B767-4EDA-8A42-16775A1CE61D}" name="Number" dataDxfId="70" dataCellStyle="Normal 2"/>
    <tableColumn id="1" xr3:uid="{C2547AE1-A085-4B64-A835-5930DF641EFF}" name="Flat / plot" dataDxfId="69" dataCellStyle="Normal 2"/>
    <tableColumn id="2" xr3:uid="{5E685CB6-772D-43F5-947F-8F004694B5D8}" name="Door spec" dataDxfId="68" dataCellStyle="Normal 2"/>
    <tableColumn id="3" xr3:uid="{DA6E3C03-A706-4B73-8852-6750B4D70BA0}" name="Location" dataDxfId="67" dataCellStyle="Normal 2"/>
    <tableColumn id="4" xr3:uid="{0C4D87F5-5C2B-466D-9A4E-1F3B3731B622}" name="Door ref/number" dataDxfId="66" dataCellStyle="Normal 2"/>
    <tableColumn id="5" xr3:uid="{C2DF3D45-E4A7-461C-9D39-335EDF5260F8}" name="Fire Rating" dataDxfId="65" dataCellStyle="Normal 2"/>
    <tableColumn id="6" xr3:uid="{2C999091-B956-44CC-822F-AB4EDFD7E332}" name="Instrument strip" dataDxfId="64" dataCellStyle="Normal 2"/>
    <tableColumn id="7" xr3:uid="{B064A130-78DC-431E-9521-58512D72A4DC}" name="Flipper colour" dataDxfId="63" dataCellStyle="Normal 2"/>
    <tableColumn id="8" xr3:uid="{3B94FCCB-CC65-47C5-8377-A8CC723E2C77}" name="Doorset layout" dataDxfId="62" dataCellStyle="Normal 2"/>
    <tableColumn id="64" xr3:uid="{3822204B-AB43-4164-BD78-7DB1A9CEA471}" name="Handing" dataDxfId="61" dataCellStyle="Normal 2"/>
    <tableColumn id="9" xr3:uid="{648CC17C-1403-4838-9C11-DCE9FE411B0C}" name="Lead door width (mm)" dataDxfId="60" dataCellStyle="Normal 2"/>
    <tableColumn id="10" xr3:uid="{6B663A8E-A3E3-4365-B5A0-635C3DC26C51}" name="Slave door width (mm)" dataDxfId="59" dataCellStyle="Normal 2"/>
    <tableColumn id="11" xr3:uid="{DC51496B-E561-4AB0-912D-42DE11D3FD11}" name="Door height (mm)" dataDxfId="58" dataCellStyle="Normal 2"/>
    <tableColumn id="12" xr3:uid="{A91C5037-F37B-4806-92A5-7C8F8E02DF77}" name="Door thickness (mm)" dataDxfId="57" dataCellStyle="Normal 2"/>
    <tableColumn id="13" xr3:uid="{811715EE-8154-491E-853B-04119F5D1B3C}" name="Aperture fire rating" dataDxfId="56" dataCellStyle="Normal 2"/>
    <tableColumn id="14" xr3:uid="{D5527189-CEBA-49D3-B4D4-411F61006300}" name="Aperture quantity" dataDxfId="55" dataCellStyle="Normal 2"/>
    <tableColumn id="16" xr3:uid="{61B44BE8-7015-4DA9-B8FC-8E3AED49F8A8}" name="Hinge type" dataDxfId="54" dataCellStyle="Normal 2"/>
    <tableColumn id="17" xr3:uid="{BFEB86BD-1D6F-4779-A2E0-6F771B7275F3}" name="Hinge quantity" dataDxfId="53" dataCellStyle="Normal 2"/>
    <tableColumn id="18" xr3:uid="{2B44A9FC-919B-42B5-8270-212A48A74DBF}" name="Ironmongery" dataDxfId="52" dataCellStyle="Normal 2"/>
    <tableColumn id="19" xr3:uid="{D0325A9D-6F8B-43AA-BA29-613A006ED5AD}" name="Flush bolt quantity " dataDxfId="51" dataCellStyle="Normal 2"/>
    <tableColumn id="20" xr3:uid="{64A84D9A-0E9B-44A9-8B8D-21722651638C}" name="Roller catch quantity" dataDxfId="50" dataCellStyle="Normal 2"/>
    <tableColumn id="21" xr3:uid="{BF743E01-BC3C-4C71-8C45-A44A4E19D021}" name="Frame timber" dataDxfId="49" dataCellStyle="Normal 2"/>
    <tableColumn id="22" xr3:uid="{85E42A7A-6DE8-4DC6-88A0-FECE51C842E1}" name="Frame thickness (mm)" dataDxfId="48" dataCellStyle="Normal 2"/>
    <tableColumn id="23" xr3:uid="{F5C26954-B720-489D-8F32-7EA10C8532B8}" name="Frame width (mm)" dataDxfId="47" dataCellStyle="Normal 2"/>
    <tableColumn id="24" xr3:uid="{02CB49B1-90B8-4CEC-9E34-7844CF63B008}" name="Lintol thickness (mm)" dataDxfId="46" dataCellStyle="Normal 2"/>
    <tableColumn id="25" xr3:uid="{08F24E03-6DF2-48DC-88E7-7EEF8460001D}" name="Stop timber" dataDxfId="45" dataCellStyle="Normal 2"/>
    <tableColumn id="26" xr3:uid="{73748A60-7FED-45DC-B4F3-0C5D10635A35}" name="Stop thickness (mm)" dataDxfId="44" dataCellStyle="Normal 2"/>
    <tableColumn id="27" xr3:uid="{92495BFC-5E5E-428F-B5DC-E22977F1228D}" name="Stop width (mm)" dataDxfId="43" dataCellStyle="Normal 2"/>
    <tableColumn id="28" xr3:uid="{41E3299C-E614-4A4C-BF04-DB83D466CF8F}" name="Undercut" dataDxfId="42" dataCellStyle="Normal 2"/>
    <tableColumn id="15" xr3:uid="{4DA4E20C-E8CD-4128-9E31-5343E60A84AD}" name="Include facings" dataDxfId="41" dataCellStyle="Normal 2"/>
    <tableColumn id="38" xr3:uid="{CE9DF7B3-E259-433F-8EE2-870DD96BAFD8}" name="Facing timber" dataDxfId="40" dataCellStyle="Normal 2"/>
    <tableColumn id="39" xr3:uid="{130FB667-CC1E-4063-AAE5-8999783296B1}" name="Facings width (mm)" dataDxfId="39" dataCellStyle="Normal 2"/>
    <tableColumn id="40" xr3:uid="{C212C7BC-E011-4BDE-8EF9-8CE19C37DC7C}" name="Facings depth (mm)" dataDxfId="38" dataCellStyle="Normal 2"/>
    <tableColumn id="53" xr3:uid="{AA3A7732-0599-41A9-9469-87DEB2005E18}" name="Base blocks timber" dataDxfId="37" dataCellStyle="Normal 2"/>
    <tableColumn id="54" xr3:uid="{99E2F268-6497-4453-BB53-CA7498EB1C54}" name="Base block width (mm)" dataDxfId="36" dataCellStyle="Normal 2"/>
    <tableColumn id="55" xr3:uid="{07E735BC-053B-4BA3-B976-58661EEB43C1}" name="Base block thickness (mm)" dataDxfId="35" dataCellStyle="Normal 2"/>
    <tableColumn id="56" xr3:uid="{00DDC031-77F6-4E6E-B630-DF2C6F62015B}" name="Base block height (mm)" dataDxfId="34" dataCellStyle="Normal 2"/>
    <tableColumn id="58" xr3:uid="{EC09E856-2FFB-4D2D-87FB-695D7DB56EDC}" name="Threshold timber" dataDxfId="33" dataCellStyle="Normal 2"/>
    <tableColumn id="59" xr3:uid="{5AF331AE-019F-406E-B557-AAB3DBD57A85}" name="Threshold thickness (mm)" dataDxfId="32" dataCellStyle="Normal 2"/>
    <tableColumn id="60" xr3:uid="{440F6002-C5D6-4D89-8806-CBA2507D6FB7}" name="Threshold width (mm)" dataDxfId="31" dataCellStyle="Normal 2"/>
    <tableColumn id="61" xr3:uid="{6C5F4C8F-327E-4782-A6C0-9F38838FED62}" name="Threshold length (mm)" dataDxfId="30" dataCellStyle="Normal 2"/>
    <tableColumn id="29" xr3:uid="{8EBAD418-4E2E-4DA4-8C81-54B0E36882F6}" name="Door state" dataDxfId="29" dataCellStyle="Normal 2"/>
    <tableColumn id="30" xr3:uid="{D3A5BDD4-08C1-4618-859B-898995181957}" name="Same as" dataDxfId="28" dataCellStyle="Normal 2"/>
    <tableColumn id="31" xr3:uid="{3ADABACE-D726-4053-87A6-950B75D46F2C}" name="Quantity" dataDxfId="27"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6" dataDxfId="25">
  <autoFilter ref="C3:C6"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3" dataDxfId="22" tableBorderDxfId="21">
  <autoFilter ref="E3:E11" xr:uid="{00B1724C-3B19-4B0D-8442-AA99743F92FF}"/>
  <tableColumns count="1">
    <tableColumn id="1" xr3:uid="{C9F49D4B-53E2-488D-9EB3-647AEE3F192C}" name="Instrument strip"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19" dataDxfId="18">
  <autoFilter ref="I3:I5" xr:uid="{E68C8121-B1C7-4F44-88A0-4760005BA04B}"/>
  <tableColumns count="1">
    <tableColumn id="1" xr3:uid="{EF3492D1-961F-4120-9E07-95AC7765D076}" name="Doorset Layout" dataDxfId="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6" dataDxfId="15">
  <autoFilter ref="A3:A6" xr:uid="{46B05878-3C26-48D2-BABD-E80EB00EAFDE}"/>
  <tableColumns count="1">
    <tableColumn id="1" xr3:uid="{1A4F6AEC-2F7E-4A56-B69B-4522423F94AB}" name="Door spec" dataDxfId="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3" dataDxfId="12" tableBorderDxfId="11">
  <autoFilter ref="G3:G6" xr:uid="{4748AB34-0A5E-4AAC-837B-1180BBF3B96F}"/>
  <tableColumns count="1">
    <tableColumn id="1" xr3:uid="{56FB0A26-AE6B-450B-ADE8-560BDC50B014}" name="Flipper colour" dataDxfId="1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9">
  <autoFilter ref="M3:M14" xr:uid="{D0000841-D9B1-4F52-8B4F-5D8B780DC3CC}"/>
  <tableColumns count="1">
    <tableColumn id="1" xr3:uid="{2AD5D4B7-75C8-4A37-8B37-4764C7662513}" name="Aperture quantity" dataDxfId="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7">
  <autoFilter ref="Q3:Q14" xr:uid="{16BC64D3-E8F0-40DB-BC03-23BC06B38158}"/>
  <tableColumns count="1">
    <tableColumn id="1" xr3:uid="{8FC30FDF-F578-4F23-B254-BCD94615C606}" name="Hinge quantity"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5">
  <autoFilter ref="U3:U14" xr:uid="{5186BBEE-A296-4090-A40C-CAEE5313AC17}"/>
  <tableColumns count="1">
    <tableColumn id="1" xr3:uid="{3B933C82-CABA-418F-A60A-5DDB1C654177}" name="Flush bolt quantity"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3">
  <autoFilter ref="W3:W14" xr:uid="{8F440D9B-3CA6-4D3E-9DAB-600BAB5F6854}"/>
  <tableColumns count="1">
    <tableColumn id="1" xr3:uid="{C73BC335-20CE-4047-AC9D-1CC97D9AEAB5}" name="Roller catch quantity" dataDxfId="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
  <autoFilter ref="Y3:Y10" xr:uid="{EFB736B9-D117-475E-8752-3686B271059F}"/>
  <tableColumns count="1">
    <tableColumn id="1" xr3:uid="{16B15BCE-3840-43C0-8270-35D72856772F}" name="Timb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4"/>
    <col min="2" max="3" width="10.33203125" style="215"/>
    <col min="4" max="4" width="9.5" style="214" customWidth="1"/>
    <col min="5" max="5" width="10.1640625" style="214" customWidth="1"/>
    <col min="6" max="6" width="12.1640625" style="216" customWidth="1"/>
    <col min="7" max="7" width="10.33203125" style="217"/>
    <col min="8" max="9" width="10.33203125" style="214"/>
    <col min="10" max="10" width="10.33203125" style="215"/>
    <col min="11" max="11" width="10" style="214" customWidth="1"/>
    <col min="12" max="12" width="13.5" style="214" customWidth="1"/>
    <col min="13" max="13" width="14" style="216" customWidth="1"/>
    <col min="14" max="14" width="10.33203125" style="217"/>
    <col min="15" max="15" width="10.83203125" style="217" customWidth="1"/>
    <col min="16" max="16" width="10.33203125" style="219"/>
    <col min="17" max="17" width="10.33203125" style="214"/>
    <col min="18" max="18" width="10.33203125" style="217"/>
    <col min="19" max="19" width="6.6640625" style="214" customWidth="1"/>
    <col min="20" max="20" width="10.33203125" style="220"/>
    <col min="21" max="21" width="10.33203125" style="217"/>
    <col min="22" max="22" width="13.1640625" style="221" customWidth="1"/>
    <col min="23" max="23" width="13.1640625" style="217" customWidth="1"/>
    <col min="24" max="24" width="10.33203125" style="225"/>
    <col min="25" max="25" width="10.33203125" style="217"/>
    <col min="26" max="26" width="10.33203125" style="226"/>
    <col min="27" max="27" width="10.33203125" style="214"/>
    <col min="28" max="28" width="10.33203125" style="217"/>
    <col min="29" max="29" width="10.33203125" style="214"/>
    <col min="30" max="30" width="12.1640625" style="227" customWidth="1"/>
    <col min="31" max="16384" width="10.33203125" style="214"/>
  </cols>
  <sheetData>
    <row r="1" spans="1:30" s="212" customFormat="1" ht="135">
      <c r="A1" s="232" t="s">
        <v>462</v>
      </c>
      <c r="B1" s="228" t="s">
        <v>551</v>
      </c>
      <c r="C1" s="228" t="s">
        <v>552</v>
      </c>
      <c r="D1" s="233" t="s">
        <v>560</v>
      </c>
      <c r="E1" s="232" t="s">
        <v>561</v>
      </c>
      <c r="F1" s="230"/>
      <c r="G1" s="204"/>
      <c r="H1" s="232" t="s">
        <v>458</v>
      </c>
      <c r="I1" s="232" t="s">
        <v>553</v>
      </c>
      <c r="J1" s="229" t="s">
        <v>554</v>
      </c>
      <c r="M1" s="230"/>
      <c r="N1" s="204"/>
      <c r="O1" s="236" t="s">
        <v>566</v>
      </c>
      <c r="P1" s="235" t="s">
        <v>559</v>
      </c>
      <c r="R1" s="204"/>
      <c r="T1" s="208"/>
      <c r="U1" s="236" t="s">
        <v>564</v>
      </c>
      <c r="V1" s="231"/>
      <c r="W1" s="204"/>
      <c r="X1" s="210"/>
      <c r="Y1" s="204"/>
      <c r="Z1" s="211"/>
      <c r="AB1" s="204"/>
      <c r="AC1" s="232" t="s">
        <v>565</v>
      </c>
      <c r="AD1" s="213"/>
    </row>
    <row r="2" spans="1:30" s="212" customFormat="1" ht="43.9" customHeight="1">
      <c r="A2" s="201" t="s">
        <v>32</v>
      </c>
      <c r="B2" s="202" t="s">
        <v>89</v>
      </c>
      <c r="C2" s="202" t="s">
        <v>84</v>
      </c>
      <c r="D2" s="201" t="s">
        <v>90</v>
      </c>
      <c r="E2" s="201" t="s">
        <v>527</v>
      </c>
      <c r="F2" s="203" t="s">
        <v>528</v>
      </c>
      <c r="G2" s="204" t="s">
        <v>529</v>
      </c>
      <c r="H2" s="205" t="s">
        <v>530</v>
      </c>
      <c r="I2" s="201" t="s">
        <v>89</v>
      </c>
      <c r="J2" s="202" t="s">
        <v>84</v>
      </c>
      <c r="K2" s="201" t="s">
        <v>531</v>
      </c>
      <c r="L2" s="201" t="s">
        <v>527</v>
      </c>
      <c r="M2" s="203" t="s">
        <v>528</v>
      </c>
      <c r="N2" s="204" t="s">
        <v>532</v>
      </c>
      <c r="O2" s="204" t="s">
        <v>38</v>
      </c>
      <c r="P2" s="206" t="s">
        <v>533</v>
      </c>
      <c r="Q2" s="207" t="s">
        <v>534</v>
      </c>
      <c r="R2" s="204" t="s">
        <v>535</v>
      </c>
      <c r="S2" s="207" t="s">
        <v>536</v>
      </c>
      <c r="T2" s="208" t="s">
        <v>537</v>
      </c>
      <c r="U2" s="204" t="s">
        <v>538</v>
      </c>
      <c r="V2" s="209" t="s">
        <v>539</v>
      </c>
      <c r="W2" s="204" t="s">
        <v>540</v>
      </c>
      <c r="X2" s="210" t="s">
        <v>541</v>
      </c>
      <c r="Y2" s="204" t="s">
        <v>50</v>
      </c>
      <c r="Z2" s="211" t="s">
        <v>542</v>
      </c>
      <c r="AA2" s="212" t="s">
        <v>543</v>
      </c>
      <c r="AB2" s="204" t="s">
        <v>544</v>
      </c>
      <c r="AD2" s="213" t="s">
        <v>545</v>
      </c>
    </row>
    <row r="3" spans="1:30">
      <c r="A3" s="214" t="s">
        <v>2</v>
      </c>
      <c r="C3" s="215" t="s">
        <v>549</v>
      </c>
      <c r="D3" s="214">
        <v>136</v>
      </c>
      <c r="E3" s="214">
        <f t="shared" ref="E3:E66" si="0">IFERROR(SUM(B3*C3*D3/1000000000)," ")</f>
        <v>0</v>
      </c>
      <c r="F3" s="216" t="s">
        <v>2</v>
      </c>
      <c r="G3" s="217" t="str">
        <f t="shared" ref="G3:G66" si="1">IFERROR(SUM(E3*F3)," ")</f>
        <v xml:space="preserve"> </v>
      </c>
      <c r="H3" s="214" t="s">
        <v>2</v>
      </c>
      <c r="I3" s="215" t="s">
        <v>2</v>
      </c>
      <c r="J3" s="215" t="s">
        <v>2</v>
      </c>
      <c r="K3" s="214">
        <v>112</v>
      </c>
      <c r="L3" s="214" t="str">
        <f>IFERROR(SUM(I3*J3*K3/1000000000)," ")</f>
        <v xml:space="preserve"> </v>
      </c>
      <c r="M3" s="216" t="s">
        <v>2</v>
      </c>
      <c r="N3" s="218" t="str">
        <f t="shared" ref="N3:N39" si="2">IFERROR(SUM(L3*M3),"0 ")</f>
        <v xml:space="preserve">0 </v>
      </c>
      <c r="O3" s="217" t="s">
        <v>546</v>
      </c>
      <c r="P3" s="219">
        <f t="array" ref="P3">IFERROR(SUM(N3*50%,N3,10,G3*50%+G3,O3),)</f>
        <v>0</v>
      </c>
      <c r="Q3" s="214" t="s">
        <v>2</v>
      </c>
      <c r="R3" s="217" t="s">
        <v>2</v>
      </c>
      <c r="S3" s="214" t="s">
        <v>546</v>
      </c>
      <c r="T3" s="220">
        <v>0</v>
      </c>
      <c r="U3" s="217">
        <v>0</v>
      </c>
      <c r="V3" s="221" t="s">
        <v>548</v>
      </c>
      <c r="W3" s="217">
        <v>0</v>
      </c>
      <c r="X3" s="217" t="s">
        <v>548</v>
      </c>
      <c r="Y3" s="217" t="s">
        <v>548</v>
      </c>
      <c r="Z3" s="222">
        <f>IFERROR(SUM(T3+W3+X3+Y3+U3+P3+R3),)</f>
        <v>0</v>
      </c>
      <c r="AA3" s="214" t="s">
        <v>546</v>
      </c>
      <c r="AB3" s="217">
        <v>0</v>
      </c>
      <c r="AD3" s="223">
        <f t="shared" ref="AD3:AD26" si="3">SUM(Z3+AB3)</f>
        <v>0</v>
      </c>
    </row>
    <row r="4" spans="1:30">
      <c r="A4" s="214" t="s">
        <v>2</v>
      </c>
      <c r="B4" s="215" t="s">
        <v>546</v>
      </c>
      <c r="C4" s="215" t="s">
        <v>546</v>
      </c>
      <c r="D4" s="214">
        <v>136</v>
      </c>
      <c r="E4" s="214" t="str">
        <f t="shared" si="0"/>
        <v xml:space="preserve"> </v>
      </c>
      <c r="F4" s="216" t="s">
        <v>2</v>
      </c>
      <c r="G4" s="217" t="str">
        <f t="shared" si="1"/>
        <v xml:space="preserve"> </v>
      </c>
      <c r="H4" s="214" t="s">
        <v>2</v>
      </c>
      <c r="I4" s="215" t="s">
        <v>2</v>
      </c>
      <c r="J4" s="215" t="s">
        <v>2</v>
      </c>
      <c r="K4" s="214">
        <v>112</v>
      </c>
      <c r="L4" s="214" t="str">
        <f t="shared" ref="L4:L67" si="4">IFERROR(SUM(I4*J4*K4/1000000000)," ")</f>
        <v xml:space="preserve"> </v>
      </c>
      <c r="M4" s="216" t="s">
        <v>2</v>
      </c>
      <c r="N4" s="218" t="str">
        <f t="shared" si="2"/>
        <v xml:space="preserve">0 </v>
      </c>
      <c r="O4" s="217" t="s">
        <v>546</v>
      </c>
      <c r="P4" s="219">
        <f t="array" ref="P4">IFERROR(SUM(N4*50%,N4,10,G4*50%+G4,O4),)</f>
        <v>0</v>
      </c>
      <c r="Q4" s="214" t="s">
        <v>96</v>
      </c>
      <c r="R4" s="217">
        <v>40</v>
      </c>
      <c r="S4" s="214" t="s">
        <v>546</v>
      </c>
      <c r="T4" s="220">
        <v>0</v>
      </c>
      <c r="U4" s="217">
        <v>0</v>
      </c>
      <c r="V4" s="221" t="s">
        <v>548</v>
      </c>
      <c r="W4" s="217">
        <v>0</v>
      </c>
      <c r="X4" s="217" t="s">
        <v>548</v>
      </c>
      <c r="Y4" s="217" t="s">
        <v>548</v>
      </c>
      <c r="Z4" s="222">
        <f t="shared" ref="Z4:Z67" si="5">IFERROR(SUM(T4+W4+X4+Y4+U4+P4+R4),)</f>
        <v>40</v>
      </c>
      <c r="AA4" s="214" t="s">
        <v>546</v>
      </c>
      <c r="AB4" s="217">
        <v>0</v>
      </c>
      <c r="AD4" s="223">
        <f t="shared" si="3"/>
        <v>40</v>
      </c>
    </row>
    <row r="5" spans="1:30">
      <c r="A5" s="214" t="s">
        <v>107</v>
      </c>
      <c r="B5" s="215" t="s">
        <v>547</v>
      </c>
      <c r="C5" s="215" t="s">
        <v>546</v>
      </c>
      <c r="D5" s="214" t="e">
        <v>#VALUE!</v>
      </c>
      <c r="E5" s="214" t="str">
        <f t="shared" si="0"/>
        <v xml:space="preserve"> </v>
      </c>
      <c r="F5" s="216">
        <v>340</v>
      </c>
      <c r="G5" s="217" t="str">
        <f t="shared" si="1"/>
        <v xml:space="preserve"> </v>
      </c>
      <c r="H5" s="214" t="s">
        <v>109</v>
      </c>
      <c r="I5" s="215" t="s">
        <v>2</v>
      </c>
      <c r="J5" s="215" t="s">
        <v>2</v>
      </c>
      <c r="K5" s="214" t="e">
        <v>#VALUE!</v>
      </c>
      <c r="L5" s="214" t="str">
        <f t="shared" si="4"/>
        <v xml:space="preserve"> </v>
      </c>
      <c r="M5" s="216">
        <v>1200</v>
      </c>
      <c r="N5" s="218" t="str">
        <f t="shared" si="2"/>
        <v xml:space="preserve">0 </v>
      </c>
      <c r="O5" s="217" t="s">
        <v>546</v>
      </c>
      <c r="P5" s="219">
        <f t="array" ref="P5">IFERROR(SUM(N5*50%,N5,10,G5*50%+G5,O5),)</f>
        <v>0</v>
      </c>
      <c r="Q5" s="214" t="s">
        <v>99</v>
      </c>
      <c r="R5" s="217">
        <v>55</v>
      </c>
      <c r="S5" s="214" t="s">
        <v>546</v>
      </c>
      <c r="T5" s="220">
        <v>0</v>
      </c>
      <c r="U5" s="217">
        <v>2.64</v>
      </c>
      <c r="V5" s="221" t="s">
        <v>104</v>
      </c>
      <c r="W5" s="217">
        <v>1.5</v>
      </c>
      <c r="X5" s="217" t="s">
        <v>548</v>
      </c>
      <c r="Y5" s="217" t="s">
        <v>548</v>
      </c>
      <c r="Z5" s="222">
        <f t="shared" si="5"/>
        <v>59.14</v>
      </c>
      <c r="AA5" s="214" t="s">
        <v>546</v>
      </c>
      <c r="AB5" s="217">
        <v>0</v>
      </c>
      <c r="AD5" s="223">
        <f t="shared" si="3"/>
        <v>59.14</v>
      </c>
    </row>
    <row r="6" spans="1:30">
      <c r="A6" s="214" t="s">
        <v>110</v>
      </c>
      <c r="B6" s="215" t="s">
        <v>546</v>
      </c>
      <c r="C6" s="215" t="s">
        <v>546</v>
      </c>
      <c r="D6" s="214">
        <v>136</v>
      </c>
      <c r="E6" s="214" t="str">
        <f t="shared" si="0"/>
        <v xml:space="preserve"> </v>
      </c>
      <c r="F6" s="216" t="s">
        <v>2</v>
      </c>
      <c r="G6" s="217" t="str">
        <f t="shared" si="1"/>
        <v xml:space="preserve"> </v>
      </c>
      <c r="H6" s="214" t="s">
        <v>2</v>
      </c>
      <c r="I6" s="215" t="s">
        <v>2</v>
      </c>
      <c r="J6" s="215" t="s">
        <v>2</v>
      </c>
      <c r="K6" s="214">
        <v>112</v>
      </c>
      <c r="L6" s="214" t="str">
        <f t="shared" si="4"/>
        <v xml:space="preserve"> </v>
      </c>
      <c r="M6" s="216" t="s">
        <v>2</v>
      </c>
      <c r="N6" s="218" t="str">
        <f t="shared" si="2"/>
        <v xml:space="preserve">0 </v>
      </c>
      <c r="O6" s="217" t="s">
        <v>546</v>
      </c>
      <c r="P6" s="219">
        <f t="array" ref="P6">IFERROR(SUM(N6*50%,N6,10,G6*50%+G6,O6),)</f>
        <v>0</v>
      </c>
      <c r="Q6" s="214" t="s">
        <v>2</v>
      </c>
      <c r="R6" s="217" t="s">
        <v>2</v>
      </c>
      <c r="S6" s="214" t="s">
        <v>546</v>
      </c>
      <c r="T6" s="220">
        <v>0</v>
      </c>
      <c r="U6" s="217">
        <v>0</v>
      </c>
      <c r="V6" s="221" t="s">
        <v>548</v>
      </c>
      <c r="W6" s="217">
        <v>0</v>
      </c>
      <c r="X6" s="217" t="s">
        <v>548</v>
      </c>
      <c r="Y6" s="217" t="s">
        <v>548</v>
      </c>
      <c r="Z6" s="222">
        <f t="shared" si="5"/>
        <v>0</v>
      </c>
      <c r="AA6" s="214" t="s">
        <v>546</v>
      </c>
      <c r="AB6" s="217">
        <v>0</v>
      </c>
      <c r="AD6" s="223">
        <f t="shared" si="3"/>
        <v>0</v>
      </c>
    </row>
    <row r="7" spans="1:30">
      <c r="A7" s="214" t="s">
        <v>2</v>
      </c>
      <c r="B7" s="215" t="s">
        <v>546</v>
      </c>
      <c r="C7" s="215" t="s">
        <v>550</v>
      </c>
      <c r="D7" s="214">
        <v>136</v>
      </c>
      <c r="E7" s="214" t="str">
        <f t="shared" si="0"/>
        <v xml:space="preserve"> </v>
      </c>
      <c r="F7" s="216" t="s">
        <v>2</v>
      </c>
      <c r="G7" s="217" t="str">
        <f t="shared" si="1"/>
        <v xml:space="preserve"> </v>
      </c>
      <c r="H7" s="214" t="s">
        <v>2</v>
      </c>
      <c r="I7" s="215" t="s">
        <v>2</v>
      </c>
      <c r="J7" s="215" t="s">
        <v>2</v>
      </c>
      <c r="K7" s="214">
        <v>112</v>
      </c>
      <c r="L7" s="214" t="str">
        <f t="shared" si="4"/>
        <v xml:space="preserve"> </v>
      </c>
      <c r="M7" s="216" t="s">
        <v>2</v>
      </c>
      <c r="N7" s="218" t="str">
        <f t="shared" si="2"/>
        <v xml:space="preserve">0 </v>
      </c>
      <c r="O7" s="217" t="s">
        <v>546</v>
      </c>
      <c r="P7" s="219">
        <f t="array" ref="P7">IFERROR(SUM(N7*50%,N7,10,G7*50%+G7,O7),)</f>
        <v>0</v>
      </c>
      <c r="Q7" s="214" t="s">
        <v>2</v>
      </c>
      <c r="R7" s="217" t="s">
        <v>2</v>
      </c>
      <c r="S7" s="214" t="s">
        <v>546</v>
      </c>
      <c r="T7" s="220">
        <v>0</v>
      </c>
      <c r="U7" s="217">
        <v>0</v>
      </c>
      <c r="V7" s="221" t="s">
        <v>548</v>
      </c>
      <c r="W7" s="217">
        <v>0</v>
      </c>
      <c r="X7" s="217" t="s">
        <v>548</v>
      </c>
      <c r="Y7" s="217" t="s">
        <v>548</v>
      </c>
      <c r="Z7" s="222">
        <f t="shared" si="5"/>
        <v>0</v>
      </c>
      <c r="AA7" s="214" t="s">
        <v>546</v>
      </c>
      <c r="AB7" s="217">
        <v>0</v>
      </c>
      <c r="AD7" s="223">
        <f t="shared" si="3"/>
        <v>0</v>
      </c>
    </row>
    <row r="8" spans="1:30" ht="12" customHeight="1">
      <c r="A8" s="214" t="s">
        <v>2</v>
      </c>
      <c r="B8" s="215" t="s">
        <v>546</v>
      </c>
      <c r="C8" s="215" t="s">
        <v>549</v>
      </c>
      <c r="D8" s="214">
        <v>136</v>
      </c>
      <c r="E8" s="214" t="str">
        <f t="shared" si="0"/>
        <v xml:space="preserve"> </v>
      </c>
      <c r="F8" s="216" t="s">
        <v>2</v>
      </c>
      <c r="G8" s="217" t="str">
        <f t="shared" si="1"/>
        <v xml:space="preserve"> </v>
      </c>
      <c r="H8" s="214" t="s">
        <v>2</v>
      </c>
      <c r="I8" s="215" t="s">
        <v>2</v>
      </c>
      <c r="J8" s="215" t="s">
        <v>2</v>
      </c>
      <c r="K8" s="214">
        <v>112</v>
      </c>
      <c r="L8" s="214" t="str">
        <f t="shared" si="4"/>
        <v xml:space="preserve"> </v>
      </c>
      <c r="M8" s="216" t="s">
        <v>2</v>
      </c>
      <c r="N8" s="218" t="str">
        <f t="shared" si="2"/>
        <v xml:space="preserve">0 </v>
      </c>
      <c r="O8" s="217" t="s">
        <v>546</v>
      </c>
      <c r="P8" s="219">
        <f t="array" ref="P8">IFERROR(SUM(N8*50%,N8,10,G8*50%+G8,O8),)</f>
        <v>0</v>
      </c>
      <c r="Q8" s="214" t="s">
        <v>2</v>
      </c>
      <c r="R8" s="217" t="s">
        <v>2</v>
      </c>
      <c r="S8" s="214" t="s">
        <v>546</v>
      </c>
      <c r="T8" s="220">
        <v>0</v>
      </c>
      <c r="U8" s="217">
        <v>0</v>
      </c>
      <c r="V8" s="221" t="s">
        <v>548</v>
      </c>
      <c r="W8" s="217">
        <v>0</v>
      </c>
      <c r="X8" s="217" t="s">
        <v>548</v>
      </c>
      <c r="Y8" s="217" t="s">
        <v>548</v>
      </c>
      <c r="Z8" s="222">
        <f t="shared" si="5"/>
        <v>0</v>
      </c>
      <c r="AA8" s="214" t="s">
        <v>546</v>
      </c>
      <c r="AB8" s="217">
        <v>0</v>
      </c>
      <c r="AD8" s="223">
        <f t="shared" si="3"/>
        <v>0</v>
      </c>
    </row>
    <row r="9" spans="1:30">
      <c r="A9" s="214" t="s">
        <v>2</v>
      </c>
      <c r="B9" s="215" t="s">
        <v>546</v>
      </c>
      <c r="C9" s="215" t="s">
        <v>546</v>
      </c>
      <c r="D9" s="214">
        <v>136</v>
      </c>
      <c r="E9" s="214" t="str">
        <f t="shared" si="0"/>
        <v xml:space="preserve"> </v>
      </c>
      <c r="F9" s="216" t="s">
        <v>2</v>
      </c>
      <c r="G9" s="217" t="str">
        <f t="shared" si="1"/>
        <v xml:space="preserve"> </v>
      </c>
      <c r="H9" s="214" t="s">
        <v>2</v>
      </c>
      <c r="I9" s="215" t="s">
        <v>2</v>
      </c>
      <c r="J9" s="215" t="s">
        <v>2</v>
      </c>
      <c r="K9" s="214">
        <v>112</v>
      </c>
      <c r="L9" s="214" t="str">
        <f t="shared" si="4"/>
        <v xml:space="preserve"> </v>
      </c>
      <c r="M9" s="216" t="s">
        <v>2</v>
      </c>
      <c r="N9" s="218" t="str">
        <f t="shared" si="2"/>
        <v xml:space="preserve">0 </v>
      </c>
      <c r="O9" s="217" t="s">
        <v>546</v>
      </c>
      <c r="P9" s="219">
        <f t="array" ref="P9">IFERROR(SUM(N9*50%,N9,10,G9*50%+G9,O9),)</f>
        <v>0</v>
      </c>
      <c r="Q9" s="214" t="s">
        <v>2</v>
      </c>
      <c r="R9" s="217" t="s">
        <v>2</v>
      </c>
      <c r="S9" s="214" t="s">
        <v>546</v>
      </c>
      <c r="T9" s="220">
        <v>0</v>
      </c>
      <c r="U9" s="217">
        <v>0</v>
      </c>
      <c r="V9" s="221" t="s">
        <v>548</v>
      </c>
      <c r="W9" s="217">
        <v>0</v>
      </c>
      <c r="X9" s="217" t="s">
        <v>548</v>
      </c>
      <c r="Y9" s="217" t="s">
        <v>548</v>
      </c>
      <c r="Z9" s="222">
        <f t="shared" si="5"/>
        <v>0</v>
      </c>
      <c r="AA9" s="214" t="s">
        <v>546</v>
      </c>
      <c r="AB9" s="217">
        <v>0</v>
      </c>
      <c r="AD9" s="223">
        <f t="shared" si="3"/>
        <v>0</v>
      </c>
    </row>
    <row r="10" spans="1:30">
      <c r="A10" s="214" t="s">
        <v>2</v>
      </c>
      <c r="B10" s="215" t="s">
        <v>546</v>
      </c>
      <c r="C10" s="215" t="s">
        <v>546</v>
      </c>
      <c r="D10" s="214">
        <v>136</v>
      </c>
      <c r="E10" s="214" t="str">
        <f t="shared" si="0"/>
        <v xml:space="preserve"> </v>
      </c>
      <c r="F10" s="216" t="s">
        <v>2</v>
      </c>
      <c r="G10" s="217" t="str">
        <f t="shared" si="1"/>
        <v xml:space="preserve"> </v>
      </c>
      <c r="H10" s="214" t="s">
        <v>2</v>
      </c>
      <c r="I10" s="215" t="s">
        <v>2</v>
      </c>
      <c r="J10" s="215" t="s">
        <v>2</v>
      </c>
      <c r="K10" s="214">
        <v>112</v>
      </c>
      <c r="L10" s="214" t="str">
        <f t="shared" si="4"/>
        <v xml:space="preserve"> </v>
      </c>
      <c r="M10" s="216" t="s">
        <v>2</v>
      </c>
      <c r="N10" s="218" t="str">
        <f t="shared" si="2"/>
        <v xml:space="preserve">0 </v>
      </c>
      <c r="O10" s="217" t="s">
        <v>546</v>
      </c>
      <c r="P10" s="219">
        <f t="array" ref="P10">IFERROR(SUM(N10*50%,N10,10,G10*50%+G10,O10),)</f>
        <v>0</v>
      </c>
      <c r="Q10" s="214" t="s">
        <v>2</v>
      </c>
      <c r="R10" s="217" t="s">
        <v>2</v>
      </c>
      <c r="S10" s="214" t="s">
        <v>546</v>
      </c>
      <c r="T10" s="220">
        <v>0</v>
      </c>
      <c r="U10" s="217">
        <v>0</v>
      </c>
      <c r="V10" s="221" t="s">
        <v>548</v>
      </c>
      <c r="W10" s="217">
        <v>0</v>
      </c>
      <c r="X10" s="217" t="s">
        <v>548</v>
      </c>
      <c r="Y10" s="217" t="s">
        <v>548</v>
      </c>
      <c r="Z10" s="222">
        <f t="shared" si="5"/>
        <v>0</v>
      </c>
      <c r="AA10" s="214" t="s">
        <v>546</v>
      </c>
      <c r="AB10" s="217">
        <v>0</v>
      </c>
      <c r="AD10" s="223">
        <f t="shared" si="3"/>
        <v>0</v>
      </c>
    </row>
    <row r="11" spans="1:30">
      <c r="A11" s="214" t="s">
        <v>2</v>
      </c>
      <c r="B11" s="215" t="s">
        <v>546</v>
      </c>
      <c r="C11" s="215" t="s">
        <v>546</v>
      </c>
      <c r="D11" s="214">
        <v>136</v>
      </c>
      <c r="E11" s="214" t="str">
        <f t="shared" si="0"/>
        <v xml:space="preserve"> </v>
      </c>
      <c r="F11" s="216" t="s">
        <v>2</v>
      </c>
      <c r="G11" s="217" t="str">
        <f t="shared" si="1"/>
        <v xml:space="preserve"> </v>
      </c>
      <c r="H11" s="214" t="s">
        <v>2</v>
      </c>
      <c r="I11" s="215" t="s">
        <v>2</v>
      </c>
      <c r="J11" s="215" t="s">
        <v>2</v>
      </c>
      <c r="K11" s="214">
        <v>112</v>
      </c>
      <c r="L11" s="214" t="str">
        <f t="shared" si="4"/>
        <v xml:space="preserve"> </v>
      </c>
      <c r="M11" s="216" t="s">
        <v>2</v>
      </c>
      <c r="N11" s="218" t="str">
        <f t="shared" si="2"/>
        <v xml:space="preserve">0 </v>
      </c>
      <c r="O11" s="217" t="s">
        <v>546</v>
      </c>
      <c r="P11" s="219">
        <f t="array" ref="P11">IFERROR(SUM(N11*50%,N11,10,G11*50%+G11,O11),)</f>
        <v>0</v>
      </c>
      <c r="Q11" s="214" t="s">
        <v>2</v>
      </c>
      <c r="R11" s="217" t="s">
        <v>2</v>
      </c>
      <c r="S11" s="214" t="s">
        <v>546</v>
      </c>
      <c r="T11" s="220">
        <v>0</v>
      </c>
      <c r="U11" s="217">
        <v>0</v>
      </c>
      <c r="V11" s="221" t="s">
        <v>548</v>
      </c>
      <c r="W11" s="217">
        <v>0</v>
      </c>
      <c r="X11" s="217" t="s">
        <v>548</v>
      </c>
      <c r="Y11" s="217" t="s">
        <v>548</v>
      </c>
      <c r="Z11" s="222">
        <f t="shared" si="5"/>
        <v>0</v>
      </c>
      <c r="AA11" s="214" t="s">
        <v>546</v>
      </c>
      <c r="AB11" s="217">
        <v>0</v>
      </c>
      <c r="AD11" s="223">
        <f t="shared" si="3"/>
        <v>0</v>
      </c>
    </row>
    <row r="12" spans="1:30">
      <c r="A12" s="214" t="s">
        <v>2</v>
      </c>
      <c r="B12" s="215" t="s">
        <v>546</v>
      </c>
      <c r="C12" s="215" t="s">
        <v>546</v>
      </c>
      <c r="D12" s="214">
        <v>136</v>
      </c>
      <c r="E12" s="214" t="str">
        <f t="shared" si="0"/>
        <v xml:space="preserve"> </v>
      </c>
      <c r="F12" s="216" t="s">
        <v>2</v>
      </c>
      <c r="G12" s="217" t="str">
        <f t="shared" si="1"/>
        <v xml:space="preserve"> </v>
      </c>
      <c r="H12" s="214" t="s">
        <v>2</v>
      </c>
      <c r="I12" s="215" t="s">
        <v>2</v>
      </c>
      <c r="J12" s="215" t="s">
        <v>2</v>
      </c>
      <c r="K12" s="214">
        <v>112</v>
      </c>
      <c r="L12" s="214" t="str">
        <f t="shared" si="4"/>
        <v xml:space="preserve"> </v>
      </c>
      <c r="M12" s="216" t="s">
        <v>2</v>
      </c>
      <c r="N12" s="218" t="str">
        <f t="shared" si="2"/>
        <v xml:space="preserve">0 </v>
      </c>
      <c r="O12" s="217" t="s">
        <v>546</v>
      </c>
      <c r="P12" s="219">
        <f t="array" ref="P12">IFERROR(SUM(N12*50%,N12,10,G12*50%+G12,O12),)</f>
        <v>0</v>
      </c>
      <c r="Q12" s="214" t="s">
        <v>2</v>
      </c>
      <c r="R12" s="217" t="s">
        <v>2</v>
      </c>
      <c r="S12" s="214" t="s">
        <v>546</v>
      </c>
      <c r="T12" s="220">
        <v>0</v>
      </c>
      <c r="U12" s="217">
        <v>0</v>
      </c>
      <c r="V12" s="221" t="s">
        <v>548</v>
      </c>
      <c r="W12" s="217">
        <v>0</v>
      </c>
      <c r="X12" s="217" t="s">
        <v>548</v>
      </c>
      <c r="Y12" s="217" t="s">
        <v>548</v>
      </c>
      <c r="Z12" s="222">
        <f t="shared" si="5"/>
        <v>0</v>
      </c>
      <c r="AA12" s="214" t="s">
        <v>546</v>
      </c>
      <c r="AB12" s="217">
        <v>0</v>
      </c>
      <c r="AD12" s="223">
        <f t="shared" si="3"/>
        <v>0</v>
      </c>
    </row>
    <row r="13" spans="1:30">
      <c r="A13" s="214" t="s">
        <v>2</v>
      </c>
      <c r="B13" s="215" t="s">
        <v>546</v>
      </c>
      <c r="C13" s="215" t="s">
        <v>546</v>
      </c>
      <c r="D13" s="214">
        <v>136</v>
      </c>
      <c r="E13" s="214" t="str">
        <f t="shared" si="0"/>
        <v xml:space="preserve"> </v>
      </c>
      <c r="F13" s="216" t="s">
        <v>2</v>
      </c>
      <c r="G13" s="217" t="str">
        <f t="shared" si="1"/>
        <v xml:space="preserve"> </v>
      </c>
      <c r="H13" s="214" t="s">
        <v>2</v>
      </c>
      <c r="I13" s="215" t="s">
        <v>2</v>
      </c>
      <c r="J13" s="215" t="s">
        <v>2</v>
      </c>
      <c r="K13" s="214">
        <v>112</v>
      </c>
      <c r="L13" s="214" t="str">
        <f t="shared" si="4"/>
        <v xml:space="preserve"> </v>
      </c>
      <c r="M13" s="216" t="s">
        <v>2</v>
      </c>
      <c r="N13" s="218" t="str">
        <f t="shared" si="2"/>
        <v xml:space="preserve">0 </v>
      </c>
      <c r="O13" s="217" t="s">
        <v>546</v>
      </c>
      <c r="P13" s="219">
        <f t="array" ref="P13">IFERROR(SUM(N13*50%,N13,10,G13*50%+G13,O13),)</f>
        <v>0</v>
      </c>
      <c r="Q13" s="214" t="s">
        <v>2</v>
      </c>
      <c r="R13" s="217" t="s">
        <v>2</v>
      </c>
      <c r="S13" s="214" t="s">
        <v>546</v>
      </c>
      <c r="T13" s="220">
        <v>0</v>
      </c>
      <c r="U13" s="217">
        <v>0</v>
      </c>
      <c r="V13" s="221" t="s">
        <v>548</v>
      </c>
      <c r="W13" s="217">
        <v>0</v>
      </c>
      <c r="X13" s="217" t="s">
        <v>548</v>
      </c>
      <c r="Y13" s="217" t="s">
        <v>548</v>
      </c>
      <c r="Z13" s="222">
        <f t="shared" si="5"/>
        <v>0</v>
      </c>
      <c r="AA13" s="214" t="s">
        <v>546</v>
      </c>
      <c r="AB13" s="217">
        <v>0</v>
      </c>
      <c r="AD13" s="223">
        <f t="shared" si="3"/>
        <v>0</v>
      </c>
    </row>
    <row r="14" spans="1:30">
      <c r="A14" s="214" t="s">
        <v>2</v>
      </c>
      <c r="B14" s="215" t="s">
        <v>546</v>
      </c>
      <c r="C14" s="215" t="s">
        <v>546</v>
      </c>
      <c r="D14" s="214">
        <v>136</v>
      </c>
      <c r="E14" s="214" t="str">
        <f t="shared" si="0"/>
        <v xml:space="preserve"> </v>
      </c>
      <c r="F14" s="216" t="s">
        <v>2</v>
      </c>
      <c r="G14" s="217" t="str">
        <f t="shared" si="1"/>
        <v xml:space="preserve"> </v>
      </c>
      <c r="H14" s="214" t="s">
        <v>2</v>
      </c>
      <c r="I14" s="215" t="s">
        <v>2</v>
      </c>
      <c r="J14" s="215" t="s">
        <v>2</v>
      </c>
      <c r="K14" s="214">
        <v>112</v>
      </c>
      <c r="L14" s="214" t="str">
        <f t="shared" si="4"/>
        <v xml:space="preserve"> </v>
      </c>
      <c r="M14" s="216" t="s">
        <v>2</v>
      </c>
      <c r="N14" s="218" t="str">
        <f t="shared" si="2"/>
        <v xml:space="preserve">0 </v>
      </c>
      <c r="O14" s="217" t="s">
        <v>546</v>
      </c>
      <c r="P14" s="219">
        <f t="array" ref="P14">IFERROR(SUM(N14*50%,N14,10,G14*50%+G14,O14),)</f>
        <v>0</v>
      </c>
      <c r="Q14" s="214" t="s">
        <v>2</v>
      </c>
      <c r="R14" s="217" t="s">
        <v>2</v>
      </c>
      <c r="S14" s="214" t="s">
        <v>2</v>
      </c>
      <c r="T14" s="220">
        <v>0</v>
      </c>
      <c r="U14" s="217">
        <v>0</v>
      </c>
      <c r="V14" s="221" t="s">
        <v>548</v>
      </c>
      <c r="W14" s="217">
        <v>0</v>
      </c>
      <c r="X14" s="217" t="s">
        <v>548</v>
      </c>
      <c r="Y14" s="217" t="s">
        <v>548</v>
      </c>
      <c r="Z14" s="222">
        <f t="shared" si="5"/>
        <v>0</v>
      </c>
      <c r="AA14" s="214" t="s">
        <v>546</v>
      </c>
      <c r="AB14" s="217">
        <v>0</v>
      </c>
      <c r="AD14" s="223">
        <f t="shared" si="3"/>
        <v>0</v>
      </c>
    </row>
    <row r="15" spans="1:30">
      <c r="A15" s="214" t="s">
        <v>2</v>
      </c>
      <c r="B15" s="215" t="s">
        <v>546</v>
      </c>
      <c r="C15" s="224">
        <v>199</v>
      </c>
      <c r="D15" s="214">
        <v>136</v>
      </c>
      <c r="E15" s="214" t="str">
        <f t="shared" si="0"/>
        <v xml:space="preserve"> </v>
      </c>
      <c r="F15" s="216" t="s">
        <v>2</v>
      </c>
      <c r="G15" s="217" t="str">
        <f t="shared" si="1"/>
        <v xml:space="preserve"> </v>
      </c>
      <c r="H15" s="214" t="s">
        <v>2</v>
      </c>
      <c r="I15" s="215" t="s">
        <v>2</v>
      </c>
      <c r="J15" s="215" t="s">
        <v>2</v>
      </c>
      <c r="K15" s="214">
        <v>112</v>
      </c>
      <c r="L15" s="214" t="str">
        <f t="shared" si="4"/>
        <v xml:space="preserve"> </v>
      </c>
      <c r="M15" s="216" t="s">
        <v>2</v>
      </c>
      <c r="N15" s="218" t="str">
        <f t="shared" si="2"/>
        <v xml:space="preserve">0 </v>
      </c>
      <c r="O15" s="217" t="s">
        <v>546</v>
      </c>
      <c r="P15" s="219">
        <f t="array" ref="P15">IFERROR(SUM(N15*50%,N15,10,G15*50%+G15,O15),)</f>
        <v>0</v>
      </c>
      <c r="Q15" s="214" t="s">
        <v>2</v>
      </c>
      <c r="R15" s="217" t="s">
        <v>2</v>
      </c>
      <c r="S15" s="214" t="s">
        <v>2</v>
      </c>
      <c r="T15" s="220">
        <v>0</v>
      </c>
      <c r="U15" s="217">
        <v>0</v>
      </c>
      <c r="V15" s="221" t="s">
        <v>548</v>
      </c>
      <c r="W15" s="217">
        <v>0</v>
      </c>
      <c r="X15" s="217" t="s">
        <v>548</v>
      </c>
      <c r="Y15" s="217" t="s">
        <v>548</v>
      </c>
      <c r="Z15" s="222">
        <f t="shared" si="5"/>
        <v>0</v>
      </c>
      <c r="AA15" s="214" t="s">
        <v>546</v>
      </c>
      <c r="AB15" s="217">
        <v>0</v>
      </c>
      <c r="AD15" s="223">
        <f t="shared" si="3"/>
        <v>0</v>
      </c>
    </row>
    <row r="16" spans="1:30">
      <c r="A16" s="214" t="s">
        <v>2</v>
      </c>
      <c r="B16" s="215" t="s">
        <v>546</v>
      </c>
      <c r="C16" s="224">
        <v>148</v>
      </c>
      <c r="D16" s="214">
        <v>136</v>
      </c>
      <c r="E16" s="214" t="str">
        <f t="shared" si="0"/>
        <v xml:space="preserve"> </v>
      </c>
      <c r="F16" s="216" t="s">
        <v>2</v>
      </c>
      <c r="G16" s="217" t="str">
        <f t="shared" si="1"/>
        <v xml:space="preserve"> </v>
      </c>
      <c r="H16" s="214" t="s">
        <v>2</v>
      </c>
      <c r="I16" s="215" t="s">
        <v>2</v>
      </c>
      <c r="J16" s="215" t="s">
        <v>2</v>
      </c>
      <c r="K16" s="214">
        <v>112</v>
      </c>
      <c r="L16" s="214" t="str">
        <f t="shared" si="4"/>
        <v xml:space="preserve"> </v>
      </c>
      <c r="M16" s="216" t="s">
        <v>2</v>
      </c>
      <c r="N16" s="218" t="str">
        <f t="shared" si="2"/>
        <v xml:space="preserve">0 </v>
      </c>
      <c r="O16" s="217" t="s">
        <v>546</v>
      </c>
      <c r="P16" s="219">
        <f t="array" ref="P16">IFERROR(SUM(N16*50%,N16,10,G16*50%+G16,O16),)</f>
        <v>0</v>
      </c>
      <c r="Q16" s="214" t="s">
        <v>2</v>
      </c>
      <c r="R16" s="217" t="s">
        <v>2</v>
      </c>
      <c r="S16" s="214" t="s">
        <v>2</v>
      </c>
      <c r="T16" s="220">
        <v>0</v>
      </c>
      <c r="U16" s="217">
        <v>0</v>
      </c>
      <c r="V16" s="221" t="s">
        <v>548</v>
      </c>
      <c r="W16" s="217">
        <v>0</v>
      </c>
      <c r="X16" s="217" t="s">
        <v>548</v>
      </c>
      <c r="Y16" s="217" t="s">
        <v>548</v>
      </c>
      <c r="Z16" s="222">
        <f t="shared" si="5"/>
        <v>0</v>
      </c>
      <c r="AA16" s="214" t="s">
        <v>546</v>
      </c>
      <c r="AB16" s="217">
        <v>0</v>
      </c>
      <c r="AD16" s="223">
        <f t="shared" si="3"/>
        <v>0</v>
      </c>
    </row>
    <row r="17" spans="1:30">
      <c r="A17" s="214" t="s">
        <v>2</v>
      </c>
      <c r="B17" s="215" t="s">
        <v>546</v>
      </c>
      <c r="C17" s="224">
        <v>198</v>
      </c>
      <c r="D17" s="214">
        <v>136</v>
      </c>
      <c r="E17" s="214" t="str">
        <f t="shared" si="0"/>
        <v xml:space="preserve"> </v>
      </c>
      <c r="F17" s="216" t="s">
        <v>2</v>
      </c>
      <c r="G17" s="217" t="str">
        <f t="shared" si="1"/>
        <v xml:space="preserve"> </v>
      </c>
      <c r="H17" s="214" t="s">
        <v>2</v>
      </c>
      <c r="I17" s="215" t="s">
        <v>2</v>
      </c>
      <c r="J17" s="215" t="s">
        <v>2</v>
      </c>
      <c r="K17" s="214">
        <v>112</v>
      </c>
      <c r="L17" s="214" t="str">
        <f t="shared" si="4"/>
        <v xml:space="preserve"> </v>
      </c>
      <c r="M17" s="216" t="s">
        <v>2</v>
      </c>
      <c r="N17" s="218" t="str">
        <f t="shared" si="2"/>
        <v xml:space="preserve">0 </v>
      </c>
      <c r="O17" s="217" t="s">
        <v>546</v>
      </c>
      <c r="P17" s="219">
        <f t="array" ref="P17">IFERROR(SUM(N17*50%,N17,10,G17*50%+G17,O17),)</f>
        <v>0</v>
      </c>
      <c r="Q17" s="214" t="s">
        <v>2</v>
      </c>
      <c r="R17" s="217" t="s">
        <v>2</v>
      </c>
      <c r="S17" s="214" t="s">
        <v>2</v>
      </c>
      <c r="T17" s="220">
        <v>0</v>
      </c>
      <c r="U17" s="217">
        <v>0</v>
      </c>
      <c r="V17" s="221" t="s">
        <v>548</v>
      </c>
      <c r="W17" s="217">
        <v>0</v>
      </c>
      <c r="X17" s="217" t="s">
        <v>548</v>
      </c>
      <c r="Y17" s="217" t="s">
        <v>548</v>
      </c>
      <c r="Z17" s="222">
        <f t="shared" si="5"/>
        <v>0</v>
      </c>
      <c r="AA17" s="214" t="s">
        <v>546</v>
      </c>
      <c r="AB17" s="217">
        <v>0</v>
      </c>
      <c r="AD17" s="223">
        <f t="shared" si="3"/>
        <v>0</v>
      </c>
    </row>
    <row r="18" spans="1:30">
      <c r="A18" s="214" t="s">
        <v>2</v>
      </c>
      <c r="B18" s="215" t="s">
        <v>546</v>
      </c>
      <c r="C18" s="224">
        <v>149</v>
      </c>
      <c r="D18" s="214">
        <v>136</v>
      </c>
      <c r="E18" s="214" t="str">
        <f t="shared" si="0"/>
        <v xml:space="preserve"> </v>
      </c>
      <c r="F18" s="216" t="s">
        <v>2</v>
      </c>
      <c r="G18" s="217" t="str">
        <f t="shared" si="1"/>
        <v xml:space="preserve"> </v>
      </c>
      <c r="H18" s="214" t="s">
        <v>2</v>
      </c>
      <c r="I18" s="215" t="s">
        <v>2</v>
      </c>
      <c r="J18" s="215" t="s">
        <v>2</v>
      </c>
      <c r="K18" s="214">
        <v>112</v>
      </c>
      <c r="L18" s="214" t="str">
        <f t="shared" si="4"/>
        <v xml:space="preserve"> </v>
      </c>
      <c r="M18" s="216" t="s">
        <v>2</v>
      </c>
      <c r="N18" s="218" t="str">
        <f t="shared" si="2"/>
        <v xml:space="preserve">0 </v>
      </c>
      <c r="O18" s="217" t="s">
        <v>546</v>
      </c>
      <c r="P18" s="219">
        <f t="array" ref="P18">IFERROR(SUM(N18*50%,N18,10,G18*50%+G18,O18),)</f>
        <v>0</v>
      </c>
      <c r="Q18" s="214" t="s">
        <v>2</v>
      </c>
      <c r="R18" s="217" t="s">
        <v>2</v>
      </c>
      <c r="S18" s="214" t="s">
        <v>2</v>
      </c>
      <c r="T18" s="220">
        <v>0</v>
      </c>
      <c r="U18" s="217">
        <v>0</v>
      </c>
      <c r="V18" s="221" t="s">
        <v>548</v>
      </c>
      <c r="W18" s="217">
        <v>0</v>
      </c>
      <c r="X18" s="217" t="s">
        <v>548</v>
      </c>
      <c r="Y18" s="217" t="s">
        <v>548</v>
      </c>
      <c r="Z18" s="222">
        <f t="shared" si="5"/>
        <v>0</v>
      </c>
      <c r="AA18" s="214" t="s">
        <v>546</v>
      </c>
      <c r="AB18" s="217">
        <v>0</v>
      </c>
      <c r="AD18" s="223">
        <f t="shared" si="3"/>
        <v>0</v>
      </c>
    </row>
    <row r="19" spans="1:30">
      <c r="A19" s="214" t="s">
        <v>2</v>
      </c>
      <c r="B19" s="215" t="s">
        <v>546</v>
      </c>
      <c r="C19" s="224">
        <v>150</v>
      </c>
      <c r="D19" s="214">
        <v>136</v>
      </c>
      <c r="E19" s="214" t="str">
        <f t="shared" si="0"/>
        <v xml:space="preserve"> </v>
      </c>
      <c r="F19" s="216" t="s">
        <v>2</v>
      </c>
      <c r="G19" s="217" t="str">
        <f t="shared" si="1"/>
        <v xml:space="preserve"> </v>
      </c>
      <c r="H19" s="214" t="s">
        <v>2</v>
      </c>
      <c r="I19" s="215" t="s">
        <v>2</v>
      </c>
      <c r="J19" s="215" t="s">
        <v>2</v>
      </c>
      <c r="K19" s="214">
        <v>112</v>
      </c>
      <c r="L19" s="214" t="str">
        <f t="shared" si="4"/>
        <v xml:space="preserve"> </v>
      </c>
      <c r="M19" s="216" t="s">
        <v>2</v>
      </c>
      <c r="N19" s="218" t="str">
        <f t="shared" si="2"/>
        <v xml:space="preserve">0 </v>
      </c>
      <c r="O19" s="217" t="s">
        <v>546</v>
      </c>
      <c r="P19" s="219">
        <f t="array" ref="P19">IFERROR(SUM(N19*50%,N19,10,G19*50%+G19,O19),)</f>
        <v>0</v>
      </c>
      <c r="Q19" s="214" t="s">
        <v>2</v>
      </c>
      <c r="R19" s="217" t="s">
        <v>2</v>
      </c>
      <c r="S19" s="214" t="s">
        <v>2</v>
      </c>
      <c r="T19" s="220">
        <v>0</v>
      </c>
      <c r="U19" s="217">
        <v>0</v>
      </c>
      <c r="V19" s="221" t="s">
        <v>548</v>
      </c>
      <c r="W19" s="217">
        <v>0</v>
      </c>
      <c r="X19" s="217" t="s">
        <v>548</v>
      </c>
      <c r="Y19" s="217" t="s">
        <v>548</v>
      </c>
      <c r="Z19" s="222">
        <f t="shared" si="5"/>
        <v>0</v>
      </c>
      <c r="AA19" s="214" t="s">
        <v>546</v>
      </c>
      <c r="AB19" s="217">
        <v>0</v>
      </c>
      <c r="AD19" s="223">
        <f t="shared" si="3"/>
        <v>0</v>
      </c>
    </row>
    <row r="20" spans="1:30">
      <c r="A20" s="214" t="s">
        <v>2</v>
      </c>
      <c r="B20" s="215" t="s">
        <v>546</v>
      </c>
      <c r="C20" s="224">
        <v>244</v>
      </c>
      <c r="D20" s="214">
        <v>136</v>
      </c>
      <c r="E20" s="214" t="str">
        <f t="shared" si="0"/>
        <v xml:space="preserve"> </v>
      </c>
      <c r="F20" s="216" t="s">
        <v>2</v>
      </c>
      <c r="G20" s="217" t="str">
        <f t="shared" si="1"/>
        <v xml:space="preserve"> </v>
      </c>
      <c r="H20" s="214" t="s">
        <v>2</v>
      </c>
      <c r="I20" s="215" t="s">
        <v>2</v>
      </c>
      <c r="J20" s="215" t="s">
        <v>2</v>
      </c>
      <c r="K20" s="214">
        <v>112</v>
      </c>
      <c r="L20" s="214" t="str">
        <f t="shared" si="4"/>
        <v xml:space="preserve"> </v>
      </c>
      <c r="M20" s="216" t="s">
        <v>2</v>
      </c>
      <c r="N20" s="218" t="str">
        <f t="shared" si="2"/>
        <v xml:space="preserve">0 </v>
      </c>
      <c r="O20" s="217" t="s">
        <v>546</v>
      </c>
      <c r="P20" s="219">
        <f t="array" ref="P20">IFERROR(SUM(N20*50%,N20,10,G20*50%+G20,O20),)</f>
        <v>0</v>
      </c>
      <c r="Q20" s="214" t="s">
        <v>2</v>
      </c>
      <c r="R20" s="217" t="s">
        <v>2</v>
      </c>
      <c r="S20" s="214" t="s">
        <v>2</v>
      </c>
      <c r="T20" s="220">
        <v>0</v>
      </c>
      <c r="U20" s="217">
        <v>0</v>
      </c>
      <c r="V20" s="221" t="s">
        <v>548</v>
      </c>
      <c r="W20" s="217">
        <v>0</v>
      </c>
      <c r="X20" s="217" t="s">
        <v>548</v>
      </c>
      <c r="Y20" s="217" t="s">
        <v>548</v>
      </c>
      <c r="Z20" s="222">
        <f t="shared" si="5"/>
        <v>0</v>
      </c>
      <c r="AA20" s="214" t="s">
        <v>546</v>
      </c>
      <c r="AB20" s="217">
        <v>0</v>
      </c>
      <c r="AD20" s="223">
        <f t="shared" si="3"/>
        <v>0</v>
      </c>
    </row>
    <row r="21" spans="1:30">
      <c r="A21" s="214" t="s">
        <v>2</v>
      </c>
      <c r="B21" s="215" t="s">
        <v>546</v>
      </c>
      <c r="C21" s="215" t="s">
        <v>546</v>
      </c>
      <c r="D21" s="214">
        <v>136</v>
      </c>
      <c r="E21" s="214" t="str">
        <f t="shared" si="0"/>
        <v xml:space="preserve"> </v>
      </c>
      <c r="F21" s="216" t="s">
        <v>2</v>
      </c>
      <c r="G21" s="217" t="str">
        <f t="shared" si="1"/>
        <v xml:space="preserve"> </v>
      </c>
      <c r="H21" s="214" t="s">
        <v>2</v>
      </c>
      <c r="I21" s="215" t="s">
        <v>2</v>
      </c>
      <c r="J21" s="215" t="s">
        <v>2</v>
      </c>
      <c r="K21" s="214">
        <v>112</v>
      </c>
      <c r="L21" s="214" t="str">
        <f t="shared" si="4"/>
        <v xml:space="preserve"> </v>
      </c>
      <c r="M21" s="216" t="s">
        <v>2</v>
      </c>
      <c r="N21" s="218" t="str">
        <f t="shared" si="2"/>
        <v xml:space="preserve">0 </v>
      </c>
      <c r="O21" s="217" t="s">
        <v>546</v>
      </c>
      <c r="P21" s="219">
        <f t="array" ref="P21">IFERROR(SUM(N21*50%,N21,10,G21*50%+G21,O21),)</f>
        <v>0</v>
      </c>
      <c r="Q21" s="214" t="s">
        <v>2</v>
      </c>
      <c r="R21" s="217" t="s">
        <v>2</v>
      </c>
      <c r="S21" s="214" t="s">
        <v>2</v>
      </c>
      <c r="T21" s="220">
        <v>0</v>
      </c>
      <c r="U21" s="217">
        <v>0</v>
      </c>
      <c r="V21" s="221" t="s">
        <v>548</v>
      </c>
      <c r="W21" s="217">
        <v>0</v>
      </c>
      <c r="X21" s="217" t="s">
        <v>548</v>
      </c>
      <c r="Y21" s="217" t="s">
        <v>548</v>
      </c>
      <c r="Z21" s="222">
        <f t="shared" si="5"/>
        <v>0</v>
      </c>
      <c r="AA21" s="214" t="s">
        <v>546</v>
      </c>
      <c r="AB21" s="217">
        <v>0</v>
      </c>
      <c r="AD21" s="223">
        <f t="shared" si="3"/>
        <v>0</v>
      </c>
    </row>
    <row r="22" spans="1:30">
      <c r="A22" s="214" t="s">
        <v>2</v>
      </c>
      <c r="B22" s="215" t="s">
        <v>546</v>
      </c>
      <c r="C22" s="215" t="s">
        <v>546</v>
      </c>
      <c r="D22" s="214">
        <v>136</v>
      </c>
      <c r="E22" s="214" t="str">
        <f t="shared" si="0"/>
        <v xml:space="preserve"> </v>
      </c>
      <c r="F22" s="216" t="s">
        <v>2</v>
      </c>
      <c r="G22" s="217" t="str">
        <f t="shared" si="1"/>
        <v xml:space="preserve"> </v>
      </c>
      <c r="H22" s="214" t="s">
        <v>2</v>
      </c>
      <c r="I22" s="215" t="s">
        <v>2</v>
      </c>
      <c r="J22" s="215" t="s">
        <v>2</v>
      </c>
      <c r="K22" s="214">
        <v>112</v>
      </c>
      <c r="L22" s="214" t="str">
        <f t="shared" si="4"/>
        <v xml:space="preserve"> </v>
      </c>
      <c r="M22" s="216" t="s">
        <v>2</v>
      </c>
      <c r="N22" s="218" t="str">
        <f t="shared" si="2"/>
        <v xml:space="preserve">0 </v>
      </c>
      <c r="O22" s="217" t="s">
        <v>546</v>
      </c>
      <c r="P22" s="219">
        <f t="array" ref="P22">IFERROR(SUM(N22*50%,N22,10,G22*50%+G22,O22),)</f>
        <v>0</v>
      </c>
      <c r="Q22" s="214" t="s">
        <v>2</v>
      </c>
      <c r="R22" s="217" t="s">
        <v>2</v>
      </c>
      <c r="S22" s="214" t="s">
        <v>2</v>
      </c>
      <c r="T22" s="220">
        <v>0</v>
      </c>
      <c r="U22" s="217">
        <v>0</v>
      </c>
      <c r="V22" s="221" t="s">
        <v>548</v>
      </c>
      <c r="W22" s="217">
        <v>0</v>
      </c>
      <c r="X22" s="217" t="s">
        <v>548</v>
      </c>
      <c r="Y22" s="217" t="s">
        <v>548</v>
      </c>
      <c r="Z22" s="222">
        <f t="shared" si="5"/>
        <v>0</v>
      </c>
      <c r="AA22" s="214" t="s">
        <v>546</v>
      </c>
      <c r="AB22" s="217">
        <v>0</v>
      </c>
      <c r="AD22" s="223">
        <f t="shared" si="3"/>
        <v>0</v>
      </c>
    </row>
    <row r="23" spans="1:30">
      <c r="A23" s="214" t="s">
        <v>2</v>
      </c>
      <c r="B23" s="215" t="s">
        <v>546</v>
      </c>
      <c r="C23" s="215" t="e">
        <v>#N/A</v>
      </c>
      <c r="D23" s="214">
        <v>136</v>
      </c>
      <c r="E23" s="214" t="str">
        <f t="shared" si="0"/>
        <v xml:space="preserve"> </v>
      </c>
      <c r="F23" s="216" t="s">
        <v>2</v>
      </c>
      <c r="G23" s="217" t="str">
        <f t="shared" si="1"/>
        <v xml:space="preserve"> </v>
      </c>
      <c r="H23" s="214" t="s">
        <v>2</v>
      </c>
      <c r="I23" s="215" t="s">
        <v>2</v>
      </c>
      <c r="J23" s="215" t="s">
        <v>2</v>
      </c>
      <c r="K23" s="214">
        <v>112</v>
      </c>
      <c r="L23" s="214" t="str">
        <f t="shared" si="4"/>
        <v xml:space="preserve"> </v>
      </c>
      <c r="M23" s="216" t="s">
        <v>2</v>
      </c>
      <c r="N23" s="218" t="str">
        <f t="shared" si="2"/>
        <v xml:space="preserve">0 </v>
      </c>
      <c r="O23" s="217" t="s">
        <v>546</v>
      </c>
      <c r="P23" s="219">
        <f t="array" ref="P23">IFERROR(SUM(N23*50%,N23,10,G23*50%+G23,O23),)</f>
        <v>0</v>
      </c>
      <c r="Q23" s="214" t="s">
        <v>2</v>
      </c>
      <c r="R23" s="217" t="s">
        <v>2</v>
      </c>
      <c r="S23" s="214" t="s">
        <v>2</v>
      </c>
      <c r="T23" s="220">
        <v>0</v>
      </c>
      <c r="U23" s="217">
        <v>0</v>
      </c>
      <c r="V23" s="221" t="s">
        <v>548</v>
      </c>
      <c r="W23" s="217">
        <v>0</v>
      </c>
      <c r="X23" s="217" t="s">
        <v>548</v>
      </c>
      <c r="Y23" s="217" t="s">
        <v>548</v>
      </c>
      <c r="Z23" s="222">
        <f t="shared" si="5"/>
        <v>0</v>
      </c>
      <c r="AA23" s="214" t="s">
        <v>546</v>
      </c>
      <c r="AB23" s="217">
        <v>0</v>
      </c>
      <c r="AD23" s="223">
        <f t="shared" si="3"/>
        <v>0</v>
      </c>
    </row>
    <row r="24" spans="1:30">
      <c r="A24" s="214" t="s">
        <v>2</v>
      </c>
      <c r="B24" s="215" t="s">
        <v>546</v>
      </c>
      <c r="C24" s="215" t="s">
        <v>546</v>
      </c>
      <c r="D24" s="214">
        <v>136</v>
      </c>
      <c r="E24" s="214" t="str">
        <f t="shared" si="0"/>
        <v xml:space="preserve"> </v>
      </c>
      <c r="F24" s="216" t="s">
        <v>2</v>
      </c>
      <c r="G24" s="217" t="str">
        <f t="shared" si="1"/>
        <v xml:space="preserve"> </v>
      </c>
      <c r="H24" s="214" t="s">
        <v>2</v>
      </c>
      <c r="I24" s="215" t="s">
        <v>2</v>
      </c>
      <c r="J24" s="215" t="s">
        <v>2</v>
      </c>
      <c r="K24" s="214">
        <v>112</v>
      </c>
      <c r="L24" s="214" t="str">
        <f t="shared" si="4"/>
        <v xml:space="preserve"> </v>
      </c>
      <c r="M24" s="216" t="s">
        <v>2</v>
      </c>
      <c r="N24" s="218" t="str">
        <f t="shared" si="2"/>
        <v xml:space="preserve">0 </v>
      </c>
      <c r="O24" s="217" t="s">
        <v>546</v>
      </c>
      <c r="P24" s="219">
        <f t="array" ref="P24">IFERROR(SUM(N24*50%,N24,10,G24*50%+G24,O24),)</f>
        <v>0</v>
      </c>
      <c r="Q24" s="214" t="s">
        <v>2</v>
      </c>
      <c r="R24" s="217" t="s">
        <v>2</v>
      </c>
      <c r="S24" s="214" t="s">
        <v>2</v>
      </c>
      <c r="T24" s="220">
        <v>0</v>
      </c>
      <c r="U24" s="217">
        <v>0</v>
      </c>
      <c r="V24" s="221" t="s">
        <v>548</v>
      </c>
      <c r="W24" s="217">
        <v>0</v>
      </c>
      <c r="X24" s="217" t="s">
        <v>548</v>
      </c>
      <c r="Y24" s="217" t="s">
        <v>548</v>
      </c>
      <c r="Z24" s="222">
        <f t="shared" si="5"/>
        <v>0</v>
      </c>
      <c r="AA24" s="214" t="s">
        <v>546</v>
      </c>
      <c r="AB24" s="217">
        <v>0</v>
      </c>
      <c r="AD24" s="223">
        <f t="shared" si="3"/>
        <v>0</v>
      </c>
    </row>
    <row r="25" spans="1:30">
      <c r="A25" s="214" t="s">
        <v>2</v>
      </c>
      <c r="B25" s="215" t="s">
        <v>546</v>
      </c>
      <c r="C25" s="215" t="s">
        <v>546</v>
      </c>
      <c r="D25" s="214">
        <v>136</v>
      </c>
      <c r="E25" s="214" t="str">
        <f t="shared" si="0"/>
        <v xml:space="preserve"> </v>
      </c>
      <c r="F25" s="216" t="s">
        <v>2</v>
      </c>
      <c r="G25" s="217" t="str">
        <f t="shared" si="1"/>
        <v xml:space="preserve"> </v>
      </c>
      <c r="H25" s="214" t="s">
        <v>2</v>
      </c>
      <c r="I25" s="215" t="s">
        <v>2</v>
      </c>
      <c r="J25" s="215" t="s">
        <v>2</v>
      </c>
      <c r="K25" s="214">
        <v>112</v>
      </c>
      <c r="L25" s="214" t="str">
        <f t="shared" si="4"/>
        <v xml:space="preserve"> </v>
      </c>
      <c r="M25" s="216" t="s">
        <v>2</v>
      </c>
      <c r="N25" s="218" t="str">
        <f t="shared" si="2"/>
        <v xml:space="preserve">0 </v>
      </c>
      <c r="O25" s="217" t="s">
        <v>546</v>
      </c>
      <c r="P25" s="219">
        <f t="array" ref="P25">IFERROR(SUM(N25*50%,N25,10,G25*50%+G25,O25),)</f>
        <v>0</v>
      </c>
      <c r="Q25" s="214" t="s">
        <v>2</v>
      </c>
      <c r="R25" s="217" t="s">
        <v>2</v>
      </c>
      <c r="S25" s="214" t="s">
        <v>2</v>
      </c>
      <c r="T25" s="220">
        <v>0</v>
      </c>
      <c r="U25" s="217">
        <v>0</v>
      </c>
      <c r="V25" s="221" t="s">
        <v>548</v>
      </c>
      <c r="W25" s="217">
        <v>0</v>
      </c>
      <c r="X25" s="217" t="s">
        <v>548</v>
      </c>
      <c r="Y25" s="217" t="s">
        <v>548</v>
      </c>
      <c r="Z25" s="222">
        <f t="shared" si="5"/>
        <v>0</v>
      </c>
      <c r="AA25" s="214" t="s">
        <v>546</v>
      </c>
      <c r="AB25" s="217">
        <v>0</v>
      </c>
      <c r="AD25" s="223">
        <f t="shared" si="3"/>
        <v>0</v>
      </c>
    </row>
    <row r="26" spans="1:30">
      <c r="A26" s="214" t="s">
        <v>2</v>
      </c>
      <c r="B26" s="215" t="s">
        <v>546</v>
      </c>
      <c r="D26" s="214">
        <v>136</v>
      </c>
      <c r="E26" s="214" t="str">
        <f t="shared" si="0"/>
        <v xml:space="preserve"> </v>
      </c>
      <c r="F26" s="216" t="s">
        <v>2</v>
      </c>
      <c r="G26" s="217" t="str">
        <f t="shared" si="1"/>
        <v xml:space="preserve"> </v>
      </c>
      <c r="H26" s="214" t="s">
        <v>2</v>
      </c>
      <c r="I26" s="215" t="s">
        <v>2</v>
      </c>
      <c r="J26" s="215" t="s">
        <v>2</v>
      </c>
      <c r="K26" s="214">
        <v>112</v>
      </c>
      <c r="L26" s="214" t="str">
        <f t="shared" si="4"/>
        <v xml:space="preserve"> </v>
      </c>
      <c r="M26" s="216" t="s">
        <v>2</v>
      </c>
      <c r="N26" s="218" t="str">
        <f t="shared" si="2"/>
        <v xml:space="preserve">0 </v>
      </c>
      <c r="O26" s="217" t="s">
        <v>546</v>
      </c>
      <c r="P26" s="219">
        <f t="array" ref="P26">IFERROR(SUM(N26*50%,N26,10,G26*50%+G26,O26),)</f>
        <v>0</v>
      </c>
      <c r="Q26" s="214" t="s">
        <v>2</v>
      </c>
      <c r="R26" s="217" t="s">
        <v>2</v>
      </c>
      <c r="S26" s="214" t="s">
        <v>2</v>
      </c>
      <c r="T26" s="220">
        <v>0</v>
      </c>
      <c r="U26" s="217">
        <v>0</v>
      </c>
      <c r="V26" s="221" t="s">
        <v>548</v>
      </c>
      <c r="W26" s="217">
        <v>0</v>
      </c>
      <c r="X26" s="217" t="s">
        <v>548</v>
      </c>
      <c r="Y26" s="217" t="s">
        <v>548</v>
      </c>
      <c r="Z26" s="222">
        <f t="shared" si="5"/>
        <v>0</v>
      </c>
      <c r="AA26" s="214" t="s">
        <v>546</v>
      </c>
      <c r="AB26" s="217">
        <v>0</v>
      </c>
      <c r="AD26" s="223">
        <f t="shared" si="3"/>
        <v>0</v>
      </c>
    </row>
    <row r="27" spans="1:30">
      <c r="A27" s="214" t="s">
        <v>2</v>
      </c>
      <c r="B27" s="215" t="s">
        <v>546</v>
      </c>
      <c r="C27" s="215" t="s">
        <v>546</v>
      </c>
      <c r="D27" s="214">
        <v>136</v>
      </c>
      <c r="E27" s="214" t="str">
        <f t="shared" si="0"/>
        <v xml:space="preserve"> </v>
      </c>
      <c r="F27" s="216" t="s">
        <v>2</v>
      </c>
      <c r="G27" s="217" t="str">
        <f t="shared" si="1"/>
        <v xml:space="preserve"> </v>
      </c>
      <c r="H27" s="214" t="s">
        <v>2</v>
      </c>
      <c r="I27" s="215" t="s">
        <v>2</v>
      </c>
      <c r="J27" s="215" t="s">
        <v>2</v>
      </c>
      <c r="K27" s="214">
        <v>112</v>
      </c>
      <c r="L27" s="214" t="str">
        <f t="shared" si="4"/>
        <v xml:space="preserve"> </v>
      </c>
      <c r="M27" s="216" t="s">
        <v>2</v>
      </c>
      <c r="N27" s="218" t="str">
        <f t="shared" si="2"/>
        <v xml:space="preserve">0 </v>
      </c>
      <c r="O27" s="217" t="s">
        <v>546</v>
      </c>
      <c r="P27" s="219">
        <f t="array" ref="P27">IFERROR(SUM(N27*50%,N27,10,G27*50%+G27,O27),)</f>
        <v>0</v>
      </c>
      <c r="Q27" s="214" t="s">
        <v>2</v>
      </c>
      <c r="R27" s="217" t="s">
        <v>2</v>
      </c>
      <c r="S27" s="214" t="s">
        <v>2</v>
      </c>
      <c r="T27" s="220">
        <v>0</v>
      </c>
      <c r="U27" s="217">
        <v>0</v>
      </c>
      <c r="V27" s="221" t="s">
        <v>548</v>
      </c>
      <c r="W27" s="217">
        <v>0</v>
      </c>
      <c r="X27" s="217" t="s">
        <v>548</v>
      </c>
      <c r="Y27" s="217" t="s">
        <v>548</v>
      </c>
      <c r="Z27" s="222">
        <f t="shared" si="5"/>
        <v>0</v>
      </c>
      <c r="AA27" s="214" t="s">
        <v>546</v>
      </c>
      <c r="AB27" s="217">
        <v>0</v>
      </c>
      <c r="AD27" s="223">
        <f>IFERROR(SUM(Z27+AB27),"0")</f>
        <v>0</v>
      </c>
    </row>
    <row r="28" spans="1:30">
      <c r="A28" s="214" t="s">
        <v>2</v>
      </c>
      <c r="B28" s="215" t="s">
        <v>546</v>
      </c>
      <c r="C28" s="215" t="s">
        <v>546</v>
      </c>
      <c r="D28" s="214">
        <v>136</v>
      </c>
      <c r="E28" s="214" t="str">
        <f t="shared" si="0"/>
        <v xml:space="preserve"> </v>
      </c>
      <c r="F28" s="216" t="s">
        <v>2</v>
      </c>
      <c r="G28" s="217" t="str">
        <f t="shared" si="1"/>
        <v xml:space="preserve"> </v>
      </c>
      <c r="H28" s="214" t="s">
        <v>2</v>
      </c>
      <c r="I28" s="215" t="s">
        <v>2</v>
      </c>
      <c r="J28" s="215" t="s">
        <v>2</v>
      </c>
      <c r="K28" s="214">
        <v>112</v>
      </c>
      <c r="L28" s="214" t="str">
        <f t="shared" si="4"/>
        <v xml:space="preserve"> </v>
      </c>
      <c r="M28" s="216" t="s">
        <v>2</v>
      </c>
      <c r="N28" s="218" t="str">
        <f t="shared" si="2"/>
        <v xml:space="preserve">0 </v>
      </c>
      <c r="O28" s="217" t="s">
        <v>546</v>
      </c>
      <c r="P28" s="219">
        <f t="array" ref="P28">IFERROR(SUM(N28*50%,N28,10,G28*50%+G28,O28),)</f>
        <v>0</v>
      </c>
      <c r="Q28" s="214" t="s">
        <v>2</v>
      </c>
      <c r="R28" s="217" t="s">
        <v>2</v>
      </c>
      <c r="S28" s="214" t="s">
        <v>2</v>
      </c>
      <c r="T28" s="220">
        <v>0</v>
      </c>
      <c r="U28" s="217">
        <v>0</v>
      </c>
      <c r="V28" s="221" t="s">
        <v>548</v>
      </c>
      <c r="W28" s="217">
        <v>0</v>
      </c>
      <c r="X28" s="217" t="s">
        <v>548</v>
      </c>
      <c r="Y28" s="217" t="s">
        <v>548</v>
      </c>
      <c r="Z28" s="222">
        <f t="shared" si="5"/>
        <v>0</v>
      </c>
      <c r="AA28" s="214" t="s">
        <v>546</v>
      </c>
      <c r="AB28" s="217">
        <v>0</v>
      </c>
      <c r="AD28" s="223">
        <f t="shared" ref="AD28:AD91" si="6">IFERROR(SUM(Z28+AB28),"0")</f>
        <v>0</v>
      </c>
    </row>
    <row r="29" spans="1:30">
      <c r="A29" s="214" t="s">
        <v>2</v>
      </c>
      <c r="B29" s="215" t="s">
        <v>546</v>
      </c>
      <c r="C29" s="215" t="s">
        <v>546</v>
      </c>
      <c r="D29" s="214">
        <v>136</v>
      </c>
      <c r="E29" s="214" t="str">
        <f t="shared" si="0"/>
        <v xml:space="preserve"> </v>
      </c>
      <c r="F29" s="216" t="s">
        <v>2</v>
      </c>
      <c r="G29" s="217" t="str">
        <f t="shared" si="1"/>
        <v xml:space="preserve"> </v>
      </c>
      <c r="H29" s="214" t="s">
        <v>2</v>
      </c>
      <c r="I29" s="215" t="s">
        <v>2</v>
      </c>
      <c r="J29" s="215" t="s">
        <v>2</v>
      </c>
      <c r="K29" s="214">
        <v>112</v>
      </c>
      <c r="L29" s="214" t="str">
        <f t="shared" si="4"/>
        <v xml:space="preserve"> </v>
      </c>
      <c r="M29" s="216" t="s">
        <v>2</v>
      </c>
      <c r="N29" s="218" t="str">
        <f t="shared" si="2"/>
        <v xml:space="preserve">0 </v>
      </c>
      <c r="O29" s="217" t="s">
        <v>546</v>
      </c>
      <c r="P29" s="219">
        <f t="array" ref="P29">IFERROR(SUM(N29*50%,N29,10,G29*50%+G29,O29),)</f>
        <v>0</v>
      </c>
      <c r="Q29" s="214" t="s">
        <v>2</v>
      </c>
      <c r="R29" s="217" t="s">
        <v>2</v>
      </c>
      <c r="S29" s="214" t="s">
        <v>2</v>
      </c>
      <c r="T29" s="220">
        <v>0</v>
      </c>
      <c r="U29" s="217">
        <v>0</v>
      </c>
      <c r="V29" s="221" t="s">
        <v>548</v>
      </c>
      <c r="W29" s="217">
        <v>0</v>
      </c>
      <c r="X29" s="217" t="s">
        <v>548</v>
      </c>
      <c r="Y29" s="217" t="s">
        <v>548</v>
      </c>
      <c r="Z29" s="222">
        <f t="shared" si="5"/>
        <v>0</v>
      </c>
      <c r="AA29" s="214" t="s">
        <v>546</v>
      </c>
      <c r="AB29" s="217">
        <v>0</v>
      </c>
      <c r="AD29" s="223">
        <f t="shared" si="6"/>
        <v>0</v>
      </c>
    </row>
    <row r="30" spans="1:30">
      <c r="A30" s="214" t="s">
        <v>2</v>
      </c>
      <c r="B30" s="215" t="s">
        <v>546</v>
      </c>
      <c r="C30" s="215" t="s">
        <v>546</v>
      </c>
      <c r="D30" s="214">
        <v>136</v>
      </c>
      <c r="E30" s="214" t="str">
        <f t="shared" si="0"/>
        <v xml:space="preserve"> </v>
      </c>
      <c r="F30" s="216" t="s">
        <v>2</v>
      </c>
      <c r="G30" s="217" t="str">
        <f t="shared" si="1"/>
        <v xml:space="preserve"> </v>
      </c>
      <c r="H30" s="214" t="s">
        <v>2</v>
      </c>
      <c r="I30" s="215" t="s">
        <v>2</v>
      </c>
      <c r="J30" s="215" t="s">
        <v>2</v>
      </c>
      <c r="K30" s="214">
        <v>112</v>
      </c>
      <c r="L30" s="214" t="str">
        <f t="shared" si="4"/>
        <v xml:space="preserve"> </v>
      </c>
      <c r="M30" s="216" t="s">
        <v>2</v>
      </c>
      <c r="N30" s="218" t="str">
        <f t="shared" si="2"/>
        <v xml:space="preserve">0 </v>
      </c>
      <c r="O30" s="217" t="s">
        <v>546</v>
      </c>
      <c r="P30" s="219">
        <f t="array" ref="P30">IFERROR(SUM(N30*50%,N30,10,G30*50%+G30,O30),)</f>
        <v>0</v>
      </c>
      <c r="Q30" s="214" t="s">
        <v>2</v>
      </c>
      <c r="R30" s="217" t="s">
        <v>2</v>
      </c>
      <c r="S30" s="214" t="s">
        <v>2</v>
      </c>
      <c r="T30" s="220">
        <v>0</v>
      </c>
      <c r="U30" s="217">
        <v>0</v>
      </c>
      <c r="V30" s="221" t="s">
        <v>548</v>
      </c>
      <c r="W30" s="217">
        <v>0</v>
      </c>
      <c r="X30" s="217" t="s">
        <v>548</v>
      </c>
      <c r="Y30" s="217" t="s">
        <v>548</v>
      </c>
      <c r="Z30" s="222">
        <f t="shared" si="5"/>
        <v>0</v>
      </c>
      <c r="AB30" s="217">
        <v>0</v>
      </c>
      <c r="AD30" s="223">
        <f t="shared" si="6"/>
        <v>0</v>
      </c>
    </row>
    <row r="31" spans="1:30">
      <c r="A31" s="214" t="s">
        <v>2</v>
      </c>
      <c r="B31" s="215" t="s">
        <v>546</v>
      </c>
      <c r="C31" s="215" t="s">
        <v>546</v>
      </c>
      <c r="D31" s="214">
        <v>136</v>
      </c>
      <c r="E31" s="214" t="str">
        <f t="shared" si="0"/>
        <v xml:space="preserve"> </v>
      </c>
      <c r="F31" s="216" t="s">
        <v>2</v>
      </c>
      <c r="G31" s="217" t="str">
        <f t="shared" si="1"/>
        <v xml:space="preserve"> </v>
      </c>
      <c r="H31" s="214" t="s">
        <v>2</v>
      </c>
      <c r="I31" s="215" t="s">
        <v>2</v>
      </c>
      <c r="J31" s="215" t="s">
        <v>2</v>
      </c>
      <c r="K31" s="214">
        <v>112</v>
      </c>
      <c r="L31" s="214" t="str">
        <f t="shared" si="4"/>
        <v xml:space="preserve"> </v>
      </c>
      <c r="M31" s="216" t="s">
        <v>2</v>
      </c>
      <c r="N31" s="218" t="str">
        <f t="shared" si="2"/>
        <v xml:space="preserve">0 </v>
      </c>
      <c r="O31" s="217" t="s">
        <v>546</v>
      </c>
      <c r="P31" s="219">
        <f t="array" ref="P31">IFERROR(SUM(N31*50%,N31,10,G31*50%+G31,O31),)</f>
        <v>0</v>
      </c>
      <c r="Q31" s="214" t="s">
        <v>2</v>
      </c>
      <c r="R31" s="217" t="s">
        <v>2</v>
      </c>
      <c r="S31" s="214" t="s">
        <v>2</v>
      </c>
      <c r="T31" s="220">
        <v>0</v>
      </c>
      <c r="U31" s="217">
        <v>0</v>
      </c>
      <c r="V31" s="221" t="s">
        <v>548</v>
      </c>
      <c r="W31" s="217">
        <v>0</v>
      </c>
      <c r="X31" s="217" t="s">
        <v>548</v>
      </c>
      <c r="Y31" s="217" t="s">
        <v>548</v>
      </c>
      <c r="Z31" s="222">
        <f t="shared" si="5"/>
        <v>0</v>
      </c>
      <c r="AB31" s="217">
        <v>0</v>
      </c>
      <c r="AD31" s="223">
        <f t="shared" si="6"/>
        <v>0</v>
      </c>
    </row>
    <row r="32" spans="1:30">
      <c r="A32" s="214" t="s">
        <v>2</v>
      </c>
      <c r="B32" s="215" t="s">
        <v>546</v>
      </c>
      <c r="C32" s="215" t="s">
        <v>546</v>
      </c>
      <c r="D32" s="214">
        <v>136</v>
      </c>
      <c r="E32" s="214" t="str">
        <f t="shared" si="0"/>
        <v xml:space="preserve"> </v>
      </c>
      <c r="F32" s="216" t="s">
        <v>2</v>
      </c>
      <c r="G32" s="217" t="str">
        <f t="shared" si="1"/>
        <v xml:space="preserve"> </v>
      </c>
      <c r="H32" s="214" t="s">
        <v>2</v>
      </c>
      <c r="I32" s="215" t="s">
        <v>2</v>
      </c>
      <c r="J32" s="215" t="s">
        <v>2</v>
      </c>
      <c r="K32" s="214">
        <v>112</v>
      </c>
      <c r="L32" s="214" t="str">
        <f t="shared" si="4"/>
        <v xml:space="preserve"> </v>
      </c>
      <c r="M32" s="216" t="s">
        <v>2</v>
      </c>
      <c r="N32" s="218" t="str">
        <f t="shared" si="2"/>
        <v xml:space="preserve">0 </v>
      </c>
      <c r="O32" s="217" t="s">
        <v>546</v>
      </c>
      <c r="P32" s="219">
        <f t="array" ref="P32">IFERROR(SUM(N32*50%,N32,10,G32*50%+G32,O32),)</f>
        <v>0</v>
      </c>
      <c r="Q32" s="214" t="s">
        <v>2</v>
      </c>
      <c r="R32" s="217" t="s">
        <v>2</v>
      </c>
      <c r="S32" s="214" t="s">
        <v>2</v>
      </c>
      <c r="T32" s="220">
        <v>0</v>
      </c>
      <c r="U32" s="217">
        <v>0</v>
      </c>
      <c r="V32" s="221" t="s">
        <v>548</v>
      </c>
      <c r="W32" s="217">
        <v>0</v>
      </c>
      <c r="X32" s="217" t="s">
        <v>548</v>
      </c>
      <c r="Y32" s="217" t="s">
        <v>548</v>
      </c>
      <c r="Z32" s="222">
        <f t="shared" si="5"/>
        <v>0</v>
      </c>
      <c r="AB32" s="217">
        <v>0</v>
      </c>
      <c r="AD32" s="223">
        <f t="shared" si="6"/>
        <v>0</v>
      </c>
    </row>
    <row r="33" spans="1:30">
      <c r="A33" s="214" t="s">
        <v>2</v>
      </c>
      <c r="B33" s="215" t="s">
        <v>546</v>
      </c>
      <c r="C33" s="215" t="s">
        <v>546</v>
      </c>
      <c r="D33" s="214">
        <v>136</v>
      </c>
      <c r="E33" s="214" t="str">
        <f t="shared" si="0"/>
        <v xml:space="preserve"> </v>
      </c>
      <c r="F33" s="216" t="s">
        <v>2</v>
      </c>
      <c r="G33" s="217" t="str">
        <f t="shared" si="1"/>
        <v xml:space="preserve"> </v>
      </c>
      <c r="H33" s="214" t="s">
        <v>2</v>
      </c>
      <c r="I33" s="215" t="s">
        <v>2</v>
      </c>
      <c r="J33" s="215" t="s">
        <v>2</v>
      </c>
      <c r="K33" s="214">
        <v>112</v>
      </c>
      <c r="L33" s="214" t="str">
        <f t="shared" si="4"/>
        <v xml:space="preserve"> </v>
      </c>
      <c r="M33" s="216" t="s">
        <v>2</v>
      </c>
      <c r="N33" s="217" t="str">
        <f t="shared" si="2"/>
        <v xml:space="preserve">0 </v>
      </c>
      <c r="O33" s="217" t="s">
        <v>546</v>
      </c>
      <c r="P33" s="219">
        <f t="array" ref="P33">IFERROR(SUM(N33*50%,N33,10,G33*50%+G33,O33),)</f>
        <v>0</v>
      </c>
      <c r="Q33" s="214" t="s">
        <v>2</v>
      </c>
      <c r="R33" s="217" t="s">
        <v>2</v>
      </c>
      <c r="S33" s="214" t="s">
        <v>2</v>
      </c>
      <c r="T33" s="220">
        <v>0</v>
      </c>
      <c r="U33" s="217">
        <v>0</v>
      </c>
      <c r="V33" s="221" t="s">
        <v>548</v>
      </c>
      <c r="W33" s="217">
        <v>0</v>
      </c>
      <c r="X33" s="217" t="s">
        <v>548</v>
      </c>
      <c r="Y33" s="217" t="s">
        <v>548</v>
      </c>
      <c r="Z33" s="222">
        <f t="shared" si="5"/>
        <v>0</v>
      </c>
      <c r="AB33" s="217">
        <v>0</v>
      </c>
      <c r="AD33" s="223">
        <f t="shared" si="6"/>
        <v>0</v>
      </c>
    </row>
    <row r="34" spans="1:30">
      <c r="A34" s="214" t="s">
        <v>2</v>
      </c>
      <c r="B34" s="215" t="s">
        <v>546</v>
      </c>
      <c r="C34" s="215" t="s">
        <v>546</v>
      </c>
      <c r="D34" s="214">
        <v>136</v>
      </c>
      <c r="E34" s="214" t="str">
        <f t="shared" si="0"/>
        <v xml:space="preserve"> </v>
      </c>
      <c r="F34" s="216" t="s">
        <v>2</v>
      </c>
      <c r="G34" s="217" t="str">
        <f t="shared" si="1"/>
        <v xml:space="preserve"> </v>
      </c>
      <c r="H34" s="214" t="s">
        <v>2</v>
      </c>
      <c r="I34" s="215" t="s">
        <v>2</v>
      </c>
      <c r="J34" s="215" t="s">
        <v>2</v>
      </c>
      <c r="K34" s="214">
        <v>112</v>
      </c>
      <c r="L34" s="214" t="str">
        <f t="shared" si="4"/>
        <v xml:space="preserve"> </v>
      </c>
      <c r="M34" s="216" t="s">
        <v>2</v>
      </c>
      <c r="N34" s="217" t="str">
        <f t="shared" si="2"/>
        <v xml:space="preserve">0 </v>
      </c>
      <c r="O34" s="217" t="s">
        <v>546</v>
      </c>
      <c r="P34" s="219">
        <f t="array" ref="P34">IFERROR(SUM(N34*50%,N34,10,G34*50%+G34,O34),)</f>
        <v>0</v>
      </c>
      <c r="Q34" s="214" t="s">
        <v>2</v>
      </c>
      <c r="R34" s="217" t="s">
        <v>2</v>
      </c>
      <c r="S34" s="214" t="s">
        <v>2</v>
      </c>
      <c r="T34" s="220">
        <v>0</v>
      </c>
      <c r="U34" s="217">
        <v>0</v>
      </c>
      <c r="V34" s="221" t="s">
        <v>548</v>
      </c>
      <c r="W34" s="217">
        <v>0</v>
      </c>
      <c r="X34" s="217" t="s">
        <v>548</v>
      </c>
      <c r="Y34" s="217" t="s">
        <v>548</v>
      </c>
      <c r="Z34" s="222">
        <f t="shared" si="5"/>
        <v>0</v>
      </c>
      <c r="AB34" s="217">
        <v>0</v>
      </c>
      <c r="AD34" s="223">
        <f t="shared" si="6"/>
        <v>0</v>
      </c>
    </row>
    <row r="35" spans="1:30">
      <c r="A35" s="214" t="s">
        <v>2</v>
      </c>
      <c r="B35" s="215" t="s">
        <v>546</v>
      </c>
      <c r="C35" s="215" t="s">
        <v>546</v>
      </c>
      <c r="D35" s="214">
        <v>136</v>
      </c>
      <c r="E35" s="214" t="str">
        <f t="shared" si="0"/>
        <v xml:space="preserve"> </v>
      </c>
      <c r="F35" s="216" t="s">
        <v>2</v>
      </c>
      <c r="G35" s="217" t="str">
        <f t="shared" si="1"/>
        <v xml:space="preserve"> </v>
      </c>
      <c r="H35" s="214" t="s">
        <v>2</v>
      </c>
      <c r="I35" s="215" t="s">
        <v>2</v>
      </c>
      <c r="J35" s="215" t="s">
        <v>2</v>
      </c>
      <c r="K35" s="214">
        <v>112</v>
      </c>
      <c r="L35" s="214" t="str">
        <f t="shared" si="4"/>
        <v xml:space="preserve"> </v>
      </c>
      <c r="M35" s="216" t="s">
        <v>2</v>
      </c>
      <c r="N35" s="217" t="str">
        <f t="shared" si="2"/>
        <v xml:space="preserve">0 </v>
      </c>
      <c r="O35" s="217" t="s">
        <v>546</v>
      </c>
      <c r="P35" s="219">
        <f t="array" ref="P35">IFERROR(SUM(N35*50%,N35,10,G35*50%+G35,O35),)</f>
        <v>0</v>
      </c>
      <c r="Q35" s="214" t="s">
        <v>2</v>
      </c>
      <c r="R35" s="217" t="s">
        <v>2</v>
      </c>
      <c r="S35" s="214" t="s">
        <v>2</v>
      </c>
      <c r="T35" s="220">
        <v>0</v>
      </c>
      <c r="U35" s="217">
        <v>0</v>
      </c>
      <c r="V35" s="221" t="s">
        <v>548</v>
      </c>
      <c r="W35" s="217">
        <v>0</v>
      </c>
      <c r="X35" s="217" t="s">
        <v>548</v>
      </c>
      <c r="Y35" s="217" t="s">
        <v>548</v>
      </c>
      <c r="Z35" s="222">
        <f t="shared" si="5"/>
        <v>0</v>
      </c>
      <c r="AB35" s="217">
        <v>0</v>
      </c>
      <c r="AD35" s="223">
        <f t="shared" si="6"/>
        <v>0</v>
      </c>
    </row>
    <row r="36" spans="1:30">
      <c r="A36" s="214" t="s">
        <v>2</v>
      </c>
      <c r="B36" s="215" t="s">
        <v>546</v>
      </c>
      <c r="C36" s="215" t="s">
        <v>546</v>
      </c>
      <c r="D36" s="214">
        <v>136</v>
      </c>
      <c r="E36" s="214" t="str">
        <f t="shared" si="0"/>
        <v xml:space="preserve"> </v>
      </c>
      <c r="F36" s="216" t="s">
        <v>2</v>
      </c>
      <c r="G36" s="217" t="str">
        <f t="shared" si="1"/>
        <v xml:space="preserve"> </v>
      </c>
      <c r="H36" s="214" t="s">
        <v>2</v>
      </c>
      <c r="I36" s="215" t="s">
        <v>2</v>
      </c>
      <c r="J36" s="215" t="s">
        <v>2</v>
      </c>
      <c r="K36" s="214">
        <v>112</v>
      </c>
      <c r="L36" s="214" t="str">
        <f t="shared" si="4"/>
        <v xml:space="preserve"> </v>
      </c>
      <c r="M36" s="216" t="s">
        <v>2</v>
      </c>
      <c r="N36" s="217" t="str">
        <f t="shared" si="2"/>
        <v xml:space="preserve">0 </v>
      </c>
      <c r="O36" s="217" t="s">
        <v>546</v>
      </c>
      <c r="P36" s="219">
        <f t="array" ref="P36">IFERROR(SUM(N36*50%,N36,10,G36*50%+G36,O36),)</f>
        <v>0</v>
      </c>
      <c r="Q36" s="214" t="s">
        <v>2</v>
      </c>
      <c r="R36" s="217" t="s">
        <v>2</v>
      </c>
      <c r="S36" s="214" t="s">
        <v>2</v>
      </c>
      <c r="T36" s="220">
        <v>0</v>
      </c>
      <c r="U36" s="217">
        <v>0</v>
      </c>
      <c r="V36" s="221" t="s">
        <v>548</v>
      </c>
      <c r="W36" s="217">
        <v>0</v>
      </c>
      <c r="X36" s="217" t="s">
        <v>548</v>
      </c>
      <c r="Y36" s="217" t="s">
        <v>548</v>
      </c>
      <c r="Z36" s="222">
        <f t="shared" si="5"/>
        <v>0</v>
      </c>
      <c r="AB36" s="217">
        <v>0</v>
      </c>
      <c r="AD36" s="223">
        <f t="shared" si="6"/>
        <v>0</v>
      </c>
    </row>
    <row r="37" spans="1:30">
      <c r="A37" s="214" t="s">
        <v>2</v>
      </c>
      <c r="B37" s="215" t="s">
        <v>546</v>
      </c>
      <c r="C37" s="215" t="s">
        <v>546</v>
      </c>
      <c r="D37" s="214">
        <v>136</v>
      </c>
      <c r="E37" s="214" t="str">
        <f t="shared" si="0"/>
        <v xml:space="preserve"> </v>
      </c>
      <c r="F37" s="216" t="s">
        <v>2</v>
      </c>
      <c r="G37" s="217" t="str">
        <f t="shared" si="1"/>
        <v xml:space="preserve"> </v>
      </c>
      <c r="H37" s="214" t="s">
        <v>2</v>
      </c>
      <c r="I37" s="215" t="s">
        <v>2</v>
      </c>
      <c r="J37" s="215" t="s">
        <v>2</v>
      </c>
      <c r="K37" s="214">
        <v>112</v>
      </c>
      <c r="L37" s="214" t="str">
        <f t="shared" si="4"/>
        <v xml:space="preserve"> </v>
      </c>
      <c r="M37" s="216" t="s">
        <v>2</v>
      </c>
      <c r="N37" s="217" t="str">
        <f t="shared" si="2"/>
        <v xml:space="preserve">0 </v>
      </c>
      <c r="O37" s="217" t="s">
        <v>546</v>
      </c>
      <c r="P37" s="219">
        <f t="array" ref="P37">IFERROR(SUM(N37*50%,N37,10,G37*50%+G37,O37),)</f>
        <v>0</v>
      </c>
      <c r="Q37" s="214" t="s">
        <v>2</v>
      </c>
      <c r="R37" s="217" t="s">
        <v>2</v>
      </c>
      <c r="S37" s="214" t="s">
        <v>2</v>
      </c>
      <c r="T37" s="220">
        <v>0</v>
      </c>
      <c r="U37" s="217">
        <v>0</v>
      </c>
      <c r="V37" s="221" t="s">
        <v>548</v>
      </c>
      <c r="W37" s="217">
        <v>0</v>
      </c>
      <c r="X37" s="217" t="s">
        <v>548</v>
      </c>
      <c r="Y37" s="217" t="s">
        <v>548</v>
      </c>
      <c r="Z37" s="222">
        <f t="shared" si="5"/>
        <v>0</v>
      </c>
      <c r="AB37" s="217">
        <v>0</v>
      </c>
      <c r="AD37" s="223">
        <f t="shared" si="6"/>
        <v>0</v>
      </c>
    </row>
    <row r="38" spans="1:30">
      <c r="A38" s="214" t="s">
        <v>2</v>
      </c>
      <c r="B38" s="215" t="s">
        <v>546</v>
      </c>
      <c r="C38" s="215" t="s">
        <v>546</v>
      </c>
      <c r="D38" s="214">
        <v>136</v>
      </c>
      <c r="E38" s="214" t="str">
        <f t="shared" si="0"/>
        <v xml:space="preserve"> </v>
      </c>
      <c r="F38" s="216" t="s">
        <v>2</v>
      </c>
      <c r="G38" s="217" t="str">
        <f t="shared" si="1"/>
        <v xml:space="preserve"> </v>
      </c>
      <c r="H38" s="214" t="s">
        <v>2</v>
      </c>
      <c r="I38" s="215" t="s">
        <v>2</v>
      </c>
      <c r="J38" s="215" t="s">
        <v>2</v>
      </c>
      <c r="K38" s="214">
        <v>112</v>
      </c>
      <c r="L38" s="214" t="str">
        <f t="shared" si="4"/>
        <v xml:space="preserve"> </v>
      </c>
      <c r="M38" s="216" t="s">
        <v>2</v>
      </c>
      <c r="N38" s="217" t="str">
        <f t="shared" si="2"/>
        <v xml:space="preserve">0 </v>
      </c>
      <c r="O38" s="217" t="s">
        <v>546</v>
      </c>
      <c r="P38" s="219">
        <f t="array" ref="P38">IFERROR(SUM(N38*50%,N38,10,G38*50%+G38,O38),)</f>
        <v>0</v>
      </c>
      <c r="Q38" s="214" t="s">
        <v>2</v>
      </c>
      <c r="R38" s="217" t="s">
        <v>2</v>
      </c>
      <c r="S38" s="214" t="s">
        <v>2</v>
      </c>
      <c r="T38" s="220">
        <v>0</v>
      </c>
      <c r="U38" s="217">
        <v>0</v>
      </c>
      <c r="V38" s="221" t="s">
        <v>548</v>
      </c>
      <c r="W38" s="217">
        <v>0</v>
      </c>
      <c r="X38" s="217" t="s">
        <v>548</v>
      </c>
      <c r="Y38" s="217" t="s">
        <v>548</v>
      </c>
      <c r="Z38" s="222">
        <f t="shared" si="5"/>
        <v>0</v>
      </c>
      <c r="AB38" s="217">
        <v>0</v>
      </c>
      <c r="AD38" s="223">
        <f t="shared" si="6"/>
        <v>0</v>
      </c>
    </row>
    <row r="39" spans="1:30">
      <c r="A39" s="214" t="s">
        <v>2</v>
      </c>
      <c r="B39" s="215" t="s">
        <v>546</v>
      </c>
      <c r="C39" s="215" t="s">
        <v>546</v>
      </c>
      <c r="D39" s="214">
        <v>136</v>
      </c>
      <c r="E39" s="214" t="str">
        <f t="shared" si="0"/>
        <v xml:space="preserve"> </v>
      </c>
      <c r="F39" s="216" t="s">
        <v>2</v>
      </c>
      <c r="G39" s="217" t="str">
        <f t="shared" si="1"/>
        <v xml:space="preserve"> </v>
      </c>
      <c r="H39" s="214" t="s">
        <v>2</v>
      </c>
      <c r="I39" s="215" t="s">
        <v>2</v>
      </c>
      <c r="J39" s="215" t="s">
        <v>2</v>
      </c>
      <c r="K39" s="214">
        <v>112</v>
      </c>
      <c r="L39" s="214" t="str">
        <f t="shared" si="4"/>
        <v xml:space="preserve"> </v>
      </c>
      <c r="M39" s="216" t="s">
        <v>2</v>
      </c>
      <c r="N39" s="217" t="str">
        <f t="shared" si="2"/>
        <v xml:space="preserve">0 </v>
      </c>
      <c r="O39" s="217" t="s">
        <v>546</v>
      </c>
      <c r="P39" s="219">
        <f t="array" ref="P39">IFERROR(SUM(N39*50%,N39,10,G39*50%+G39,O39),)</f>
        <v>0</v>
      </c>
      <c r="Q39" s="214" t="s">
        <v>2</v>
      </c>
      <c r="R39" s="217" t="s">
        <v>2</v>
      </c>
      <c r="S39" s="214" t="s">
        <v>2</v>
      </c>
      <c r="T39" s="220">
        <v>0</v>
      </c>
      <c r="U39" s="217">
        <v>0</v>
      </c>
      <c r="V39" s="221" t="s">
        <v>548</v>
      </c>
      <c r="W39" s="217">
        <v>0</v>
      </c>
      <c r="X39" s="217" t="s">
        <v>548</v>
      </c>
      <c r="Y39" s="217" t="s">
        <v>548</v>
      </c>
      <c r="Z39" s="222">
        <f t="shared" si="5"/>
        <v>0</v>
      </c>
      <c r="AB39" s="217">
        <v>0</v>
      </c>
      <c r="AD39" s="223">
        <f t="shared" si="6"/>
        <v>0</v>
      </c>
    </row>
    <row r="40" spans="1:30">
      <c r="A40" s="214" t="s">
        <v>2</v>
      </c>
      <c r="B40" s="215" t="s">
        <v>546</v>
      </c>
      <c r="C40" s="215" t="s">
        <v>546</v>
      </c>
      <c r="D40" s="214">
        <v>136</v>
      </c>
      <c r="E40" s="214" t="str">
        <f t="shared" si="0"/>
        <v xml:space="preserve"> </v>
      </c>
      <c r="F40" s="216" t="s">
        <v>2</v>
      </c>
      <c r="G40" s="217" t="str">
        <f t="shared" si="1"/>
        <v xml:space="preserve"> </v>
      </c>
      <c r="H40" s="214" t="s">
        <v>2</v>
      </c>
      <c r="I40" s="215" t="s">
        <v>2</v>
      </c>
      <c r="J40" s="215" t="s">
        <v>2</v>
      </c>
      <c r="K40" s="214">
        <v>112</v>
      </c>
      <c r="L40" s="214" t="str">
        <f t="shared" si="4"/>
        <v xml:space="preserve"> </v>
      </c>
      <c r="M40" s="216" t="s">
        <v>2</v>
      </c>
      <c r="N40" s="217" t="str">
        <f>IFERROR(SUM(L40*M40),"0")</f>
        <v>0</v>
      </c>
      <c r="O40" s="217" t="s">
        <v>546</v>
      </c>
      <c r="P40" s="219">
        <f t="array" ref="P40">IFERROR(SUM(N40*50%,N40,10,G40*50%+G40,O40),)</f>
        <v>0</v>
      </c>
      <c r="Q40" s="214" t="s">
        <v>2</v>
      </c>
      <c r="R40" s="217" t="s">
        <v>2</v>
      </c>
      <c r="S40" s="214" t="s">
        <v>2</v>
      </c>
      <c r="T40" s="220">
        <v>0</v>
      </c>
      <c r="U40" s="217">
        <v>0</v>
      </c>
      <c r="V40" s="221" t="s">
        <v>548</v>
      </c>
      <c r="W40" s="217">
        <v>0</v>
      </c>
      <c r="X40" s="217" t="s">
        <v>548</v>
      </c>
      <c r="Y40" s="217" t="s">
        <v>548</v>
      </c>
      <c r="Z40" s="222">
        <f t="shared" si="5"/>
        <v>0</v>
      </c>
      <c r="AB40" s="217">
        <v>0</v>
      </c>
      <c r="AD40" s="223">
        <f t="shared" si="6"/>
        <v>0</v>
      </c>
    </row>
    <row r="41" spans="1:30">
      <c r="A41" s="214" t="s">
        <v>2</v>
      </c>
      <c r="B41" s="215" t="s">
        <v>546</v>
      </c>
      <c r="C41" s="215" t="s">
        <v>546</v>
      </c>
      <c r="D41" s="214">
        <v>136</v>
      </c>
      <c r="E41" s="214" t="str">
        <f t="shared" si="0"/>
        <v xml:space="preserve"> </v>
      </c>
      <c r="F41" s="216" t="s">
        <v>2</v>
      </c>
      <c r="G41" s="217" t="str">
        <f t="shared" si="1"/>
        <v xml:space="preserve"> </v>
      </c>
      <c r="H41" s="214" t="s">
        <v>2</v>
      </c>
      <c r="I41" s="215" t="s">
        <v>2</v>
      </c>
      <c r="J41" s="215" t="s">
        <v>2</v>
      </c>
      <c r="K41" s="214">
        <v>112</v>
      </c>
      <c r="L41" s="214" t="str">
        <f t="shared" si="4"/>
        <v xml:space="preserve"> </v>
      </c>
      <c r="M41" s="216" t="s">
        <v>2</v>
      </c>
      <c r="N41" s="217" t="str">
        <f t="shared" ref="N41:N104" si="7">IFERROR(SUM(L41*M41),"0 ")</f>
        <v xml:space="preserve">0 </v>
      </c>
      <c r="O41" s="217" t="s">
        <v>546</v>
      </c>
      <c r="P41" s="219">
        <f t="array" ref="P41">IFERROR(SUM(N41*50%,N41,10,G41*50%+G41,O41),)</f>
        <v>0</v>
      </c>
      <c r="Q41" s="214" t="s">
        <v>2</v>
      </c>
      <c r="R41" s="217" t="s">
        <v>2</v>
      </c>
      <c r="S41" s="214" t="s">
        <v>2</v>
      </c>
      <c r="T41" s="220">
        <v>0</v>
      </c>
      <c r="U41" s="217">
        <v>0</v>
      </c>
      <c r="V41" s="221" t="s">
        <v>548</v>
      </c>
      <c r="W41" s="217">
        <v>0</v>
      </c>
      <c r="X41" s="217" t="s">
        <v>548</v>
      </c>
      <c r="Y41" s="217" t="s">
        <v>548</v>
      </c>
      <c r="Z41" s="222">
        <f t="shared" si="5"/>
        <v>0</v>
      </c>
      <c r="AB41" s="217">
        <v>0</v>
      </c>
      <c r="AD41" s="223">
        <f t="shared" si="6"/>
        <v>0</v>
      </c>
    </row>
    <row r="42" spans="1:30">
      <c r="A42" s="214" t="s">
        <v>2</v>
      </c>
      <c r="B42" s="215" t="s">
        <v>546</v>
      </c>
      <c r="C42" s="215" t="s">
        <v>546</v>
      </c>
      <c r="D42" s="214">
        <v>136</v>
      </c>
      <c r="E42" s="214" t="str">
        <f t="shared" si="0"/>
        <v xml:space="preserve"> </v>
      </c>
      <c r="F42" s="216" t="s">
        <v>2</v>
      </c>
      <c r="G42" s="217" t="str">
        <f t="shared" si="1"/>
        <v xml:space="preserve"> </v>
      </c>
      <c r="H42" s="214" t="s">
        <v>2</v>
      </c>
      <c r="I42" s="215" t="s">
        <v>2</v>
      </c>
      <c r="J42" s="215" t="s">
        <v>2</v>
      </c>
      <c r="K42" s="214">
        <v>112</v>
      </c>
      <c r="L42" s="214" t="str">
        <f t="shared" si="4"/>
        <v xml:space="preserve"> </v>
      </c>
      <c r="M42" s="216" t="s">
        <v>2</v>
      </c>
      <c r="N42" s="217" t="str">
        <f t="shared" si="7"/>
        <v xml:space="preserve">0 </v>
      </c>
      <c r="O42" s="217" t="s">
        <v>546</v>
      </c>
      <c r="P42" s="219">
        <f t="array" ref="P42">IFERROR(SUM(N42*50%,N42,10,G42*50%+G42,O42),)</f>
        <v>0</v>
      </c>
      <c r="Q42" s="214" t="s">
        <v>2</v>
      </c>
      <c r="R42" s="217" t="s">
        <v>2</v>
      </c>
      <c r="S42" s="214" t="s">
        <v>2</v>
      </c>
      <c r="T42" s="220">
        <v>0</v>
      </c>
      <c r="U42" s="217">
        <v>0</v>
      </c>
      <c r="V42" s="221" t="s">
        <v>548</v>
      </c>
      <c r="W42" s="217">
        <v>0</v>
      </c>
      <c r="X42" s="217" t="s">
        <v>548</v>
      </c>
      <c r="Y42" s="217" t="s">
        <v>548</v>
      </c>
      <c r="Z42" s="222">
        <f t="shared" si="5"/>
        <v>0</v>
      </c>
      <c r="AB42" s="217">
        <v>0</v>
      </c>
      <c r="AD42" s="223">
        <f t="shared" si="6"/>
        <v>0</v>
      </c>
    </row>
    <row r="43" spans="1:30">
      <c r="A43" s="214" t="s">
        <v>2</v>
      </c>
      <c r="B43" s="215" t="s">
        <v>546</v>
      </c>
      <c r="C43" s="215" t="s">
        <v>546</v>
      </c>
      <c r="D43" s="214">
        <v>136</v>
      </c>
      <c r="E43" s="214" t="str">
        <f t="shared" si="0"/>
        <v xml:space="preserve"> </v>
      </c>
      <c r="F43" s="216" t="s">
        <v>2</v>
      </c>
      <c r="G43" s="217" t="str">
        <f t="shared" si="1"/>
        <v xml:space="preserve"> </v>
      </c>
      <c r="H43" s="214" t="s">
        <v>2</v>
      </c>
      <c r="I43" s="215" t="s">
        <v>2</v>
      </c>
      <c r="J43" s="215" t="s">
        <v>2</v>
      </c>
      <c r="K43" s="214">
        <v>112</v>
      </c>
      <c r="L43" s="214" t="str">
        <f t="shared" si="4"/>
        <v xml:space="preserve"> </v>
      </c>
      <c r="M43" s="216" t="s">
        <v>2</v>
      </c>
      <c r="N43" s="217" t="str">
        <f t="shared" si="7"/>
        <v xml:space="preserve">0 </v>
      </c>
      <c r="O43" s="217" t="s">
        <v>546</v>
      </c>
      <c r="P43" s="219">
        <f t="array" ref="P43">IFERROR(SUM(N43*50%,N43,10,G43*50%+G43,O43),)</f>
        <v>0</v>
      </c>
      <c r="Q43" s="214" t="s">
        <v>2</v>
      </c>
      <c r="R43" s="217" t="s">
        <v>2</v>
      </c>
      <c r="S43" s="214" t="s">
        <v>2</v>
      </c>
      <c r="T43" s="220">
        <v>0</v>
      </c>
      <c r="U43" s="217">
        <v>0</v>
      </c>
      <c r="V43" s="221" t="s">
        <v>548</v>
      </c>
      <c r="W43" s="217">
        <v>0</v>
      </c>
      <c r="X43" s="217" t="s">
        <v>548</v>
      </c>
      <c r="Y43" s="217" t="s">
        <v>548</v>
      </c>
      <c r="Z43" s="222">
        <f t="shared" si="5"/>
        <v>0</v>
      </c>
      <c r="AB43" s="217">
        <v>0</v>
      </c>
      <c r="AD43" s="223">
        <f t="shared" si="6"/>
        <v>0</v>
      </c>
    </row>
    <row r="44" spans="1:30">
      <c r="A44" s="214" t="s">
        <v>2</v>
      </c>
      <c r="B44" s="215" t="s">
        <v>546</v>
      </c>
      <c r="C44" s="215" t="s">
        <v>546</v>
      </c>
      <c r="D44" s="214">
        <v>136</v>
      </c>
      <c r="E44" s="214" t="str">
        <f t="shared" si="0"/>
        <v xml:space="preserve"> </v>
      </c>
      <c r="F44" s="216" t="s">
        <v>2</v>
      </c>
      <c r="G44" s="217" t="str">
        <f t="shared" si="1"/>
        <v xml:space="preserve"> </v>
      </c>
      <c r="H44" s="214" t="s">
        <v>2</v>
      </c>
      <c r="I44" s="215" t="s">
        <v>2</v>
      </c>
      <c r="J44" s="215" t="s">
        <v>2</v>
      </c>
      <c r="K44" s="214">
        <v>112</v>
      </c>
      <c r="L44" s="214" t="str">
        <f t="shared" si="4"/>
        <v xml:space="preserve"> </v>
      </c>
      <c r="M44" s="216" t="s">
        <v>2</v>
      </c>
      <c r="N44" s="217" t="str">
        <f t="shared" si="7"/>
        <v xml:space="preserve">0 </v>
      </c>
      <c r="O44" s="217" t="s">
        <v>546</v>
      </c>
      <c r="P44" s="219">
        <f t="array" ref="P44">IFERROR(SUM(N44*50%,N44,10,G44*50%+G44,O44),)</f>
        <v>0</v>
      </c>
      <c r="Q44" s="214" t="s">
        <v>2</v>
      </c>
      <c r="R44" s="217" t="s">
        <v>2</v>
      </c>
      <c r="S44" s="214" t="s">
        <v>2</v>
      </c>
      <c r="T44" s="220">
        <v>0</v>
      </c>
      <c r="U44" s="217">
        <v>0</v>
      </c>
      <c r="V44" s="221" t="s">
        <v>548</v>
      </c>
      <c r="W44" s="217">
        <v>0</v>
      </c>
      <c r="X44" s="217" t="s">
        <v>548</v>
      </c>
      <c r="Y44" s="217" t="s">
        <v>548</v>
      </c>
      <c r="Z44" s="222">
        <f t="shared" si="5"/>
        <v>0</v>
      </c>
      <c r="AB44" s="217">
        <v>0</v>
      </c>
      <c r="AD44" s="223">
        <f t="shared" si="6"/>
        <v>0</v>
      </c>
    </row>
    <row r="45" spans="1:30">
      <c r="A45" s="214" t="s">
        <v>2</v>
      </c>
      <c r="B45" s="215" t="s">
        <v>546</v>
      </c>
      <c r="C45" s="215" t="s">
        <v>546</v>
      </c>
      <c r="D45" s="214">
        <v>136</v>
      </c>
      <c r="E45" s="214" t="str">
        <f t="shared" si="0"/>
        <v xml:space="preserve"> </v>
      </c>
      <c r="F45" s="216" t="s">
        <v>2</v>
      </c>
      <c r="G45" s="217" t="str">
        <f t="shared" si="1"/>
        <v xml:space="preserve"> </v>
      </c>
      <c r="H45" s="214" t="s">
        <v>2</v>
      </c>
      <c r="I45" s="215" t="s">
        <v>2</v>
      </c>
      <c r="J45" s="215" t="s">
        <v>2</v>
      </c>
      <c r="K45" s="214">
        <v>112</v>
      </c>
      <c r="L45" s="214" t="str">
        <f t="shared" si="4"/>
        <v xml:space="preserve"> </v>
      </c>
      <c r="M45" s="216" t="s">
        <v>2</v>
      </c>
      <c r="N45" s="217" t="str">
        <f t="shared" si="7"/>
        <v xml:space="preserve">0 </v>
      </c>
      <c r="O45" s="217" t="s">
        <v>546</v>
      </c>
      <c r="P45" s="219">
        <f t="array" ref="P45">IFERROR(SUM(N45*50%,N45,10,G45*50%+G45,O45),)</f>
        <v>0</v>
      </c>
      <c r="Q45" s="214" t="s">
        <v>2</v>
      </c>
      <c r="R45" s="217" t="s">
        <v>2</v>
      </c>
      <c r="S45" s="214" t="s">
        <v>2</v>
      </c>
      <c r="T45" s="220">
        <v>0</v>
      </c>
      <c r="U45" s="217">
        <v>0</v>
      </c>
      <c r="V45" s="221" t="s">
        <v>548</v>
      </c>
      <c r="W45" s="217">
        <v>0</v>
      </c>
      <c r="X45" s="217" t="s">
        <v>548</v>
      </c>
      <c r="Y45" s="217" t="s">
        <v>548</v>
      </c>
      <c r="Z45" s="222">
        <f t="shared" si="5"/>
        <v>0</v>
      </c>
      <c r="AB45" s="217">
        <v>0</v>
      </c>
      <c r="AD45" s="223">
        <f t="shared" si="6"/>
        <v>0</v>
      </c>
    </row>
    <row r="46" spans="1:30">
      <c r="A46" s="214" t="s">
        <v>2</v>
      </c>
      <c r="B46" s="215" t="s">
        <v>546</v>
      </c>
      <c r="C46" s="215" t="s">
        <v>546</v>
      </c>
      <c r="D46" s="214">
        <v>136</v>
      </c>
      <c r="E46" s="214" t="str">
        <f t="shared" si="0"/>
        <v xml:space="preserve"> </v>
      </c>
      <c r="F46" s="216" t="s">
        <v>2</v>
      </c>
      <c r="G46" s="217" t="str">
        <f t="shared" si="1"/>
        <v xml:space="preserve"> </v>
      </c>
      <c r="H46" s="214" t="s">
        <v>2</v>
      </c>
      <c r="I46" s="215" t="s">
        <v>2</v>
      </c>
      <c r="J46" s="215" t="s">
        <v>2</v>
      </c>
      <c r="K46" s="214">
        <v>112</v>
      </c>
      <c r="L46" s="214" t="str">
        <f t="shared" si="4"/>
        <v xml:space="preserve"> </v>
      </c>
      <c r="M46" s="216" t="s">
        <v>2</v>
      </c>
      <c r="N46" s="217" t="str">
        <f t="shared" si="7"/>
        <v xml:space="preserve">0 </v>
      </c>
      <c r="O46" s="217" t="s">
        <v>546</v>
      </c>
      <c r="P46" s="219">
        <f t="array" ref="P46">IFERROR(SUM(N46*50%,N46,10,G46*50%+G46,O46),)</f>
        <v>0</v>
      </c>
      <c r="Q46" s="214" t="s">
        <v>2</v>
      </c>
      <c r="R46" s="217" t="s">
        <v>2</v>
      </c>
      <c r="S46" s="214" t="s">
        <v>2</v>
      </c>
      <c r="T46" s="220">
        <v>0</v>
      </c>
      <c r="U46" s="217">
        <v>0</v>
      </c>
      <c r="V46" s="221" t="s">
        <v>548</v>
      </c>
      <c r="W46" s="217">
        <v>0</v>
      </c>
      <c r="X46" s="217" t="s">
        <v>548</v>
      </c>
      <c r="Y46" s="217" t="s">
        <v>548</v>
      </c>
      <c r="Z46" s="222">
        <f t="shared" si="5"/>
        <v>0</v>
      </c>
      <c r="AB46" s="217">
        <v>0</v>
      </c>
      <c r="AD46" s="223">
        <f t="shared" si="6"/>
        <v>0</v>
      </c>
    </row>
    <row r="47" spans="1:30">
      <c r="A47" s="214" t="s">
        <v>2</v>
      </c>
      <c r="B47" s="215" t="s">
        <v>546</v>
      </c>
      <c r="C47" s="215" t="s">
        <v>546</v>
      </c>
      <c r="D47" s="214">
        <v>136</v>
      </c>
      <c r="E47" s="214" t="str">
        <f t="shared" si="0"/>
        <v xml:space="preserve"> </v>
      </c>
      <c r="F47" s="216" t="s">
        <v>2</v>
      </c>
      <c r="G47" s="217" t="str">
        <f t="shared" si="1"/>
        <v xml:space="preserve"> </v>
      </c>
      <c r="H47" s="214" t="s">
        <v>2</v>
      </c>
      <c r="I47" s="215" t="s">
        <v>2</v>
      </c>
      <c r="J47" s="215" t="s">
        <v>2</v>
      </c>
      <c r="K47" s="214">
        <v>112</v>
      </c>
      <c r="L47" s="214" t="str">
        <f t="shared" si="4"/>
        <v xml:space="preserve"> </v>
      </c>
      <c r="M47" s="216" t="s">
        <v>2</v>
      </c>
      <c r="N47" s="217" t="str">
        <f t="shared" si="7"/>
        <v xml:space="preserve">0 </v>
      </c>
      <c r="O47" s="217" t="s">
        <v>546</v>
      </c>
      <c r="P47" s="219">
        <f t="array" ref="P47">IFERROR(SUM(N47*50%,N47,10,G47*50%+G47,O47),)</f>
        <v>0</v>
      </c>
      <c r="Q47" s="214" t="s">
        <v>2</v>
      </c>
      <c r="R47" s="217" t="s">
        <v>2</v>
      </c>
      <c r="S47" s="214" t="s">
        <v>2</v>
      </c>
      <c r="T47" s="220">
        <v>0</v>
      </c>
      <c r="U47" s="217">
        <v>0</v>
      </c>
      <c r="V47" s="221" t="s">
        <v>548</v>
      </c>
      <c r="W47" s="217">
        <v>0</v>
      </c>
      <c r="X47" s="217" t="s">
        <v>548</v>
      </c>
      <c r="Y47" s="217" t="s">
        <v>548</v>
      </c>
      <c r="Z47" s="222">
        <f t="shared" si="5"/>
        <v>0</v>
      </c>
      <c r="AB47" s="217">
        <v>0</v>
      </c>
      <c r="AD47" s="223">
        <f t="shared" si="6"/>
        <v>0</v>
      </c>
    </row>
    <row r="48" spans="1:30">
      <c r="A48" s="214" t="s">
        <v>2</v>
      </c>
      <c r="B48" s="215" t="s">
        <v>546</v>
      </c>
      <c r="C48" s="215" t="s">
        <v>546</v>
      </c>
      <c r="D48" s="214">
        <v>136</v>
      </c>
      <c r="E48" s="214" t="str">
        <f t="shared" si="0"/>
        <v xml:space="preserve"> </v>
      </c>
      <c r="F48" s="216" t="s">
        <v>2</v>
      </c>
      <c r="G48" s="217" t="str">
        <f t="shared" si="1"/>
        <v xml:space="preserve"> </v>
      </c>
      <c r="H48" s="214" t="s">
        <v>2</v>
      </c>
      <c r="I48" s="215" t="s">
        <v>2</v>
      </c>
      <c r="J48" s="215" t="s">
        <v>2</v>
      </c>
      <c r="K48" s="214">
        <v>112</v>
      </c>
      <c r="L48" s="214" t="str">
        <f t="shared" si="4"/>
        <v xml:space="preserve"> </v>
      </c>
      <c r="M48" s="216" t="s">
        <v>2</v>
      </c>
      <c r="N48" s="217" t="str">
        <f t="shared" si="7"/>
        <v xml:space="preserve">0 </v>
      </c>
      <c r="O48" s="217" t="s">
        <v>546</v>
      </c>
      <c r="P48" s="219">
        <f t="array" ref="P48">IFERROR(SUM(N48*50%,N48,10,G48*50%+G48,O48),)</f>
        <v>0</v>
      </c>
      <c r="Q48" s="214" t="s">
        <v>2</v>
      </c>
      <c r="R48" s="217" t="s">
        <v>2</v>
      </c>
      <c r="S48" s="214" t="s">
        <v>2</v>
      </c>
      <c r="T48" s="220">
        <v>0</v>
      </c>
      <c r="U48" s="217">
        <v>0</v>
      </c>
      <c r="V48" s="221" t="s">
        <v>548</v>
      </c>
      <c r="W48" s="217">
        <v>0</v>
      </c>
      <c r="X48" s="217" t="s">
        <v>548</v>
      </c>
      <c r="Y48" s="217" t="s">
        <v>548</v>
      </c>
      <c r="Z48" s="222">
        <f t="shared" si="5"/>
        <v>0</v>
      </c>
      <c r="AB48" s="217">
        <v>0</v>
      </c>
      <c r="AD48" s="223">
        <f t="shared" si="6"/>
        <v>0</v>
      </c>
    </row>
    <row r="49" spans="1:30">
      <c r="A49" s="214" t="s">
        <v>2</v>
      </c>
      <c r="B49" s="215" t="s">
        <v>546</v>
      </c>
      <c r="C49" s="215" t="s">
        <v>546</v>
      </c>
      <c r="D49" s="214">
        <v>136</v>
      </c>
      <c r="E49" s="214" t="str">
        <f t="shared" si="0"/>
        <v xml:space="preserve"> </v>
      </c>
      <c r="F49" s="216" t="s">
        <v>2</v>
      </c>
      <c r="G49" s="217" t="str">
        <f t="shared" si="1"/>
        <v xml:space="preserve"> </v>
      </c>
      <c r="H49" s="214" t="s">
        <v>2</v>
      </c>
      <c r="I49" s="215" t="s">
        <v>2</v>
      </c>
      <c r="J49" s="215" t="s">
        <v>2</v>
      </c>
      <c r="K49" s="214">
        <v>112</v>
      </c>
      <c r="L49" s="214" t="str">
        <f t="shared" si="4"/>
        <v xml:space="preserve"> </v>
      </c>
      <c r="M49" s="216" t="s">
        <v>2</v>
      </c>
      <c r="N49" s="217" t="str">
        <f t="shared" si="7"/>
        <v xml:space="preserve">0 </v>
      </c>
      <c r="O49" s="217" t="s">
        <v>546</v>
      </c>
      <c r="P49" s="219">
        <f t="array" ref="P49">IFERROR(SUM(N49*50%,N49,10,G49*50%+G49,O49),)</f>
        <v>0</v>
      </c>
      <c r="Q49" s="214" t="s">
        <v>2</v>
      </c>
      <c r="R49" s="217" t="s">
        <v>2</v>
      </c>
      <c r="S49" s="214" t="s">
        <v>2</v>
      </c>
      <c r="T49" s="220">
        <v>0</v>
      </c>
      <c r="U49" s="217">
        <v>0</v>
      </c>
      <c r="V49" s="221" t="s">
        <v>548</v>
      </c>
      <c r="W49" s="217">
        <v>0</v>
      </c>
      <c r="X49" s="217" t="s">
        <v>548</v>
      </c>
      <c r="Y49" s="217" t="s">
        <v>548</v>
      </c>
      <c r="Z49" s="222">
        <f t="shared" si="5"/>
        <v>0</v>
      </c>
      <c r="AB49" s="217">
        <v>0</v>
      </c>
      <c r="AD49" s="223">
        <f t="shared" si="6"/>
        <v>0</v>
      </c>
    </row>
    <row r="50" spans="1:30">
      <c r="A50" s="214" t="s">
        <v>2</v>
      </c>
      <c r="B50" s="215" t="s">
        <v>546</v>
      </c>
      <c r="C50" s="215" t="s">
        <v>546</v>
      </c>
      <c r="D50" s="214">
        <v>136</v>
      </c>
      <c r="E50" s="214" t="str">
        <f t="shared" si="0"/>
        <v xml:space="preserve"> </v>
      </c>
      <c r="F50" s="216" t="s">
        <v>2</v>
      </c>
      <c r="G50" s="217" t="str">
        <f t="shared" si="1"/>
        <v xml:space="preserve"> </v>
      </c>
      <c r="H50" s="214" t="s">
        <v>2</v>
      </c>
      <c r="I50" s="215" t="s">
        <v>2</v>
      </c>
      <c r="J50" s="215" t="s">
        <v>2</v>
      </c>
      <c r="K50" s="214">
        <v>112</v>
      </c>
      <c r="L50" s="214" t="str">
        <f t="shared" si="4"/>
        <v xml:space="preserve"> </v>
      </c>
      <c r="M50" s="216" t="s">
        <v>2</v>
      </c>
      <c r="N50" s="217" t="str">
        <f t="shared" si="7"/>
        <v xml:space="preserve">0 </v>
      </c>
      <c r="O50" s="217" t="s">
        <v>546</v>
      </c>
      <c r="P50" s="219">
        <f t="array" ref="P50">IFERROR(SUM(N50*50%,N50,10,G50*50%+G50,O50),)</f>
        <v>0</v>
      </c>
      <c r="Q50" s="214" t="s">
        <v>2</v>
      </c>
      <c r="R50" s="217" t="s">
        <v>2</v>
      </c>
      <c r="S50" s="214" t="s">
        <v>2</v>
      </c>
      <c r="T50" s="220">
        <v>0</v>
      </c>
      <c r="U50" s="217">
        <v>0</v>
      </c>
      <c r="V50" s="221" t="s">
        <v>548</v>
      </c>
      <c r="W50" s="217">
        <v>0</v>
      </c>
      <c r="X50" s="217" t="s">
        <v>548</v>
      </c>
      <c r="Y50" s="217" t="s">
        <v>548</v>
      </c>
      <c r="Z50" s="222">
        <f t="shared" si="5"/>
        <v>0</v>
      </c>
      <c r="AB50" s="217">
        <v>0</v>
      </c>
      <c r="AD50" s="223">
        <f t="shared" si="6"/>
        <v>0</v>
      </c>
    </row>
    <row r="51" spans="1:30">
      <c r="A51" s="214" t="s">
        <v>2</v>
      </c>
      <c r="B51" s="215" t="s">
        <v>546</v>
      </c>
      <c r="C51" s="215" t="s">
        <v>546</v>
      </c>
      <c r="D51" s="214">
        <v>136</v>
      </c>
      <c r="E51" s="214" t="str">
        <f t="shared" si="0"/>
        <v xml:space="preserve"> </v>
      </c>
      <c r="F51" s="216" t="s">
        <v>2</v>
      </c>
      <c r="G51" s="217" t="str">
        <f t="shared" si="1"/>
        <v xml:space="preserve"> </v>
      </c>
      <c r="H51" s="214" t="s">
        <v>2</v>
      </c>
      <c r="I51" s="215" t="s">
        <v>2</v>
      </c>
      <c r="J51" s="215" t="s">
        <v>2</v>
      </c>
      <c r="K51" s="214">
        <v>112</v>
      </c>
      <c r="L51" s="214" t="str">
        <f t="shared" si="4"/>
        <v xml:space="preserve"> </v>
      </c>
      <c r="M51" s="216" t="s">
        <v>2</v>
      </c>
      <c r="N51" s="217" t="str">
        <f t="shared" si="7"/>
        <v xml:space="preserve">0 </v>
      </c>
      <c r="O51" s="217" t="s">
        <v>546</v>
      </c>
      <c r="P51" s="219">
        <f t="array" ref="P51">IFERROR(SUM(N51*50%,N51,10,G51*50%+G51,O51),)</f>
        <v>0</v>
      </c>
      <c r="Q51" s="214" t="s">
        <v>2</v>
      </c>
      <c r="R51" s="217" t="s">
        <v>2</v>
      </c>
      <c r="S51" s="214" t="s">
        <v>2</v>
      </c>
      <c r="T51" s="220">
        <v>0</v>
      </c>
      <c r="U51" s="217">
        <v>0</v>
      </c>
      <c r="V51" s="221" t="s">
        <v>548</v>
      </c>
      <c r="W51" s="217">
        <v>0</v>
      </c>
      <c r="X51" s="217" t="s">
        <v>548</v>
      </c>
      <c r="Y51" s="217" t="s">
        <v>548</v>
      </c>
      <c r="Z51" s="222">
        <f t="shared" si="5"/>
        <v>0</v>
      </c>
      <c r="AB51" s="217">
        <v>0</v>
      </c>
      <c r="AD51" s="223">
        <f t="shared" si="6"/>
        <v>0</v>
      </c>
    </row>
    <row r="52" spans="1:30">
      <c r="A52" s="214" t="s">
        <v>2</v>
      </c>
      <c r="B52" s="215" t="s">
        <v>546</v>
      </c>
      <c r="C52" s="215" t="s">
        <v>546</v>
      </c>
      <c r="D52" s="214">
        <v>136</v>
      </c>
      <c r="E52" s="214" t="str">
        <f t="shared" si="0"/>
        <v xml:space="preserve"> </v>
      </c>
      <c r="F52" s="216" t="s">
        <v>2</v>
      </c>
      <c r="G52" s="217" t="str">
        <f t="shared" si="1"/>
        <v xml:space="preserve"> </v>
      </c>
      <c r="H52" s="214" t="s">
        <v>2</v>
      </c>
      <c r="I52" s="215" t="s">
        <v>2</v>
      </c>
      <c r="J52" s="215" t="s">
        <v>2</v>
      </c>
      <c r="K52" s="214">
        <v>112</v>
      </c>
      <c r="L52" s="214" t="str">
        <f t="shared" si="4"/>
        <v xml:space="preserve"> </v>
      </c>
      <c r="M52" s="216" t="s">
        <v>2</v>
      </c>
      <c r="N52" s="217" t="str">
        <f t="shared" si="7"/>
        <v xml:space="preserve">0 </v>
      </c>
      <c r="O52" s="217" t="s">
        <v>546</v>
      </c>
      <c r="P52" s="219">
        <f t="array" ref="P52">IFERROR(SUM(N52*50%,N52,10,G52*50%+G52,O52),)</f>
        <v>0</v>
      </c>
      <c r="Q52" s="214" t="s">
        <v>2</v>
      </c>
      <c r="R52" s="217" t="s">
        <v>2</v>
      </c>
      <c r="S52" s="214" t="s">
        <v>2</v>
      </c>
      <c r="T52" s="220">
        <v>0</v>
      </c>
      <c r="U52" s="217">
        <v>0</v>
      </c>
      <c r="V52" s="221" t="s">
        <v>548</v>
      </c>
      <c r="W52" s="217">
        <v>0</v>
      </c>
      <c r="X52" s="217" t="s">
        <v>548</v>
      </c>
      <c r="Y52" s="217" t="s">
        <v>548</v>
      </c>
      <c r="Z52" s="222">
        <f t="shared" si="5"/>
        <v>0</v>
      </c>
      <c r="AB52" s="217">
        <v>0</v>
      </c>
      <c r="AD52" s="223">
        <f t="shared" si="6"/>
        <v>0</v>
      </c>
    </row>
    <row r="53" spans="1:30">
      <c r="A53" s="214" t="s">
        <v>2</v>
      </c>
      <c r="B53" s="215" t="s">
        <v>546</v>
      </c>
      <c r="C53" s="215" t="s">
        <v>546</v>
      </c>
      <c r="D53" s="214">
        <v>136</v>
      </c>
      <c r="E53" s="214" t="str">
        <f t="shared" si="0"/>
        <v xml:space="preserve"> </v>
      </c>
      <c r="F53" s="216" t="s">
        <v>2</v>
      </c>
      <c r="G53" s="217" t="str">
        <f t="shared" si="1"/>
        <v xml:space="preserve"> </v>
      </c>
      <c r="H53" s="214" t="s">
        <v>2</v>
      </c>
      <c r="I53" s="215" t="s">
        <v>2</v>
      </c>
      <c r="J53" s="215" t="s">
        <v>2</v>
      </c>
      <c r="K53" s="214">
        <v>112</v>
      </c>
      <c r="L53" s="214" t="str">
        <f t="shared" si="4"/>
        <v xml:space="preserve"> </v>
      </c>
      <c r="M53" s="216" t="s">
        <v>2</v>
      </c>
      <c r="N53" s="217" t="str">
        <f t="shared" si="7"/>
        <v xml:space="preserve">0 </v>
      </c>
      <c r="O53" s="217" t="s">
        <v>546</v>
      </c>
      <c r="P53" s="219">
        <f t="array" ref="P53">IFERROR(SUM(N53*50%,N53,10,G53*50%+G53,O53),)</f>
        <v>0</v>
      </c>
      <c r="Q53" s="214" t="s">
        <v>2</v>
      </c>
      <c r="R53" s="217" t="s">
        <v>2</v>
      </c>
      <c r="S53" s="214" t="s">
        <v>2</v>
      </c>
      <c r="T53" s="220">
        <v>0</v>
      </c>
      <c r="U53" s="217">
        <v>0</v>
      </c>
      <c r="V53" s="221" t="s">
        <v>548</v>
      </c>
      <c r="W53" s="217">
        <v>0</v>
      </c>
      <c r="X53" s="217" t="s">
        <v>548</v>
      </c>
      <c r="Y53" s="217" t="s">
        <v>548</v>
      </c>
      <c r="Z53" s="222">
        <f t="shared" si="5"/>
        <v>0</v>
      </c>
      <c r="AB53" s="217">
        <v>0</v>
      </c>
      <c r="AD53" s="223">
        <f t="shared" si="6"/>
        <v>0</v>
      </c>
    </row>
    <row r="54" spans="1:30">
      <c r="A54" s="214" t="s">
        <v>2</v>
      </c>
      <c r="B54" s="215" t="s">
        <v>546</v>
      </c>
      <c r="C54" s="215" t="s">
        <v>546</v>
      </c>
      <c r="D54" s="214">
        <v>136</v>
      </c>
      <c r="E54" s="214" t="str">
        <f t="shared" si="0"/>
        <v xml:space="preserve"> </v>
      </c>
      <c r="F54" s="216" t="s">
        <v>2</v>
      </c>
      <c r="G54" s="217" t="str">
        <f t="shared" si="1"/>
        <v xml:space="preserve"> </v>
      </c>
      <c r="H54" s="214" t="s">
        <v>2</v>
      </c>
      <c r="I54" s="215" t="s">
        <v>2</v>
      </c>
      <c r="J54" s="215" t="s">
        <v>2</v>
      </c>
      <c r="K54" s="214">
        <v>112</v>
      </c>
      <c r="L54" s="214" t="str">
        <f t="shared" si="4"/>
        <v xml:space="preserve"> </v>
      </c>
      <c r="M54" s="216" t="s">
        <v>2</v>
      </c>
      <c r="N54" s="217" t="str">
        <f t="shared" si="7"/>
        <v xml:space="preserve">0 </v>
      </c>
      <c r="O54" s="217" t="s">
        <v>546</v>
      </c>
      <c r="P54" s="219">
        <f t="array" ref="P54">IFERROR(SUM(N54*50%,N54,10,G54*50%+G54,O54),)</f>
        <v>0</v>
      </c>
      <c r="Q54" s="214" t="s">
        <v>2</v>
      </c>
      <c r="R54" s="217" t="s">
        <v>2</v>
      </c>
      <c r="S54" s="214" t="s">
        <v>2</v>
      </c>
      <c r="T54" s="220">
        <v>0</v>
      </c>
      <c r="U54" s="217">
        <v>0</v>
      </c>
      <c r="V54" s="221" t="s">
        <v>548</v>
      </c>
      <c r="W54" s="217">
        <v>0</v>
      </c>
      <c r="X54" s="217" t="s">
        <v>548</v>
      </c>
      <c r="Y54" s="217" t="s">
        <v>548</v>
      </c>
      <c r="Z54" s="222">
        <f t="shared" si="5"/>
        <v>0</v>
      </c>
      <c r="AB54" s="217">
        <v>0</v>
      </c>
      <c r="AD54" s="223">
        <f t="shared" si="6"/>
        <v>0</v>
      </c>
    </row>
    <row r="55" spans="1:30">
      <c r="A55" s="214" t="s">
        <v>2</v>
      </c>
      <c r="B55" s="215" t="s">
        <v>546</v>
      </c>
      <c r="C55" s="215" t="s">
        <v>546</v>
      </c>
      <c r="D55" s="214">
        <v>136</v>
      </c>
      <c r="E55" s="214" t="str">
        <f t="shared" si="0"/>
        <v xml:space="preserve"> </v>
      </c>
      <c r="F55" s="216" t="s">
        <v>2</v>
      </c>
      <c r="G55" s="217" t="str">
        <f t="shared" si="1"/>
        <v xml:space="preserve"> </v>
      </c>
      <c r="H55" s="214" t="s">
        <v>2</v>
      </c>
      <c r="I55" s="215" t="s">
        <v>2</v>
      </c>
      <c r="J55" s="215" t="s">
        <v>2</v>
      </c>
      <c r="K55" s="214">
        <v>112</v>
      </c>
      <c r="L55" s="214" t="str">
        <f t="shared" si="4"/>
        <v xml:space="preserve"> </v>
      </c>
      <c r="M55" s="216" t="s">
        <v>2</v>
      </c>
      <c r="N55" s="217" t="str">
        <f t="shared" si="7"/>
        <v xml:space="preserve">0 </v>
      </c>
      <c r="O55" s="217" t="s">
        <v>546</v>
      </c>
      <c r="P55" s="219">
        <f t="array" ref="P55">IFERROR(SUM(N55*50%,N55,10,G55*50%+G55,O55),)</f>
        <v>0</v>
      </c>
      <c r="Q55" s="214" t="s">
        <v>2</v>
      </c>
      <c r="R55" s="217" t="s">
        <v>2</v>
      </c>
      <c r="S55" s="214" t="s">
        <v>2</v>
      </c>
      <c r="T55" s="220">
        <v>0</v>
      </c>
      <c r="U55" s="217">
        <v>0</v>
      </c>
      <c r="V55" s="221" t="s">
        <v>548</v>
      </c>
      <c r="W55" s="217">
        <v>0</v>
      </c>
      <c r="X55" s="217" t="s">
        <v>548</v>
      </c>
      <c r="Y55" s="217" t="s">
        <v>548</v>
      </c>
      <c r="Z55" s="222">
        <f t="shared" si="5"/>
        <v>0</v>
      </c>
      <c r="AB55" s="217">
        <v>0</v>
      </c>
      <c r="AD55" s="223">
        <f t="shared" si="6"/>
        <v>0</v>
      </c>
    </row>
    <row r="56" spans="1:30">
      <c r="A56" s="214" t="s">
        <v>2</v>
      </c>
      <c r="B56" s="215" t="s">
        <v>546</v>
      </c>
      <c r="C56" s="215" t="s">
        <v>546</v>
      </c>
      <c r="D56" s="214">
        <v>136</v>
      </c>
      <c r="E56" s="214" t="str">
        <f t="shared" si="0"/>
        <v xml:space="preserve"> </v>
      </c>
      <c r="F56" s="216" t="s">
        <v>2</v>
      </c>
      <c r="G56" s="217" t="str">
        <f t="shared" si="1"/>
        <v xml:space="preserve"> </v>
      </c>
      <c r="H56" s="214" t="s">
        <v>2</v>
      </c>
      <c r="I56" s="215" t="s">
        <v>2</v>
      </c>
      <c r="J56" s="215" t="s">
        <v>2</v>
      </c>
      <c r="K56" s="214">
        <v>112</v>
      </c>
      <c r="L56" s="214" t="str">
        <f t="shared" si="4"/>
        <v xml:space="preserve"> </v>
      </c>
      <c r="M56" s="216" t="s">
        <v>2</v>
      </c>
      <c r="N56" s="217" t="str">
        <f t="shared" si="7"/>
        <v xml:space="preserve">0 </v>
      </c>
      <c r="O56" s="217" t="s">
        <v>546</v>
      </c>
      <c r="P56" s="219">
        <f t="array" ref="P56">IFERROR(SUM(N56*50%,N56,10,G56*50%+G56,O56),)</f>
        <v>0</v>
      </c>
      <c r="Q56" s="214" t="s">
        <v>2</v>
      </c>
      <c r="R56" s="217" t="s">
        <v>2</v>
      </c>
      <c r="S56" s="214" t="s">
        <v>2</v>
      </c>
      <c r="T56" s="220">
        <v>0</v>
      </c>
      <c r="U56" s="217">
        <v>0</v>
      </c>
      <c r="V56" s="221" t="s">
        <v>548</v>
      </c>
      <c r="W56" s="217">
        <v>0</v>
      </c>
      <c r="X56" s="217" t="s">
        <v>548</v>
      </c>
      <c r="Y56" s="217" t="s">
        <v>548</v>
      </c>
      <c r="Z56" s="222">
        <f t="shared" si="5"/>
        <v>0</v>
      </c>
      <c r="AB56" s="217">
        <v>0</v>
      </c>
      <c r="AD56" s="223">
        <f t="shared" si="6"/>
        <v>0</v>
      </c>
    </row>
    <row r="57" spans="1:30">
      <c r="A57" s="214" t="s">
        <v>2</v>
      </c>
      <c r="B57" s="215" t="s">
        <v>546</v>
      </c>
      <c r="C57" s="215" t="s">
        <v>546</v>
      </c>
      <c r="D57" s="214">
        <v>136</v>
      </c>
      <c r="E57" s="214" t="str">
        <f t="shared" si="0"/>
        <v xml:space="preserve"> </v>
      </c>
      <c r="F57" s="216" t="s">
        <v>2</v>
      </c>
      <c r="G57" s="217" t="str">
        <f t="shared" si="1"/>
        <v xml:space="preserve"> </v>
      </c>
      <c r="H57" s="214" t="s">
        <v>2</v>
      </c>
      <c r="I57" s="215" t="s">
        <v>2</v>
      </c>
      <c r="J57" s="215" t="s">
        <v>2</v>
      </c>
      <c r="K57" s="214">
        <v>112</v>
      </c>
      <c r="L57" s="214" t="str">
        <f t="shared" si="4"/>
        <v xml:space="preserve"> </v>
      </c>
      <c r="M57" s="216" t="s">
        <v>2</v>
      </c>
      <c r="N57" s="217" t="str">
        <f t="shared" si="7"/>
        <v xml:space="preserve">0 </v>
      </c>
      <c r="O57" s="217" t="s">
        <v>546</v>
      </c>
      <c r="P57" s="219">
        <f t="array" ref="P57">IFERROR(SUM(N57*50%,N57,10,G57*50%+G57,O57),)</f>
        <v>0</v>
      </c>
      <c r="Q57" s="214" t="s">
        <v>2</v>
      </c>
      <c r="R57" s="217" t="s">
        <v>2</v>
      </c>
      <c r="S57" s="214" t="s">
        <v>2</v>
      </c>
      <c r="T57" s="220">
        <v>0</v>
      </c>
      <c r="U57" s="217">
        <v>0</v>
      </c>
      <c r="V57" s="221" t="s">
        <v>548</v>
      </c>
      <c r="W57" s="217">
        <v>0</v>
      </c>
      <c r="X57" s="217" t="s">
        <v>548</v>
      </c>
      <c r="Y57" s="217" t="s">
        <v>548</v>
      </c>
      <c r="Z57" s="222">
        <f t="shared" si="5"/>
        <v>0</v>
      </c>
      <c r="AB57" s="217">
        <v>0</v>
      </c>
      <c r="AD57" s="223">
        <f t="shared" si="6"/>
        <v>0</v>
      </c>
    </row>
    <row r="58" spans="1:30">
      <c r="A58" s="214" t="s">
        <v>2</v>
      </c>
      <c r="B58" s="215" t="s">
        <v>546</v>
      </c>
      <c r="C58" s="215" t="s">
        <v>546</v>
      </c>
      <c r="D58" s="214">
        <v>136</v>
      </c>
      <c r="E58" s="214" t="str">
        <f t="shared" si="0"/>
        <v xml:space="preserve"> </v>
      </c>
      <c r="F58" s="216" t="s">
        <v>2</v>
      </c>
      <c r="G58" s="217" t="str">
        <f t="shared" si="1"/>
        <v xml:space="preserve"> </v>
      </c>
      <c r="H58" s="214" t="s">
        <v>2</v>
      </c>
      <c r="I58" s="215" t="s">
        <v>2</v>
      </c>
      <c r="J58" s="215" t="s">
        <v>2</v>
      </c>
      <c r="K58" s="214">
        <v>112</v>
      </c>
      <c r="L58" s="214" t="str">
        <f t="shared" si="4"/>
        <v xml:space="preserve"> </v>
      </c>
      <c r="M58" s="216" t="s">
        <v>2</v>
      </c>
      <c r="N58" s="217" t="str">
        <f t="shared" si="7"/>
        <v xml:space="preserve">0 </v>
      </c>
      <c r="O58" s="217" t="s">
        <v>546</v>
      </c>
      <c r="P58" s="219">
        <f t="array" ref="P58">IFERROR(SUM(N58*50%,N58,10,G58*50%+G58,O58),)</f>
        <v>0</v>
      </c>
      <c r="Q58" s="214" t="s">
        <v>2</v>
      </c>
      <c r="R58" s="217" t="s">
        <v>2</v>
      </c>
      <c r="S58" s="214" t="s">
        <v>2</v>
      </c>
      <c r="T58" s="220">
        <v>0</v>
      </c>
      <c r="U58" s="217">
        <v>0</v>
      </c>
      <c r="V58" s="221" t="s">
        <v>548</v>
      </c>
      <c r="W58" s="217">
        <v>0</v>
      </c>
      <c r="X58" s="217" t="s">
        <v>548</v>
      </c>
      <c r="Y58" s="217" t="s">
        <v>548</v>
      </c>
      <c r="Z58" s="222">
        <f t="shared" si="5"/>
        <v>0</v>
      </c>
      <c r="AB58" s="217">
        <v>0</v>
      </c>
      <c r="AD58" s="223">
        <f t="shared" si="6"/>
        <v>0</v>
      </c>
    </row>
    <row r="59" spans="1:30">
      <c r="A59" s="214" t="s">
        <v>2</v>
      </c>
      <c r="B59" s="215" t="s">
        <v>546</v>
      </c>
      <c r="C59" s="215" t="s">
        <v>546</v>
      </c>
      <c r="D59" s="214">
        <v>136</v>
      </c>
      <c r="E59" s="214" t="str">
        <f t="shared" si="0"/>
        <v xml:space="preserve"> </v>
      </c>
      <c r="F59" s="216" t="s">
        <v>2</v>
      </c>
      <c r="G59" s="217" t="str">
        <f t="shared" si="1"/>
        <v xml:space="preserve"> </v>
      </c>
      <c r="H59" s="214" t="s">
        <v>2</v>
      </c>
      <c r="I59" s="215" t="s">
        <v>2</v>
      </c>
      <c r="J59" s="215" t="s">
        <v>2</v>
      </c>
      <c r="K59" s="214">
        <v>112</v>
      </c>
      <c r="L59" s="214" t="str">
        <f t="shared" si="4"/>
        <v xml:space="preserve"> </v>
      </c>
      <c r="M59" s="216" t="s">
        <v>2</v>
      </c>
      <c r="N59" s="217" t="str">
        <f t="shared" si="7"/>
        <v xml:space="preserve">0 </v>
      </c>
      <c r="O59" s="217" t="s">
        <v>546</v>
      </c>
      <c r="P59" s="219">
        <f t="array" ref="P59">IFERROR(SUM(N59*50%,N59,10,G59*50%+G59,O59),)</f>
        <v>0</v>
      </c>
      <c r="Q59" s="214" t="s">
        <v>2</v>
      </c>
      <c r="R59" s="217" t="s">
        <v>2</v>
      </c>
      <c r="S59" s="214" t="s">
        <v>2</v>
      </c>
      <c r="T59" s="220">
        <v>0</v>
      </c>
      <c r="U59" s="217">
        <v>0</v>
      </c>
      <c r="V59" s="221" t="s">
        <v>548</v>
      </c>
      <c r="W59" s="217">
        <v>0</v>
      </c>
      <c r="X59" s="217" t="s">
        <v>548</v>
      </c>
      <c r="Y59" s="217" t="s">
        <v>548</v>
      </c>
      <c r="Z59" s="222">
        <f t="shared" si="5"/>
        <v>0</v>
      </c>
      <c r="AB59" s="217">
        <v>0</v>
      </c>
      <c r="AD59" s="223">
        <f t="shared" si="6"/>
        <v>0</v>
      </c>
    </row>
    <row r="60" spans="1:30">
      <c r="A60" s="214" t="s">
        <v>2</v>
      </c>
      <c r="B60" s="215" t="s">
        <v>546</v>
      </c>
      <c r="C60" s="215" t="s">
        <v>546</v>
      </c>
      <c r="D60" s="214">
        <v>136</v>
      </c>
      <c r="E60" s="214" t="str">
        <f t="shared" si="0"/>
        <v xml:space="preserve"> </v>
      </c>
      <c r="F60" s="216" t="s">
        <v>2</v>
      </c>
      <c r="G60" s="217" t="str">
        <f t="shared" si="1"/>
        <v xml:space="preserve"> </v>
      </c>
      <c r="H60" s="214" t="s">
        <v>2</v>
      </c>
      <c r="I60" s="215" t="s">
        <v>2</v>
      </c>
      <c r="J60" s="215" t="s">
        <v>2</v>
      </c>
      <c r="K60" s="214">
        <v>112</v>
      </c>
      <c r="L60" s="214" t="str">
        <f t="shared" si="4"/>
        <v xml:space="preserve"> </v>
      </c>
      <c r="M60" s="216" t="s">
        <v>2</v>
      </c>
      <c r="N60" s="217" t="str">
        <f t="shared" si="7"/>
        <v xml:space="preserve">0 </v>
      </c>
      <c r="O60" s="217" t="s">
        <v>546</v>
      </c>
      <c r="P60" s="219">
        <f t="array" ref="P60">IFERROR(SUM(N60*50%,N60,10,G60*50%+G60,O60),)</f>
        <v>0</v>
      </c>
      <c r="Q60" s="214" t="s">
        <v>2</v>
      </c>
      <c r="R60" s="217" t="s">
        <v>2</v>
      </c>
      <c r="S60" s="214" t="s">
        <v>2</v>
      </c>
      <c r="T60" s="220">
        <v>0</v>
      </c>
      <c r="U60" s="217">
        <v>0</v>
      </c>
      <c r="V60" s="221" t="s">
        <v>548</v>
      </c>
      <c r="W60" s="217">
        <v>0</v>
      </c>
      <c r="X60" s="217" t="s">
        <v>548</v>
      </c>
      <c r="Y60" s="217" t="s">
        <v>548</v>
      </c>
      <c r="Z60" s="222">
        <f t="shared" si="5"/>
        <v>0</v>
      </c>
      <c r="AB60" s="217">
        <v>0</v>
      </c>
      <c r="AD60" s="223">
        <f t="shared" si="6"/>
        <v>0</v>
      </c>
    </row>
    <row r="61" spans="1:30">
      <c r="A61" s="214" t="s">
        <v>2</v>
      </c>
      <c r="B61" s="215" t="s">
        <v>546</v>
      </c>
      <c r="C61" s="215" t="s">
        <v>546</v>
      </c>
      <c r="D61" s="214">
        <v>136</v>
      </c>
      <c r="E61" s="214" t="str">
        <f t="shared" si="0"/>
        <v xml:space="preserve"> </v>
      </c>
      <c r="F61" s="216" t="s">
        <v>2</v>
      </c>
      <c r="G61" s="217" t="str">
        <f t="shared" si="1"/>
        <v xml:space="preserve"> </v>
      </c>
      <c r="H61" s="214" t="s">
        <v>2</v>
      </c>
      <c r="I61" s="215" t="s">
        <v>2</v>
      </c>
      <c r="J61" s="215" t="s">
        <v>2</v>
      </c>
      <c r="K61" s="214">
        <v>112</v>
      </c>
      <c r="L61" s="214" t="str">
        <f t="shared" si="4"/>
        <v xml:space="preserve"> </v>
      </c>
      <c r="M61" s="216" t="s">
        <v>2</v>
      </c>
      <c r="N61" s="217" t="str">
        <f t="shared" si="7"/>
        <v xml:space="preserve">0 </v>
      </c>
      <c r="O61" s="217" t="s">
        <v>546</v>
      </c>
      <c r="P61" s="219">
        <f t="array" ref="P61">IFERROR(SUM(N61*50%,N61,10,G61*50%+G61,O61),)</f>
        <v>0</v>
      </c>
      <c r="Q61" s="214" t="s">
        <v>2</v>
      </c>
      <c r="R61" s="217" t="s">
        <v>2</v>
      </c>
      <c r="S61" s="214" t="s">
        <v>2</v>
      </c>
      <c r="T61" s="220">
        <v>0</v>
      </c>
      <c r="U61" s="217">
        <v>0</v>
      </c>
      <c r="V61" s="221" t="s">
        <v>548</v>
      </c>
      <c r="W61" s="217">
        <v>0</v>
      </c>
      <c r="X61" s="217" t="s">
        <v>548</v>
      </c>
      <c r="Y61" s="217" t="s">
        <v>548</v>
      </c>
      <c r="Z61" s="222">
        <f t="shared" si="5"/>
        <v>0</v>
      </c>
      <c r="AB61" s="217">
        <v>0</v>
      </c>
      <c r="AD61" s="223">
        <f t="shared" si="6"/>
        <v>0</v>
      </c>
    </row>
    <row r="62" spans="1:30">
      <c r="A62" s="214" t="s">
        <v>2</v>
      </c>
      <c r="B62" s="215" t="s">
        <v>546</v>
      </c>
      <c r="C62" s="215" t="s">
        <v>546</v>
      </c>
      <c r="D62" s="214">
        <v>136</v>
      </c>
      <c r="E62" s="214" t="str">
        <f t="shared" si="0"/>
        <v xml:space="preserve"> </v>
      </c>
      <c r="F62" s="216" t="s">
        <v>2</v>
      </c>
      <c r="G62" s="217" t="str">
        <f t="shared" si="1"/>
        <v xml:space="preserve"> </v>
      </c>
      <c r="H62" s="214" t="s">
        <v>2</v>
      </c>
      <c r="I62" s="215" t="s">
        <v>2</v>
      </c>
      <c r="J62" s="215" t="s">
        <v>2</v>
      </c>
      <c r="K62" s="214">
        <v>112</v>
      </c>
      <c r="L62" s="214" t="str">
        <f t="shared" si="4"/>
        <v xml:space="preserve"> </v>
      </c>
      <c r="M62" s="216" t="s">
        <v>2</v>
      </c>
      <c r="N62" s="217" t="str">
        <f t="shared" si="7"/>
        <v xml:space="preserve">0 </v>
      </c>
      <c r="O62" s="217" t="s">
        <v>546</v>
      </c>
      <c r="P62" s="219">
        <f t="array" ref="P62">IFERROR(SUM(N62*50%,N62,10,G62*50%+G62,O62),)</f>
        <v>0</v>
      </c>
      <c r="Q62" s="214" t="s">
        <v>2</v>
      </c>
      <c r="R62" s="217" t="s">
        <v>2</v>
      </c>
      <c r="S62" s="214" t="s">
        <v>2</v>
      </c>
      <c r="T62" s="220">
        <v>0</v>
      </c>
      <c r="U62" s="217">
        <v>0</v>
      </c>
      <c r="V62" s="221" t="s">
        <v>548</v>
      </c>
      <c r="W62" s="217">
        <v>0</v>
      </c>
      <c r="X62" s="217" t="s">
        <v>548</v>
      </c>
      <c r="Y62" s="217" t="s">
        <v>548</v>
      </c>
      <c r="Z62" s="222">
        <f t="shared" si="5"/>
        <v>0</v>
      </c>
      <c r="AB62" s="217">
        <v>0</v>
      </c>
      <c r="AD62" s="223">
        <f t="shared" si="6"/>
        <v>0</v>
      </c>
    </row>
    <row r="63" spans="1:30">
      <c r="A63" s="214" t="s">
        <v>2</v>
      </c>
      <c r="B63" s="215" t="s">
        <v>546</v>
      </c>
      <c r="C63" s="215" t="s">
        <v>546</v>
      </c>
      <c r="D63" s="214">
        <v>136</v>
      </c>
      <c r="E63" s="214" t="str">
        <f t="shared" si="0"/>
        <v xml:space="preserve"> </v>
      </c>
      <c r="F63" s="216" t="s">
        <v>2</v>
      </c>
      <c r="G63" s="217" t="str">
        <f t="shared" si="1"/>
        <v xml:space="preserve"> </v>
      </c>
      <c r="H63" s="214" t="s">
        <v>2</v>
      </c>
      <c r="I63" s="215" t="s">
        <v>2</v>
      </c>
      <c r="J63" s="215" t="s">
        <v>2</v>
      </c>
      <c r="K63" s="214">
        <v>112</v>
      </c>
      <c r="L63" s="214" t="str">
        <f t="shared" si="4"/>
        <v xml:space="preserve"> </v>
      </c>
      <c r="M63" s="216" t="s">
        <v>2</v>
      </c>
      <c r="N63" s="217" t="str">
        <f t="shared" si="7"/>
        <v xml:space="preserve">0 </v>
      </c>
      <c r="O63" s="217" t="s">
        <v>546</v>
      </c>
      <c r="P63" s="219">
        <f t="array" ref="P63">IFERROR(SUM(N63*50%,N63,10,G63*50%+G63,O63),)</f>
        <v>0</v>
      </c>
      <c r="Q63" s="214" t="s">
        <v>2</v>
      </c>
      <c r="R63" s="217" t="s">
        <v>2</v>
      </c>
      <c r="S63" s="214" t="s">
        <v>2</v>
      </c>
      <c r="T63" s="220">
        <v>0</v>
      </c>
      <c r="U63" s="217">
        <v>0</v>
      </c>
      <c r="V63" s="221" t="s">
        <v>548</v>
      </c>
      <c r="W63" s="217">
        <v>0</v>
      </c>
      <c r="X63" s="217" t="s">
        <v>548</v>
      </c>
      <c r="Y63" s="217" t="s">
        <v>548</v>
      </c>
      <c r="Z63" s="222">
        <f t="shared" si="5"/>
        <v>0</v>
      </c>
      <c r="AB63" s="217">
        <v>0</v>
      </c>
      <c r="AD63" s="223">
        <f t="shared" si="6"/>
        <v>0</v>
      </c>
    </row>
    <row r="64" spans="1:30">
      <c r="A64" s="214" t="s">
        <v>2</v>
      </c>
      <c r="B64" s="215" t="s">
        <v>546</v>
      </c>
      <c r="C64" s="215" t="s">
        <v>546</v>
      </c>
      <c r="D64" s="214">
        <v>136</v>
      </c>
      <c r="E64" s="214" t="str">
        <f t="shared" si="0"/>
        <v xml:space="preserve"> </v>
      </c>
      <c r="F64" s="216" t="s">
        <v>2</v>
      </c>
      <c r="G64" s="217" t="str">
        <f t="shared" si="1"/>
        <v xml:space="preserve"> </v>
      </c>
      <c r="H64" s="214" t="s">
        <v>2</v>
      </c>
      <c r="I64" s="215" t="s">
        <v>2</v>
      </c>
      <c r="J64" s="215" t="s">
        <v>2</v>
      </c>
      <c r="K64" s="214">
        <v>112</v>
      </c>
      <c r="L64" s="214" t="str">
        <f t="shared" si="4"/>
        <v xml:space="preserve"> </v>
      </c>
      <c r="M64" s="216" t="s">
        <v>2</v>
      </c>
      <c r="N64" s="217" t="str">
        <f t="shared" si="7"/>
        <v xml:space="preserve">0 </v>
      </c>
      <c r="O64" s="217" t="s">
        <v>546</v>
      </c>
      <c r="P64" s="219">
        <f t="array" ref="P64">IFERROR(SUM(N64*50%,N64,10,G64*50%+G64,O64),)</f>
        <v>0</v>
      </c>
      <c r="Q64" s="214" t="s">
        <v>2</v>
      </c>
      <c r="R64" s="217" t="s">
        <v>2</v>
      </c>
      <c r="S64" s="214" t="s">
        <v>2</v>
      </c>
      <c r="T64" s="220">
        <v>0</v>
      </c>
      <c r="U64" s="217">
        <v>0</v>
      </c>
      <c r="V64" s="221" t="s">
        <v>548</v>
      </c>
      <c r="W64" s="217">
        <v>0</v>
      </c>
      <c r="X64" s="217" t="s">
        <v>548</v>
      </c>
      <c r="Y64" s="217" t="s">
        <v>548</v>
      </c>
      <c r="Z64" s="222">
        <f t="shared" si="5"/>
        <v>0</v>
      </c>
      <c r="AB64" s="217">
        <v>0</v>
      </c>
      <c r="AD64" s="223">
        <f t="shared" si="6"/>
        <v>0</v>
      </c>
    </row>
    <row r="65" spans="1:30">
      <c r="A65" s="214" t="s">
        <v>2</v>
      </c>
      <c r="B65" s="215" t="s">
        <v>546</v>
      </c>
      <c r="C65" s="215" t="s">
        <v>546</v>
      </c>
      <c r="D65" s="214">
        <v>136</v>
      </c>
      <c r="E65" s="214" t="str">
        <f t="shared" si="0"/>
        <v xml:space="preserve"> </v>
      </c>
      <c r="F65" s="216" t="s">
        <v>2</v>
      </c>
      <c r="G65" s="217" t="str">
        <f t="shared" si="1"/>
        <v xml:space="preserve"> </v>
      </c>
      <c r="H65" s="214" t="s">
        <v>2</v>
      </c>
      <c r="I65" s="215" t="s">
        <v>2</v>
      </c>
      <c r="J65" s="215" t="s">
        <v>2</v>
      </c>
      <c r="K65" s="214">
        <v>112</v>
      </c>
      <c r="L65" s="214" t="str">
        <f t="shared" si="4"/>
        <v xml:space="preserve"> </v>
      </c>
      <c r="M65" s="216" t="s">
        <v>2</v>
      </c>
      <c r="N65" s="217" t="str">
        <f t="shared" si="7"/>
        <v xml:space="preserve">0 </v>
      </c>
      <c r="O65" s="217" t="s">
        <v>546</v>
      </c>
      <c r="P65" s="219">
        <f t="array" ref="P65">IFERROR(SUM(N65*50%,N65,10,G65*50%+G65,O65),)</f>
        <v>0</v>
      </c>
      <c r="Q65" s="214" t="s">
        <v>2</v>
      </c>
      <c r="R65" s="217" t="s">
        <v>2</v>
      </c>
      <c r="S65" s="214" t="s">
        <v>2</v>
      </c>
      <c r="T65" s="220">
        <v>0</v>
      </c>
      <c r="U65" s="217">
        <v>0</v>
      </c>
      <c r="V65" s="221" t="s">
        <v>548</v>
      </c>
      <c r="W65" s="217">
        <v>0</v>
      </c>
      <c r="X65" s="217" t="s">
        <v>548</v>
      </c>
      <c r="Y65" s="217" t="s">
        <v>548</v>
      </c>
      <c r="Z65" s="222">
        <f t="shared" si="5"/>
        <v>0</v>
      </c>
      <c r="AB65" s="217">
        <v>0</v>
      </c>
      <c r="AD65" s="223">
        <f t="shared" si="6"/>
        <v>0</v>
      </c>
    </row>
    <row r="66" spans="1:30">
      <c r="A66" s="214" t="s">
        <v>2</v>
      </c>
      <c r="B66" s="215" t="s">
        <v>546</v>
      </c>
      <c r="C66" s="215" t="s">
        <v>546</v>
      </c>
      <c r="D66" s="214">
        <v>136</v>
      </c>
      <c r="E66" s="214" t="str">
        <f t="shared" si="0"/>
        <v xml:space="preserve"> </v>
      </c>
      <c r="F66" s="216" t="s">
        <v>2</v>
      </c>
      <c r="G66" s="217" t="str">
        <f t="shared" si="1"/>
        <v xml:space="preserve"> </v>
      </c>
      <c r="H66" s="214" t="s">
        <v>2</v>
      </c>
      <c r="I66" s="215" t="s">
        <v>2</v>
      </c>
      <c r="J66" s="215" t="s">
        <v>2</v>
      </c>
      <c r="K66" s="214">
        <v>112</v>
      </c>
      <c r="L66" s="214" t="str">
        <f t="shared" si="4"/>
        <v xml:space="preserve"> </v>
      </c>
      <c r="M66" s="216" t="s">
        <v>2</v>
      </c>
      <c r="N66" s="217" t="str">
        <f t="shared" si="7"/>
        <v xml:space="preserve">0 </v>
      </c>
      <c r="O66" s="217" t="s">
        <v>546</v>
      </c>
      <c r="P66" s="219">
        <f t="array" ref="P66">IFERROR(SUM(N66*50%,N66,10,G66*50%+G66,O66),)</f>
        <v>0</v>
      </c>
      <c r="Q66" s="214" t="s">
        <v>2</v>
      </c>
      <c r="R66" s="217" t="s">
        <v>2</v>
      </c>
      <c r="S66" s="214" t="s">
        <v>2</v>
      </c>
      <c r="T66" s="220">
        <v>0</v>
      </c>
      <c r="U66" s="217">
        <v>0</v>
      </c>
      <c r="V66" s="221" t="s">
        <v>548</v>
      </c>
      <c r="W66" s="217">
        <v>0</v>
      </c>
      <c r="X66" s="217" t="s">
        <v>548</v>
      </c>
      <c r="Y66" s="217" t="s">
        <v>548</v>
      </c>
      <c r="Z66" s="222">
        <f t="shared" si="5"/>
        <v>0</v>
      </c>
      <c r="AB66" s="217">
        <v>0</v>
      </c>
      <c r="AD66" s="223">
        <f t="shared" si="6"/>
        <v>0</v>
      </c>
    </row>
    <row r="67" spans="1:30">
      <c r="A67" s="214" t="s">
        <v>2</v>
      </c>
      <c r="B67" s="215" t="s">
        <v>546</v>
      </c>
      <c r="C67" s="215" t="s">
        <v>546</v>
      </c>
      <c r="D67" s="214">
        <v>136</v>
      </c>
      <c r="E67" s="214" t="str">
        <f t="shared" ref="E67:E130" si="8">IFERROR(SUM(B67*C67*D67/1000000000)," ")</f>
        <v xml:space="preserve"> </v>
      </c>
      <c r="F67" s="216" t="s">
        <v>2</v>
      </c>
      <c r="G67" s="217" t="str">
        <f t="shared" ref="G67:G130" si="9">IFERROR(SUM(E67*F67)," ")</f>
        <v xml:space="preserve"> </v>
      </c>
      <c r="H67" s="214" t="s">
        <v>2</v>
      </c>
      <c r="I67" s="215" t="s">
        <v>2</v>
      </c>
      <c r="J67" s="215" t="s">
        <v>2</v>
      </c>
      <c r="K67" s="214">
        <v>112</v>
      </c>
      <c r="L67" s="214" t="str">
        <f t="shared" si="4"/>
        <v xml:space="preserve"> </v>
      </c>
      <c r="M67" s="216" t="s">
        <v>2</v>
      </c>
      <c r="N67" s="217" t="str">
        <f t="shared" si="7"/>
        <v xml:space="preserve">0 </v>
      </c>
      <c r="O67" s="217" t="s">
        <v>546</v>
      </c>
      <c r="P67" s="219">
        <f t="array" ref="P67">IFERROR(SUM(N67*50%,N67,10,G67*50%+G67,O67),)</f>
        <v>0</v>
      </c>
      <c r="Q67" s="214" t="s">
        <v>2</v>
      </c>
      <c r="R67" s="217" t="s">
        <v>2</v>
      </c>
      <c r="S67" s="214" t="s">
        <v>2</v>
      </c>
      <c r="T67" s="220">
        <v>0</v>
      </c>
      <c r="U67" s="217">
        <v>0</v>
      </c>
      <c r="V67" s="221" t="s">
        <v>548</v>
      </c>
      <c r="W67" s="217">
        <v>0</v>
      </c>
      <c r="X67" s="217" t="s">
        <v>548</v>
      </c>
      <c r="Y67" s="217" t="s">
        <v>548</v>
      </c>
      <c r="Z67" s="222">
        <f t="shared" si="5"/>
        <v>0</v>
      </c>
      <c r="AB67" s="217">
        <v>0</v>
      </c>
      <c r="AD67" s="223">
        <f t="shared" si="6"/>
        <v>0</v>
      </c>
    </row>
    <row r="68" spans="1:30">
      <c r="A68" s="214" t="s">
        <v>2</v>
      </c>
      <c r="B68" s="215" t="s">
        <v>546</v>
      </c>
      <c r="C68" s="215" t="s">
        <v>546</v>
      </c>
      <c r="D68" s="214">
        <v>136</v>
      </c>
      <c r="E68" s="214" t="str">
        <f t="shared" si="8"/>
        <v xml:space="preserve"> </v>
      </c>
      <c r="F68" s="216" t="s">
        <v>2</v>
      </c>
      <c r="G68" s="217" t="str">
        <f t="shared" si="9"/>
        <v xml:space="preserve"> </v>
      </c>
      <c r="H68" s="214" t="s">
        <v>2</v>
      </c>
      <c r="I68" s="215" t="s">
        <v>2</v>
      </c>
      <c r="J68" s="215" t="s">
        <v>2</v>
      </c>
      <c r="K68" s="214">
        <v>112</v>
      </c>
      <c r="L68" s="214" t="str">
        <f t="shared" ref="L68:L131" si="10">IFERROR(SUM(I68*J68*K68/1000000000)," ")</f>
        <v xml:space="preserve"> </v>
      </c>
      <c r="M68" s="216" t="s">
        <v>2</v>
      </c>
      <c r="N68" s="217" t="str">
        <f t="shared" si="7"/>
        <v xml:space="preserve">0 </v>
      </c>
      <c r="O68" s="217" t="s">
        <v>546</v>
      </c>
      <c r="P68" s="219">
        <f t="array" ref="P68">IFERROR(SUM(N68*50%,N68,10,G68*50%+G68,O68),)</f>
        <v>0</v>
      </c>
      <c r="Q68" s="214" t="s">
        <v>2</v>
      </c>
      <c r="R68" s="217" t="s">
        <v>2</v>
      </c>
      <c r="S68" s="214" t="s">
        <v>2</v>
      </c>
      <c r="T68" s="220">
        <v>0</v>
      </c>
      <c r="U68" s="217">
        <v>0</v>
      </c>
      <c r="V68" s="221" t="s">
        <v>548</v>
      </c>
      <c r="W68" s="217">
        <v>0</v>
      </c>
      <c r="X68" s="217" t="s">
        <v>548</v>
      </c>
      <c r="Y68" s="217" t="s">
        <v>548</v>
      </c>
      <c r="Z68" s="222">
        <f t="shared" ref="Z68:Z131" si="11">IFERROR(SUM(T68+W68+X68+Y68+U68+P68+R68),)</f>
        <v>0</v>
      </c>
      <c r="AB68" s="217">
        <v>0</v>
      </c>
      <c r="AD68" s="223">
        <f t="shared" si="6"/>
        <v>0</v>
      </c>
    </row>
    <row r="69" spans="1:30">
      <c r="A69" s="214" t="s">
        <v>2</v>
      </c>
      <c r="B69" s="215" t="s">
        <v>546</v>
      </c>
      <c r="C69" s="215" t="s">
        <v>546</v>
      </c>
      <c r="D69" s="214">
        <v>136</v>
      </c>
      <c r="E69" s="214" t="str">
        <f t="shared" si="8"/>
        <v xml:space="preserve"> </v>
      </c>
      <c r="F69" s="216" t="s">
        <v>2</v>
      </c>
      <c r="G69" s="217" t="str">
        <f t="shared" si="9"/>
        <v xml:space="preserve"> </v>
      </c>
      <c r="H69" s="214" t="s">
        <v>2</v>
      </c>
      <c r="I69" s="215" t="s">
        <v>2</v>
      </c>
      <c r="J69" s="215" t="s">
        <v>2</v>
      </c>
      <c r="K69" s="214">
        <v>112</v>
      </c>
      <c r="L69" s="214" t="str">
        <f t="shared" si="10"/>
        <v xml:space="preserve"> </v>
      </c>
      <c r="M69" s="216" t="s">
        <v>2</v>
      </c>
      <c r="N69" s="217" t="str">
        <f t="shared" si="7"/>
        <v xml:space="preserve">0 </v>
      </c>
      <c r="O69" s="217" t="s">
        <v>546</v>
      </c>
      <c r="P69" s="219">
        <f t="array" ref="P69">IFERROR(SUM(N69*50%,N69,10,G69*50%+G69,O69),)</f>
        <v>0</v>
      </c>
      <c r="Q69" s="214" t="s">
        <v>2</v>
      </c>
      <c r="R69" s="217" t="s">
        <v>2</v>
      </c>
      <c r="S69" s="214" t="s">
        <v>2</v>
      </c>
      <c r="T69" s="220">
        <v>0</v>
      </c>
      <c r="U69" s="217">
        <v>0</v>
      </c>
      <c r="V69" s="221" t="s">
        <v>548</v>
      </c>
      <c r="W69" s="217">
        <v>0</v>
      </c>
      <c r="X69" s="217" t="s">
        <v>548</v>
      </c>
      <c r="Y69" s="217" t="s">
        <v>548</v>
      </c>
      <c r="Z69" s="222">
        <f t="shared" si="11"/>
        <v>0</v>
      </c>
      <c r="AB69" s="217">
        <v>0</v>
      </c>
      <c r="AD69" s="223">
        <f t="shared" si="6"/>
        <v>0</v>
      </c>
    </row>
    <row r="70" spans="1:30">
      <c r="A70" s="214" t="s">
        <v>2</v>
      </c>
      <c r="B70" s="215" t="s">
        <v>546</v>
      </c>
      <c r="C70" s="215" t="s">
        <v>546</v>
      </c>
      <c r="D70" s="214">
        <v>136</v>
      </c>
      <c r="E70" s="214" t="str">
        <f t="shared" si="8"/>
        <v xml:space="preserve"> </v>
      </c>
      <c r="F70" s="216" t="s">
        <v>2</v>
      </c>
      <c r="G70" s="217" t="str">
        <f t="shared" si="9"/>
        <v xml:space="preserve"> </v>
      </c>
      <c r="H70" s="214" t="s">
        <v>2</v>
      </c>
      <c r="I70" s="215" t="s">
        <v>2</v>
      </c>
      <c r="J70" s="215" t="s">
        <v>2</v>
      </c>
      <c r="K70" s="214">
        <v>112</v>
      </c>
      <c r="L70" s="214" t="str">
        <f t="shared" si="10"/>
        <v xml:space="preserve"> </v>
      </c>
      <c r="M70" s="216" t="s">
        <v>2</v>
      </c>
      <c r="N70" s="217" t="str">
        <f t="shared" si="7"/>
        <v xml:space="preserve">0 </v>
      </c>
      <c r="O70" s="217" t="s">
        <v>546</v>
      </c>
      <c r="P70" s="219">
        <f t="array" ref="P70">IFERROR(SUM(N70*50%,N70,10,G70*50%+G70,O70),)</f>
        <v>0</v>
      </c>
      <c r="Q70" s="214" t="s">
        <v>2</v>
      </c>
      <c r="R70" s="217" t="s">
        <v>2</v>
      </c>
      <c r="S70" s="214" t="s">
        <v>2</v>
      </c>
      <c r="T70" s="220">
        <v>0</v>
      </c>
      <c r="U70" s="217">
        <v>0</v>
      </c>
      <c r="V70" s="221" t="s">
        <v>548</v>
      </c>
      <c r="W70" s="217">
        <v>0</v>
      </c>
      <c r="X70" s="217" t="s">
        <v>548</v>
      </c>
      <c r="Y70" s="217" t="s">
        <v>548</v>
      </c>
      <c r="Z70" s="222">
        <f t="shared" si="11"/>
        <v>0</v>
      </c>
      <c r="AB70" s="217">
        <v>0</v>
      </c>
      <c r="AD70" s="223">
        <f t="shared" si="6"/>
        <v>0</v>
      </c>
    </row>
    <row r="71" spans="1:30">
      <c r="A71" s="214" t="s">
        <v>2</v>
      </c>
      <c r="B71" s="215" t="s">
        <v>546</v>
      </c>
      <c r="C71" s="215" t="s">
        <v>546</v>
      </c>
      <c r="D71" s="214">
        <v>136</v>
      </c>
      <c r="E71" s="214" t="str">
        <f t="shared" si="8"/>
        <v xml:space="preserve"> </v>
      </c>
      <c r="F71" s="216" t="s">
        <v>2</v>
      </c>
      <c r="G71" s="217" t="str">
        <f t="shared" si="9"/>
        <v xml:space="preserve"> </v>
      </c>
      <c r="H71" s="214" t="s">
        <v>2</v>
      </c>
      <c r="I71" s="215" t="s">
        <v>2</v>
      </c>
      <c r="J71" s="215" t="s">
        <v>2</v>
      </c>
      <c r="K71" s="214">
        <v>112</v>
      </c>
      <c r="L71" s="214" t="str">
        <f t="shared" si="10"/>
        <v xml:space="preserve"> </v>
      </c>
      <c r="M71" s="216" t="s">
        <v>2</v>
      </c>
      <c r="N71" s="217" t="str">
        <f t="shared" si="7"/>
        <v xml:space="preserve">0 </v>
      </c>
      <c r="O71" s="217" t="s">
        <v>546</v>
      </c>
      <c r="P71" s="219">
        <f t="array" ref="P71">IFERROR(SUM(N71*50%,N71,10,G71*50%+G71,O71),)</f>
        <v>0</v>
      </c>
      <c r="Q71" s="214" t="s">
        <v>2</v>
      </c>
      <c r="R71" s="217" t="s">
        <v>2</v>
      </c>
      <c r="S71" s="214" t="s">
        <v>2</v>
      </c>
      <c r="T71" s="220">
        <v>0</v>
      </c>
      <c r="U71" s="217">
        <v>0</v>
      </c>
      <c r="V71" s="221" t="s">
        <v>548</v>
      </c>
      <c r="W71" s="217">
        <v>0</v>
      </c>
      <c r="X71" s="217" t="s">
        <v>548</v>
      </c>
      <c r="Y71" s="217" t="s">
        <v>548</v>
      </c>
      <c r="Z71" s="222">
        <f t="shared" si="11"/>
        <v>0</v>
      </c>
      <c r="AB71" s="217">
        <v>0</v>
      </c>
      <c r="AD71" s="223">
        <f t="shared" si="6"/>
        <v>0</v>
      </c>
    </row>
    <row r="72" spans="1:30">
      <c r="A72" s="214" t="s">
        <v>2</v>
      </c>
      <c r="B72" s="215" t="s">
        <v>546</v>
      </c>
      <c r="C72" s="215" t="s">
        <v>546</v>
      </c>
      <c r="D72" s="214">
        <v>136</v>
      </c>
      <c r="E72" s="214" t="str">
        <f t="shared" si="8"/>
        <v xml:space="preserve"> </v>
      </c>
      <c r="F72" s="216" t="s">
        <v>2</v>
      </c>
      <c r="G72" s="217" t="str">
        <f t="shared" si="9"/>
        <v xml:space="preserve"> </v>
      </c>
      <c r="H72" s="214" t="s">
        <v>2</v>
      </c>
      <c r="I72" s="215" t="s">
        <v>2</v>
      </c>
      <c r="J72" s="215" t="s">
        <v>2</v>
      </c>
      <c r="K72" s="214">
        <v>112</v>
      </c>
      <c r="L72" s="214" t="str">
        <f t="shared" si="10"/>
        <v xml:space="preserve"> </v>
      </c>
      <c r="M72" s="216" t="s">
        <v>2</v>
      </c>
      <c r="N72" s="217" t="str">
        <f t="shared" si="7"/>
        <v xml:space="preserve">0 </v>
      </c>
      <c r="O72" s="217" t="s">
        <v>546</v>
      </c>
      <c r="P72" s="219">
        <f t="array" ref="P72">IFERROR(SUM(N72*50%,N72,10,G72*50%+G72,O72),)</f>
        <v>0</v>
      </c>
      <c r="Q72" s="214" t="s">
        <v>2</v>
      </c>
      <c r="R72" s="217" t="s">
        <v>2</v>
      </c>
      <c r="S72" s="214" t="s">
        <v>2</v>
      </c>
      <c r="T72" s="220">
        <v>0</v>
      </c>
      <c r="U72" s="217">
        <v>0</v>
      </c>
      <c r="V72" s="221" t="s">
        <v>548</v>
      </c>
      <c r="W72" s="217">
        <v>0</v>
      </c>
      <c r="X72" s="217" t="s">
        <v>548</v>
      </c>
      <c r="Y72" s="217" t="s">
        <v>548</v>
      </c>
      <c r="Z72" s="222">
        <f t="shared" si="11"/>
        <v>0</v>
      </c>
      <c r="AB72" s="217">
        <v>0</v>
      </c>
      <c r="AD72" s="223">
        <f t="shared" si="6"/>
        <v>0</v>
      </c>
    </row>
    <row r="73" spans="1:30">
      <c r="A73" s="214" t="s">
        <v>2</v>
      </c>
      <c r="B73" s="215" t="s">
        <v>546</v>
      </c>
      <c r="C73" s="215" t="s">
        <v>546</v>
      </c>
      <c r="D73" s="214">
        <v>136</v>
      </c>
      <c r="E73" s="214" t="str">
        <f t="shared" si="8"/>
        <v xml:space="preserve"> </v>
      </c>
      <c r="F73" s="216" t="s">
        <v>2</v>
      </c>
      <c r="G73" s="217" t="str">
        <f t="shared" si="9"/>
        <v xml:space="preserve"> </v>
      </c>
      <c r="H73" s="214" t="s">
        <v>2</v>
      </c>
      <c r="I73" s="215" t="s">
        <v>2</v>
      </c>
      <c r="J73" s="215" t="s">
        <v>2</v>
      </c>
      <c r="K73" s="214">
        <v>112</v>
      </c>
      <c r="L73" s="214" t="str">
        <f t="shared" si="10"/>
        <v xml:space="preserve"> </v>
      </c>
      <c r="M73" s="216" t="s">
        <v>2</v>
      </c>
      <c r="N73" s="217" t="str">
        <f t="shared" si="7"/>
        <v xml:space="preserve">0 </v>
      </c>
      <c r="O73" s="217" t="s">
        <v>546</v>
      </c>
      <c r="P73" s="219">
        <f t="array" ref="P73">IFERROR(SUM(N73*50%,N73,10,G73*50%+G73,O73),)</f>
        <v>0</v>
      </c>
      <c r="Q73" s="214" t="s">
        <v>2</v>
      </c>
      <c r="R73" s="217" t="s">
        <v>2</v>
      </c>
      <c r="S73" s="214" t="s">
        <v>2</v>
      </c>
      <c r="T73" s="220">
        <v>0</v>
      </c>
      <c r="U73" s="217">
        <v>0</v>
      </c>
      <c r="V73" s="221" t="s">
        <v>548</v>
      </c>
      <c r="W73" s="217">
        <v>0</v>
      </c>
      <c r="X73" s="217" t="s">
        <v>548</v>
      </c>
      <c r="Y73" s="217" t="s">
        <v>548</v>
      </c>
      <c r="Z73" s="222">
        <f t="shared" si="11"/>
        <v>0</v>
      </c>
      <c r="AB73" s="217">
        <v>0</v>
      </c>
      <c r="AD73" s="223">
        <f t="shared" si="6"/>
        <v>0</v>
      </c>
    </row>
    <row r="74" spans="1:30">
      <c r="A74" s="214" t="s">
        <v>2</v>
      </c>
      <c r="B74" s="215" t="s">
        <v>546</v>
      </c>
      <c r="C74" s="215" t="s">
        <v>546</v>
      </c>
      <c r="D74" s="214">
        <v>136</v>
      </c>
      <c r="E74" s="214" t="str">
        <f t="shared" si="8"/>
        <v xml:space="preserve"> </v>
      </c>
      <c r="F74" s="216" t="s">
        <v>2</v>
      </c>
      <c r="G74" s="217" t="str">
        <f t="shared" si="9"/>
        <v xml:space="preserve"> </v>
      </c>
      <c r="H74" s="214" t="s">
        <v>2</v>
      </c>
      <c r="I74" s="215" t="s">
        <v>2</v>
      </c>
      <c r="J74" s="215" t="s">
        <v>2</v>
      </c>
      <c r="K74" s="214">
        <v>112</v>
      </c>
      <c r="L74" s="214" t="str">
        <f t="shared" si="10"/>
        <v xml:space="preserve"> </v>
      </c>
      <c r="M74" s="216" t="s">
        <v>2</v>
      </c>
      <c r="N74" s="217" t="str">
        <f t="shared" si="7"/>
        <v xml:space="preserve">0 </v>
      </c>
      <c r="O74" s="217" t="s">
        <v>546</v>
      </c>
      <c r="P74" s="219">
        <f t="array" ref="P74">IFERROR(SUM(N74*50%,N74,10,G74*50%+G74,O74),)</f>
        <v>0</v>
      </c>
      <c r="Q74" s="214" t="s">
        <v>2</v>
      </c>
      <c r="R74" s="217" t="s">
        <v>2</v>
      </c>
      <c r="S74" s="214" t="s">
        <v>2</v>
      </c>
      <c r="T74" s="220">
        <v>0</v>
      </c>
      <c r="U74" s="217">
        <v>0</v>
      </c>
      <c r="V74" s="221" t="s">
        <v>548</v>
      </c>
      <c r="W74" s="217">
        <v>0</v>
      </c>
      <c r="X74" s="217" t="s">
        <v>548</v>
      </c>
      <c r="Y74" s="217" t="s">
        <v>548</v>
      </c>
      <c r="Z74" s="222">
        <f t="shared" si="11"/>
        <v>0</v>
      </c>
      <c r="AB74" s="217">
        <v>0</v>
      </c>
      <c r="AD74" s="223">
        <f t="shared" si="6"/>
        <v>0</v>
      </c>
    </row>
    <row r="75" spans="1:30">
      <c r="A75" s="214" t="s">
        <v>2</v>
      </c>
      <c r="B75" s="215" t="s">
        <v>546</v>
      </c>
      <c r="C75" s="215" t="s">
        <v>546</v>
      </c>
      <c r="D75" s="214">
        <v>136</v>
      </c>
      <c r="E75" s="214" t="str">
        <f t="shared" si="8"/>
        <v xml:space="preserve"> </v>
      </c>
      <c r="F75" s="216" t="s">
        <v>2</v>
      </c>
      <c r="G75" s="217" t="str">
        <f t="shared" si="9"/>
        <v xml:space="preserve"> </v>
      </c>
      <c r="H75" s="214" t="s">
        <v>2</v>
      </c>
      <c r="I75" s="215" t="s">
        <v>2</v>
      </c>
      <c r="J75" s="215" t="s">
        <v>2</v>
      </c>
      <c r="K75" s="214">
        <v>112</v>
      </c>
      <c r="L75" s="214" t="str">
        <f t="shared" si="10"/>
        <v xml:space="preserve"> </v>
      </c>
      <c r="M75" s="216" t="s">
        <v>2</v>
      </c>
      <c r="N75" s="217" t="str">
        <f t="shared" si="7"/>
        <v xml:space="preserve">0 </v>
      </c>
      <c r="O75" s="217" t="s">
        <v>546</v>
      </c>
      <c r="P75" s="219">
        <f t="array" ref="P75">IFERROR(SUM(N75*50%,N75,10,G75*50%+G75,O75),)</f>
        <v>0</v>
      </c>
      <c r="Q75" s="214" t="s">
        <v>2</v>
      </c>
      <c r="R75" s="217" t="s">
        <v>2</v>
      </c>
      <c r="S75" s="214" t="s">
        <v>2</v>
      </c>
      <c r="T75" s="220">
        <v>0</v>
      </c>
      <c r="U75" s="217">
        <v>0</v>
      </c>
      <c r="V75" s="221" t="s">
        <v>548</v>
      </c>
      <c r="W75" s="217">
        <v>0</v>
      </c>
      <c r="X75" s="217" t="s">
        <v>548</v>
      </c>
      <c r="Y75" s="217" t="s">
        <v>548</v>
      </c>
      <c r="Z75" s="222">
        <f t="shared" si="11"/>
        <v>0</v>
      </c>
      <c r="AB75" s="217">
        <v>0</v>
      </c>
      <c r="AD75" s="223">
        <f t="shared" si="6"/>
        <v>0</v>
      </c>
    </row>
    <row r="76" spans="1:30">
      <c r="A76" s="214" t="s">
        <v>2</v>
      </c>
      <c r="B76" s="215" t="s">
        <v>546</v>
      </c>
      <c r="C76" s="215" t="s">
        <v>546</v>
      </c>
      <c r="D76" s="214">
        <v>136</v>
      </c>
      <c r="E76" s="214" t="str">
        <f t="shared" si="8"/>
        <v xml:space="preserve"> </v>
      </c>
      <c r="F76" s="216" t="s">
        <v>2</v>
      </c>
      <c r="G76" s="217" t="str">
        <f t="shared" si="9"/>
        <v xml:space="preserve"> </v>
      </c>
      <c r="H76" s="214" t="s">
        <v>2</v>
      </c>
      <c r="I76" s="215" t="s">
        <v>2</v>
      </c>
      <c r="J76" s="215" t="s">
        <v>2</v>
      </c>
      <c r="K76" s="214">
        <v>112</v>
      </c>
      <c r="L76" s="214" t="str">
        <f t="shared" si="10"/>
        <v xml:space="preserve"> </v>
      </c>
      <c r="M76" s="216" t="s">
        <v>2</v>
      </c>
      <c r="N76" s="217" t="str">
        <f t="shared" si="7"/>
        <v xml:space="preserve">0 </v>
      </c>
      <c r="O76" s="217" t="s">
        <v>546</v>
      </c>
      <c r="P76" s="219">
        <f t="array" ref="P76">IFERROR(SUM(N76*50%,N76,10,G76*50%+G76,O76),)</f>
        <v>0</v>
      </c>
      <c r="Q76" s="214" t="s">
        <v>2</v>
      </c>
      <c r="R76" s="217" t="s">
        <v>2</v>
      </c>
      <c r="S76" s="214" t="s">
        <v>2</v>
      </c>
      <c r="T76" s="220">
        <v>0</v>
      </c>
      <c r="U76" s="217">
        <v>0</v>
      </c>
      <c r="V76" s="221" t="s">
        <v>548</v>
      </c>
      <c r="W76" s="217">
        <v>0</v>
      </c>
      <c r="X76" s="217" t="s">
        <v>548</v>
      </c>
      <c r="Y76" s="217" t="s">
        <v>548</v>
      </c>
      <c r="Z76" s="222">
        <f t="shared" si="11"/>
        <v>0</v>
      </c>
      <c r="AB76" s="217">
        <v>0</v>
      </c>
      <c r="AD76" s="223">
        <f t="shared" si="6"/>
        <v>0</v>
      </c>
    </row>
    <row r="77" spans="1:30">
      <c r="A77" s="214" t="s">
        <v>2</v>
      </c>
      <c r="B77" s="215" t="s">
        <v>546</v>
      </c>
      <c r="C77" s="215" t="s">
        <v>546</v>
      </c>
      <c r="D77" s="214">
        <v>136</v>
      </c>
      <c r="E77" s="214" t="str">
        <f t="shared" si="8"/>
        <v xml:space="preserve"> </v>
      </c>
      <c r="F77" s="216" t="s">
        <v>2</v>
      </c>
      <c r="G77" s="217" t="str">
        <f t="shared" si="9"/>
        <v xml:space="preserve"> </v>
      </c>
      <c r="H77" s="214" t="s">
        <v>2</v>
      </c>
      <c r="I77" s="215" t="s">
        <v>2</v>
      </c>
      <c r="J77" s="215" t="s">
        <v>2</v>
      </c>
      <c r="K77" s="214">
        <v>112</v>
      </c>
      <c r="L77" s="214" t="str">
        <f t="shared" si="10"/>
        <v xml:space="preserve"> </v>
      </c>
      <c r="M77" s="216" t="s">
        <v>2</v>
      </c>
      <c r="N77" s="217" t="str">
        <f t="shared" si="7"/>
        <v xml:space="preserve">0 </v>
      </c>
      <c r="O77" s="217" t="s">
        <v>546</v>
      </c>
      <c r="P77" s="219">
        <f t="array" ref="P77">IFERROR(SUM(N77*50%,N77,10,G77*50%+G77,O77),)</f>
        <v>0</v>
      </c>
      <c r="Q77" s="214" t="s">
        <v>2</v>
      </c>
      <c r="R77" s="217" t="s">
        <v>2</v>
      </c>
      <c r="S77" s="214" t="s">
        <v>2</v>
      </c>
      <c r="T77" s="220">
        <v>0</v>
      </c>
      <c r="U77" s="217">
        <v>0</v>
      </c>
      <c r="V77" s="221" t="s">
        <v>548</v>
      </c>
      <c r="W77" s="217">
        <v>0</v>
      </c>
      <c r="X77" s="217" t="s">
        <v>548</v>
      </c>
      <c r="Y77" s="217" t="s">
        <v>548</v>
      </c>
      <c r="Z77" s="222">
        <f t="shared" si="11"/>
        <v>0</v>
      </c>
      <c r="AB77" s="217">
        <v>0</v>
      </c>
      <c r="AD77" s="223">
        <f t="shared" si="6"/>
        <v>0</v>
      </c>
    </row>
    <row r="78" spans="1:30">
      <c r="A78" s="214" t="s">
        <v>2</v>
      </c>
      <c r="B78" s="215" t="s">
        <v>546</v>
      </c>
      <c r="C78" s="215" t="s">
        <v>546</v>
      </c>
      <c r="D78" s="214">
        <v>136</v>
      </c>
      <c r="E78" s="214" t="str">
        <f t="shared" si="8"/>
        <v xml:space="preserve"> </v>
      </c>
      <c r="F78" s="216" t="s">
        <v>2</v>
      </c>
      <c r="G78" s="217" t="str">
        <f t="shared" si="9"/>
        <v xml:space="preserve"> </v>
      </c>
      <c r="H78" s="214" t="s">
        <v>2</v>
      </c>
      <c r="I78" s="215" t="s">
        <v>2</v>
      </c>
      <c r="J78" s="215" t="s">
        <v>2</v>
      </c>
      <c r="K78" s="214">
        <v>112</v>
      </c>
      <c r="L78" s="214" t="str">
        <f t="shared" si="10"/>
        <v xml:space="preserve"> </v>
      </c>
      <c r="M78" s="216" t="s">
        <v>2</v>
      </c>
      <c r="N78" s="217" t="str">
        <f t="shared" si="7"/>
        <v xml:space="preserve">0 </v>
      </c>
      <c r="O78" s="217" t="s">
        <v>546</v>
      </c>
      <c r="P78" s="219">
        <f t="array" ref="P78">IFERROR(SUM(N78*50%,N78,10,G78*50%+G78,O78),)</f>
        <v>0</v>
      </c>
      <c r="Q78" s="214" t="s">
        <v>2</v>
      </c>
      <c r="R78" s="217" t="s">
        <v>2</v>
      </c>
      <c r="S78" s="214" t="s">
        <v>2</v>
      </c>
      <c r="T78" s="220">
        <v>0</v>
      </c>
      <c r="U78" s="217">
        <v>0</v>
      </c>
      <c r="V78" s="221" t="s">
        <v>548</v>
      </c>
      <c r="W78" s="217">
        <v>0</v>
      </c>
      <c r="X78" s="217" t="s">
        <v>548</v>
      </c>
      <c r="Y78" s="217" t="s">
        <v>548</v>
      </c>
      <c r="Z78" s="222">
        <f t="shared" si="11"/>
        <v>0</v>
      </c>
      <c r="AB78" s="217">
        <v>0</v>
      </c>
      <c r="AD78" s="223">
        <f t="shared" si="6"/>
        <v>0</v>
      </c>
    </row>
    <row r="79" spans="1:30">
      <c r="A79" s="214" t="s">
        <v>2</v>
      </c>
      <c r="B79" s="215" t="s">
        <v>546</v>
      </c>
      <c r="C79" s="215" t="s">
        <v>546</v>
      </c>
      <c r="D79" s="214">
        <v>136</v>
      </c>
      <c r="E79" s="214" t="str">
        <f t="shared" si="8"/>
        <v xml:space="preserve"> </v>
      </c>
      <c r="F79" s="216" t="s">
        <v>2</v>
      </c>
      <c r="G79" s="217" t="str">
        <f t="shared" si="9"/>
        <v xml:space="preserve"> </v>
      </c>
      <c r="H79" s="214" t="s">
        <v>2</v>
      </c>
      <c r="I79" s="215" t="s">
        <v>2</v>
      </c>
      <c r="J79" s="215" t="s">
        <v>2</v>
      </c>
      <c r="K79" s="214">
        <v>112</v>
      </c>
      <c r="L79" s="214" t="str">
        <f t="shared" si="10"/>
        <v xml:space="preserve"> </v>
      </c>
      <c r="M79" s="216" t="s">
        <v>2</v>
      </c>
      <c r="N79" s="217" t="str">
        <f t="shared" si="7"/>
        <v xml:space="preserve">0 </v>
      </c>
      <c r="O79" s="217" t="s">
        <v>546</v>
      </c>
      <c r="P79" s="219">
        <f t="array" ref="P79">IFERROR(SUM(N79*50%,N79,10,G79*50%+G79,O79),)</f>
        <v>0</v>
      </c>
      <c r="Q79" s="214" t="s">
        <v>2</v>
      </c>
      <c r="R79" s="217" t="s">
        <v>2</v>
      </c>
      <c r="S79" s="214" t="s">
        <v>2</v>
      </c>
      <c r="T79" s="220">
        <v>0</v>
      </c>
      <c r="U79" s="217">
        <v>0</v>
      </c>
      <c r="V79" s="221" t="s">
        <v>548</v>
      </c>
      <c r="W79" s="217">
        <v>0</v>
      </c>
      <c r="X79" s="217" t="s">
        <v>548</v>
      </c>
      <c r="Y79" s="217" t="s">
        <v>548</v>
      </c>
      <c r="Z79" s="222">
        <f t="shared" si="11"/>
        <v>0</v>
      </c>
      <c r="AB79" s="217">
        <v>0</v>
      </c>
      <c r="AD79" s="223">
        <f t="shared" si="6"/>
        <v>0</v>
      </c>
    </row>
    <row r="80" spans="1:30">
      <c r="A80" s="214" t="s">
        <v>2</v>
      </c>
      <c r="B80" s="215" t="s">
        <v>546</v>
      </c>
      <c r="C80" s="215" t="s">
        <v>546</v>
      </c>
      <c r="D80" s="214">
        <v>136</v>
      </c>
      <c r="E80" s="214" t="str">
        <f t="shared" si="8"/>
        <v xml:space="preserve"> </v>
      </c>
      <c r="F80" s="216" t="s">
        <v>2</v>
      </c>
      <c r="G80" s="217" t="str">
        <f t="shared" si="9"/>
        <v xml:space="preserve"> </v>
      </c>
      <c r="H80" s="214" t="s">
        <v>2</v>
      </c>
      <c r="I80" s="215" t="s">
        <v>2</v>
      </c>
      <c r="J80" s="215" t="s">
        <v>2</v>
      </c>
      <c r="K80" s="214">
        <v>112</v>
      </c>
      <c r="L80" s="214" t="str">
        <f t="shared" si="10"/>
        <v xml:space="preserve"> </v>
      </c>
      <c r="M80" s="216" t="s">
        <v>2</v>
      </c>
      <c r="N80" s="217" t="str">
        <f t="shared" si="7"/>
        <v xml:space="preserve">0 </v>
      </c>
      <c r="O80" s="217" t="s">
        <v>546</v>
      </c>
      <c r="P80" s="219">
        <f t="array" ref="P80">IFERROR(SUM(N80*50%,N80,10,G80*50%+G80,O80),)</f>
        <v>0</v>
      </c>
      <c r="Q80" s="214" t="s">
        <v>2</v>
      </c>
      <c r="R80" s="217" t="s">
        <v>2</v>
      </c>
      <c r="S80" s="214" t="s">
        <v>2</v>
      </c>
      <c r="T80" s="220">
        <v>0</v>
      </c>
      <c r="U80" s="217">
        <v>0</v>
      </c>
      <c r="V80" s="221" t="s">
        <v>548</v>
      </c>
      <c r="W80" s="217">
        <v>0</v>
      </c>
      <c r="X80" s="217" t="s">
        <v>548</v>
      </c>
      <c r="Y80" s="217" t="s">
        <v>548</v>
      </c>
      <c r="Z80" s="222">
        <f t="shared" si="11"/>
        <v>0</v>
      </c>
      <c r="AB80" s="217">
        <v>0</v>
      </c>
      <c r="AD80" s="223">
        <f t="shared" si="6"/>
        <v>0</v>
      </c>
    </row>
    <row r="81" spans="1:30">
      <c r="A81" s="214" t="s">
        <v>2</v>
      </c>
      <c r="B81" s="215" t="s">
        <v>546</v>
      </c>
      <c r="C81" s="215" t="s">
        <v>546</v>
      </c>
      <c r="D81" s="214">
        <v>136</v>
      </c>
      <c r="E81" s="214" t="str">
        <f t="shared" si="8"/>
        <v xml:space="preserve"> </v>
      </c>
      <c r="F81" s="216" t="s">
        <v>2</v>
      </c>
      <c r="G81" s="217" t="str">
        <f t="shared" si="9"/>
        <v xml:space="preserve"> </v>
      </c>
      <c r="H81" s="214" t="s">
        <v>2</v>
      </c>
      <c r="I81" s="215" t="s">
        <v>2</v>
      </c>
      <c r="J81" s="215" t="s">
        <v>2</v>
      </c>
      <c r="K81" s="214">
        <v>112</v>
      </c>
      <c r="L81" s="214" t="str">
        <f t="shared" si="10"/>
        <v xml:space="preserve"> </v>
      </c>
      <c r="M81" s="216" t="s">
        <v>2</v>
      </c>
      <c r="N81" s="217" t="str">
        <f t="shared" si="7"/>
        <v xml:space="preserve">0 </v>
      </c>
      <c r="O81" s="217" t="s">
        <v>546</v>
      </c>
      <c r="P81" s="219">
        <f t="array" ref="P81">IFERROR(SUM(N81*50%,N81,10,G81*50%+G81,O81),)</f>
        <v>0</v>
      </c>
      <c r="Q81" s="214" t="s">
        <v>2</v>
      </c>
      <c r="R81" s="217" t="s">
        <v>2</v>
      </c>
      <c r="S81" s="214" t="s">
        <v>2</v>
      </c>
      <c r="T81" s="220">
        <v>0</v>
      </c>
      <c r="U81" s="217">
        <v>0</v>
      </c>
      <c r="V81" s="221" t="s">
        <v>548</v>
      </c>
      <c r="W81" s="217">
        <v>0</v>
      </c>
      <c r="X81" s="217" t="s">
        <v>548</v>
      </c>
      <c r="Y81" s="217" t="s">
        <v>548</v>
      </c>
      <c r="Z81" s="222">
        <f t="shared" si="11"/>
        <v>0</v>
      </c>
      <c r="AB81" s="217">
        <v>0</v>
      </c>
      <c r="AD81" s="223">
        <f t="shared" si="6"/>
        <v>0</v>
      </c>
    </row>
    <row r="82" spans="1:30">
      <c r="A82" s="214" t="s">
        <v>2</v>
      </c>
      <c r="B82" s="215" t="s">
        <v>546</v>
      </c>
      <c r="C82" s="215" t="s">
        <v>546</v>
      </c>
      <c r="D82" s="214">
        <v>136</v>
      </c>
      <c r="E82" s="214" t="str">
        <f t="shared" si="8"/>
        <v xml:space="preserve"> </v>
      </c>
      <c r="F82" s="216" t="s">
        <v>2</v>
      </c>
      <c r="G82" s="217" t="str">
        <f t="shared" si="9"/>
        <v xml:space="preserve"> </v>
      </c>
      <c r="H82" s="214" t="s">
        <v>2</v>
      </c>
      <c r="I82" s="215" t="s">
        <v>2</v>
      </c>
      <c r="J82" s="215" t="s">
        <v>2</v>
      </c>
      <c r="K82" s="214">
        <v>112</v>
      </c>
      <c r="L82" s="214" t="str">
        <f t="shared" si="10"/>
        <v xml:space="preserve"> </v>
      </c>
      <c r="M82" s="216" t="s">
        <v>2</v>
      </c>
      <c r="N82" s="217" t="str">
        <f t="shared" si="7"/>
        <v xml:space="preserve">0 </v>
      </c>
      <c r="O82" s="217" t="s">
        <v>546</v>
      </c>
      <c r="P82" s="219">
        <f t="array" ref="P82">IFERROR(SUM(N82*50%,N82,10,G82*50%+G82,O82),)</f>
        <v>0</v>
      </c>
      <c r="Q82" s="214" t="s">
        <v>2</v>
      </c>
      <c r="R82" s="217" t="s">
        <v>2</v>
      </c>
      <c r="S82" s="214" t="s">
        <v>2</v>
      </c>
      <c r="T82" s="220">
        <v>0</v>
      </c>
      <c r="U82" s="217">
        <v>0</v>
      </c>
      <c r="V82" s="221" t="s">
        <v>548</v>
      </c>
      <c r="W82" s="217">
        <v>0</v>
      </c>
      <c r="X82" s="217" t="s">
        <v>548</v>
      </c>
      <c r="Y82" s="217" t="s">
        <v>548</v>
      </c>
      <c r="Z82" s="222">
        <f t="shared" si="11"/>
        <v>0</v>
      </c>
      <c r="AB82" s="217">
        <v>0</v>
      </c>
      <c r="AD82" s="223">
        <f t="shared" si="6"/>
        <v>0</v>
      </c>
    </row>
    <row r="83" spans="1:30">
      <c r="A83" s="214" t="s">
        <v>2</v>
      </c>
      <c r="B83" s="215" t="s">
        <v>546</v>
      </c>
      <c r="C83" s="215" t="s">
        <v>546</v>
      </c>
      <c r="D83" s="214">
        <v>136</v>
      </c>
      <c r="E83" s="214" t="str">
        <f t="shared" si="8"/>
        <v xml:space="preserve"> </v>
      </c>
      <c r="F83" s="216" t="s">
        <v>2</v>
      </c>
      <c r="G83" s="217" t="str">
        <f t="shared" si="9"/>
        <v xml:space="preserve"> </v>
      </c>
      <c r="H83" s="214" t="s">
        <v>2</v>
      </c>
      <c r="I83" s="215" t="s">
        <v>2</v>
      </c>
      <c r="J83" s="215" t="s">
        <v>2</v>
      </c>
      <c r="K83" s="214">
        <v>112</v>
      </c>
      <c r="L83" s="214" t="str">
        <f t="shared" si="10"/>
        <v xml:space="preserve"> </v>
      </c>
      <c r="M83" s="216" t="s">
        <v>2</v>
      </c>
      <c r="N83" s="217" t="str">
        <f t="shared" si="7"/>
        <v xml:space="preserve">0 </v>
      </c>
      <c r="O83" s="217" t="s">
        <v>546</v>
      </c>
      <c r="P83" s="219">
        <f t="array" ref="P83">IFERROR(SUM(N83*50%,N83,10,G83*50%+G83,O83),)</f>
        <v>0</v>
      </c>
      <c r="Q83" s="214" t="s">
        <v>2</v>
      </c>
      <c r="R83" s="217" t="s">
        <v>2</v>
      </c>
      <c r="S83" s="214" t="s">
        <v>2</v>
      </c>
      <c r="T83" s="220">
        <v>0</v>
      </c>
      <c r="U83" s="217">
        <v>0</v>
      </c>
      <c r="V83" s="221" t="s">
        <v>548</v>
      </c>
      <c r="W83" s="217">
        <v>0</v>
      </c>
      <c r="X83" s="217" t="s">
        <v>548</v>
      </c>
      <c r="Y83" s="217" t="s">
        <v>548</v>
      </c>
      <c r="Z83" s="222">
        <f t="shared" si="11"/>
        <v>0</v>
      </c>
      <c r="AB83" s="217">
        <v>0</v>
      </c>
      <c r="AD83" s="223">
        <f t="shared" si="6"/>
        <v>0</v>
      </c>
    </row>
    <row r="84" spans="1:30">
      <c r="A84" s="214" t="s">
        <v>2</v>
      </c>
      <c r="B84" s="215" t="s">
        <v>546</v>
      </c>
      <c r="C84" s="215" t="s">
        <v>546</v>
      </c>
      <c r="D84" s="214">
        <v>136</v>
      </c>
      <c r="E84" s="214" t="str">
        <f t="shared" si="8"/>
        <v xml:space="preserve"> </v>
      </c>
      <c r="F84" s="216" t="s">
        <v>2</v>
      </c>
      <c r="G84" s="217" t="str">
        <f t="shared" si="9"/>
        <v xml:space="preserve"> </v>
      </c>
      <c r="H84" s="214" t="s">
        <v>2</v>
      </c>
      <c r="I84" s="215" t="s">
        <v>2</v>
      </c>
      <c r="J84" s="215" t="s">
        <v>2</v>
      </c>
      <c r="K84" s="214">
        <v>112</v>
      </c>
      <c r="L84" s="214" t="str">
        <f t="shared" si="10"/>
        <v xml:space="preserve"> </v>
      </c>
      <c r="M84" s="216" t="s">
        <v>2</v>
      </c>
      <c r="N84" s="217" t="str">
        <f t="shared" si="7"/>
        <v xml:space="preserve">0 </v>
      </c>
      <c r="O84" s="217" t="s">
        <v>546</v>
      </c>
      <c r="P84" s="219">
        <f t="array" ref="P84">IFERROR(SUM(N84*50%,N84,10,G84*50%+G84,O84),)</f>
        <v>0</v>
      </c>
      <c r="Q84" s="214" t="s">
        <v>2</v>
      </c>
      <c r="R84" s="217" t="s">
        <v>2</v>
      </c>
      <c r="S84" s="214" t="s">
        <v>2</v>
      </c>
      <c r="T84" s="220">
        <v>0</v>
      </c>
      <c r="U84" s="217">
        <v>0</v>
      </c>
      <c r="V84" s="221" t="s">
        <v>548</v>
      </c>
      <c r="W84" s="217">
        <v>0</v>
      </c>
      <c r="X84" s="217" t="s">
        <v>548</v>
      </c>
      <c r="Y84" s="217" t="s">
        <v>548</v>
      </c>
      <c r="Z84" s="222">
        <f t="shared" si="11"/>
        <v>0</v>
      </c>
      <c r="AB84" s="217">
        <v>0</v>
      </c>
      <c r="AD84" s="223">
        <f t="shared" si="6"/>
        <v>0</v>
      </c>
    </row>
    <row r="85" spans="1:30">
      <c r="A85" s="214" t="s">
        <v>2</v>
      </c>
      <c r="B85" s="215" t="s">
        <v>546</v>
      </c>
      <c r="C85" s="215" t="s">
        <v>546</v>
      </c>
      <c r="D85" s="214">
        <v>136</v>
      </c>
      <c r="E85" s="214" t="str">
        <f t="shared" si="8"/>
        <v xml:space="preserve"> </v>
      </c>
      <c r="F85" s="216" t="s">
        <v>2</v>
      </c>
      <c r="G85" s="217" t="str">
        <f t="shared" si="9"/>
        <v xml:space="preserve"> </v>
      </c>
      <c r="H85" s="214" t="s">
        <v>2</v>
      </c>
      <c r="I85" s="215" t="s">
        <v>2</v>
      </c>
      <c r="J85" s="215" t="s">
        <v>2</v>
      </c>
      <c r="K85" s="214">
        <v>112</v>
      </c>
      <c r="L85" s="214" t="str">
        <f t="shared" si="10"/>
        <v xml:space="preserve"> </v>
      </c>
      <c r="M85" s="216" t="s">
        <v>2</v>
      </c>
      <c r="N85" s="217" t="str">
        <f t="shared" si="7"/>
        <v xml:space="preserve">0 </v>
      </c>
      <c r="O85" s="217" t="s">
        <v>546</v>
      </c>
      <c r="P85" s="219">
        <f t="array" ref="P85">IFERROR(SUM(N85*50%,N85,10,G85*50%+G85,O85),)</f>
        <v>0</v>
      </c>
      <c r="Q85" s="214" t="s">
        <v>2</v>
      </c>
      <c r="R85" s="217" t="s">
        <v>2</v>
      </c>
      <c r="S85" s="214" t="s">
        <v>2</v>
      </c>
      <c r="T85" s="220">
        <v>0</v>
      </c>
      <c r="U85" s="217">
        <v>0</v>
      </c>
      <c r="V85" s="221" t="s">
        <v>548</v>
      </c>
      <c r="W85" s="217">
        <v>0</v>
      </c>
      <c r="X85" s="217" t="s">
        <v>548</v>
      </c>
      <c r="Y85" s="217" t="s">
        <v>548</v>
      </c>
      <c r="Z85" s="222">
        <f t="shared" si="11"/>
        <v>0</v>
      </c>
      <c r="AB85" s="217">
        <v>0</v>
      </c>
      <c r="AD85" s="223">
        <f t="shared" si="6"/>
        <v>0</v>
      </c>
    </row>
    <row r="86" spans="1:30">
      <c r="A86" s="214" t="s">
        <v>2</v>
      </c>
      <c r="B86" s="215" t="s">
        <v>546</v>
      </c>
      <c r="C86" s="215" t="s">
        <v>546</v>
      </c>
      <c r="D86" s="214">
        <v>136</v>
      </c>
      <c r="E86" s="214" t="str">
        <f t="shared" si="8"/>
        <v xml:space="preserve"> </v>
      </c>
      <c r="F86" s="216" t="s">
        <v>2</v>
      </c>
      <c r="G86" s="217" t="str">
        <f t="shared" si="9"/>
        <v xml:space="preserve"> </v>
      </c>
      <c r="H86" s="214" t="s">
        <v>2</v>
      </c>
      <c r="I86" s="215" t="s">
        <v>2</v>
      </c>
      <c r="J86" s="215" t="s">
        <v>2</v>
      </c>
      <c r="K86" s="214">
        <v>112</v>
      </c>
      <c r="L86" s="214" t="str">
        <f t="shared" si="10"/>
        <v xml:space="preserve"> </v>
      </c>
      <c r="M86" s="216" t="s">
        <v>2</v>
      </c>
      <c r="N86" s="217" t="str">
        <f t="shared" si="7"/>
        <v xml:space="preserve">0 </v>
      </c>
      <c r="O86" s="217" t="s">
        <v>546</v>
      </c>
      <c r="P86" s="219">
        <f t="array" ref="P86">IFERROR(SUM(N86*50%,N86,10,G86*50%+G86,O86),)</f>
        <v>0</v>
      </c>
      <c r="Q86" s="214" t="s">
        <v>2</v>
      </c>
      <c r="R86" s="217" t="s">
        <v>2</v>
      </c>
      <c r="S86" s="214" t="s">
        <v>2</v>
      </c>
      <c r="T86" s="220">
        <v>0</v>
      </c>
      <c r="U86" s="217">
        <v>0</v>
      </c>
      <c r="V86" s="221" t="s">
        <v>548</v>
      </c>
      <c r="W86" s="217">
        <v>0</v>
      </c>
      <c r="X86" s="217" t="s">
        <v>548</v>
      </c>
      <c r="Y86" s="217" t="s">
        <v>548</v>
      </c>
      <c r="Z86" s="222">
        <f t="shared" si="11"/>
        <v>0</v>
      </c>
      <c r="AB86" s="217">
        <v>0</v>
      </c>
      <c r="AD86" s="223">
        <f t="shared" si="6"/>
        <v>0</v>
      </c>
    </row>
    <row r="87" spans="1:30">
      <c r="A87" s="214" t="s">
        <v>2</v>
      </c>
      <c r="B87" s="215" t="s">
        <v>546</v>
      </c>
      <c r="C87" s="215" t="s">
        <v>546</v>
      </c>
      <c r="D87" s="214">
        <v>136</v>
      </c>
      <c r="E87" s="214" t="str">
        <f t="shared" si="8"/>
        <v xml:space="preserve"> </v>
      </c>
      <c r="F87" s="216" t="s">
        <v>2</v>
      </c>
      <c r="G87" s="217" t="str">
        <f t="shared" si="9"/>
        <v xml:space="preserve"> </v>
      </c>
      <c r="H87" s="214" t="s">
        <v>2</v>
      </c>
      <c r="I87" s="215" t="s">
        <v>2</v>
      </c>
      <c r="J87" s="215" t="s">
        <v>2</v>
      </c>
      <c r="K87" s="214">
        <v>112</v>
      </c>
      <c r="L87" s="214" t="str">
        <f t="shared" si="10"/>
        <v xml:space="preserve"> </v>
      </c>
      <c r="M87" s="216" t="s">
        <v>2</v>
      </c>
      <c r="N87" s="217" t="str">
        <f t="shared" si="7"/>
        <v xml:space="preserve">0 </v>
      </c>
      <c r="O87" s="217" t="s">
        <v>546</v>
      </c>
      <c r="P87" s="219">
        <f t="array" ref="P87">IFERROR(SUM(N87*50%,N87,10,G87*50%+G87,O87),)</f>
        <v>0</v>
      </c>
      <c r="Q87" s="214" t="s">
        <v>2</v>
      </c>
      <c r="R87" s="217" t="s">
        <v>2</v>
      </c>
      <c r="S87" s="214" t="s">
        <v>2</v>
      </c>
      <c r="T87" s="220">
        <v>0</v>
      </c>
      <c r="U87" s="217">
        <v>0</v>
      </c>
      <c r="V87" s="221" t="s">
        <v>548</v>
      </c>
      <c r="W87" s="217">
        <v>0</v>
      </c>
      <c r="X87" s="217" t="s">
        <v>548</v>
      </c>
      <c r="Y87" s="217" t="s">
        <v>548</v>
      </c>
      <c r="Z87" s="222">
        <f t="shared" si="11"/>
        <v>0</v>
      </c>
      <c r="AB87" s="217">
        <v>0</v>
      </c>
      <c r="AD87" s="223">
        <f t="shared" si="6"/>
        <v>0</v>
      </c>
    </row>
    <row r="88" spans="1:30">
      <c r="A88" s="214" t="s">
        <v>2</v>
      </c>
      <c r="B88" s="215" t="s">
        <v>546</v>
      </c>
      <c r="C88" s="215" t="s">
        <v>546</v>
      </c>
      <c r="D88" s="214">
        <v>136</v>
      </c>
      <c r="E88" s="214" t="str">
        <f t="shared" si="8"/>
        <v xml:space="preserve"> </v>
      </c>
      <c r="F88" s="216" t="s">
        <v>2</v>
      </c>
      <c r="G88" s="217" t="str">
        <f t="shared" si="9"/>
        <v xml:space="preserve"> </v>
      </c>
      <c r="H88" s="214" t="s">
        <v>2</v>
      </c>
      <c r="I88" s="215" t="s">
        <v>2</v>
      </c>
      <c r="J88" s="215" t="s">
        <v>2</v>
      </c>
      <c r="K88" s="214">
        <v>112</v>
      </c>
      <c r="L88" s="214" t="str">
        <f t="shared" si="10"/>
        <v xml:space="preserve"> </v>
      </c>
      <c r="M88" s="216" t="s">
        <v>2</v>
      </c>
      <c r="N88" s="217" t="str">
        <f t="shared" si="7"/>
        <v xml:space="preserve">0 </v>
      </c>
      <c r="O88" s="217" t="s">
        <v>546</v>
      </c>
      <c r="P88" s="219">
        <f t="array" ref="P88">IFERROR(SUM(N88*50%,N88,10,G88*50%+G88,O88),)</f>
        <v>0</v>
      </c>
      <c r="Q88" s="214" t="s">
        <v>2</v>
      </c>
      <c r="R88" s="217" t="s">
        <v>2</v>
      </c>
      <c r="S88" s="214" t="s">
        <v>2</v>
      </c>
      <c r="T88" s="220">
        <v>0</v>
      </c>
      <c r="U88" s="217">
        <v>0</v>
      </c>
      <c r="V88" s="221" t="s">
        <v>548</v>
      </c>
      <c r="W88" s="217">
        <v>0</v>
      </c>
      <c r="X88" s="217" t="s">
        <v>548</v>
      </c>
      <c r="Y88" s="217" t="s">
        <v>548</v>
      </c>
      <c r="Z88" s="222">
        <f t="shared" si="11"/>
        <v>0</v>
      </c>
      <c r="AB88" s="217">
        <v>0</v>
      </c>
      <c r="AD88" s="223">
        <f t="shared" si="6"/>
        <v>0</v>
      </c>
    </row>
    <row r="89" spans="1:30">
      <c r="A89" s="214" t="s">
        <v>2</v>
      </c>
      <c r="B89" s="215" t="s">
        <v>546</v>
      </c>
      <c r="C89" s="215" t="s">
        <v>546</v>
      </c>
      <c r="D89" s="214">
        <v>136</v>
      </c>
      <c r="E89" s="214" t="str">
        <f t="shared" si="8"/>
        <v xml:space="preserve"> </v>
      </c>
      <c r="F89" s="216" t="s">
        <v>2</v>
      </c>
      <c r="G89" s="217" t="str">
        <f t="shared" si="9"/>
        <v xml:space="preserve"> </v>
      </c>
      <c r="H89" s="214" t="s">
        <v>2</v>
      </c>
      <c r="I89" s="215" t="s">
        <v>2</v>
      </c>
      <c r="J89" s="215" t="s">
        <v>2</v>
      </c>
      <c r="K89" s="214">
        <v>112</v>
      </c>
      <c r="L89" s="214" t="str">
        <f t="shared" si="10"/>
        <v xml:space="preserve"> </v>
      </c>
      <c r="M89" s="216" t="s">
        <v>2</v>
      </c>
      <c r="N89" s="217" t="str">
        <f t="shared" si="7"/>
        <v xml:space="preserve">0 </v>
      </c>
      <c r="O89" s="217" t="s">
        <v>546</v>
      </c>
      <c r="P89" s="219">
        <f t="array" ref="P89">IFERROR(SUM(N89*50%,N89,10,G89*50%+G89,O89),)</f>
        <v>0</v>
      </c>
      <c r="Q89" s="214" t="s">
        <v>2</v>
      </c>
      <c r="R89" s="217" t="s">
        <v>2</v>
      </c>
      <c r="S89" s="214" t="s">
        <v>2</v>
      </c>
      <c r="T89" s="220">
        <v>0</v>
      </c>
      <c r="U89" s="217">
        <v>0</v>
      </c>
      <c r="V89" s="221" t="s">
        <v>548</v>
      </c>
      <c r="W89" s="217">
        <v>0</v>
      </c>
      <c r="X89" s="217" t="s">
        <v>548</v>
      </c>
      <c r="Y89" s="217" t="s">
        <v>548</v>
      </c>
      <c r="Z89" s="222">
        <f t="shared" si="11"/>
        <v>0</v>
      </c>
      <c r="AB89" s="217">
        <v>0</v>
      </c>
      <c r="AD89" s="223">
        <f t="shared" si="6"/>
        <v>0</v>
      </c>
    </row>
    <row r="90" spans="1:30">
      <c r="A90" s="214" t="s">
        <v>2</v>
      </c>
      <c r="B90" s="215" t="s">
        <v>546</v>
      </c>
      <c r="C90" s="215" t="s">
        <v>546</v>
      </c>
      <c r="D90" s="214">
        <v>136</v>
      </c>
      <c r="E90" s="214" t="str">
        <f t="shared" si="8"/>
        <v xml:space="preserve"> </v>
      </c>
      <c r="F90" s="216" t="s">
        <v>2</v>
      </c>
      <c r="G90" s="217" t="str">
        <f t="shared" si="9"/>
        <v xml:space="preserve"> </v>
      </c>
      <c r="H90" s="214" t="s">
        <v>2</v>
      </c>
      <c r="I90" s="215" t="s">
        <v>2</v>
      </c>
      <c r="J90" s="215" t="s">
        <v>2</v>
      </c>
      <c r="K90" s="214">
        <v>112</v>
      </c>
      <c r="L90" s="214" t="str">
        <f t="shared" si="10"/>
        <v xml:space="preserve"> </v>
      </c>
      <c r="M90" s="216" t="s">
        <v>2</v>
      </c>
      <c r="N90" s="217" t="str">
        <f t="shared" si="7"/>
        <v xml:space="preserve">0 </v>
      </c>
      <c r="O90" s="217" t="s">
        <v>546</v>
      </c>
      <c r="P90" s="219">
        <f t="array" ref="P90">IFERROR(SUM(N90*50%,N90,10,G90*50%+G90,O90),)</f>
        <v>0</v>
      </c>
      <c r="Q90" s="214" t="s">
        <v>2</v>
      </c>
      <c r="R90" s="217" t="s">
        <v>2</v>
      </c>
      <c r="S90" s="214" t="s">
        <v>2</v>
      </c>
      <c r="T90" s="220">
        <v>0</v>
      </c>
      <c r="U90" s="217">
        <v>0</v>
      </c>
      <c r="V90" s="221" t="s">
        <v>548</v>
      </c>
      <c r="W90" s="217">
        <v>0</v>
      </c>
      <c r="X90" s="217" t="s">
        <v>548</v>
      </c>
      <c r="Y90" s="217" t="s">
        <v>548</v>
      </c>
      <c r="Z90" s="222">
        <f t="shared" si="11"/>
        <v>0</v>
      </c>
      <c r="AB90" s="217">
        <v>0</v>
      </c>
      <c r="AD90" s="223">
        <f t="shared" si="6"/>
        <v>0</v>
      </c>
    </row>
    <row r="91" spans="1:30">
      <c r="A91" s="214" t="s">
        <v>2</v>
      </c>
      <c r="B91" s="215" t="s">
        <v>546</v>
      </c>
      <c r="C91" s="215" t="s">
        <v>546</v>
      </c>
      <c r="D91" s="214">
        <v>136</v>
      </c>
      <c r="E91" s="214" t="str">
        <f t="shared" si="8"/>
        <v xml:space="preserve"> </v>
      </c>
      <c r="F91" s="216" t="s">
        <v>2</v>
      </c>
      <c r="G91" s="217" t="str">
        <f t="shared" si="9"/>
        <v xml:space="preserve"> </v>
      </c>
      <c r="H91" s="214" t="s">
        <v>2</v>
      </c>
      <c r="I91" s="215" t="s">
        <v>2</v>
      </c>
      <c r="J91" s="215" t="s">
        <v>2</v>
      </c>
      <c r="K91" s="214">
        <v>112</v>
      </c>
      <c r="L91" s="214" t="str">
        <f t="shared" si="10"/>
        <v xml:space="preserve"> </v>
      </c>
      <c r="M91" s="216" t="s">
        <v>2</v>
      </c>
      <c r="N91" s="217" t="str">
        <f t="shared" si="7"/>
        <v xml:space="preserve">0 </v>
      </c>
      <c r="O91" s="217" t="s">
        <v>546</v>
      </c>
      <c r="P91" s="219">
        <f t="array" ref="P91">IFERROR(SUM(N91*50%,N91,10,G91*50%+G91,O91),)</f>
        <v>0</v>
      </c>
      <c r="Q91" s="214" t="s">
        <v>2</v>
      </c>
      <c r="R91" s="217" t="s">
        <v>2</v>
      </c>
      <c r="S91" s="214" t="s">
        <v>2</v>
      </c>
      <c r="T91" s="220">
        <v>0</v>
      </c>
      <c r="U91" s="217">
        <v>0</v>
      </c>
      <c r="V91" s="221" t="s">
        <v>548</v>
      </c>
      <c r="W91" s="217">
        <v>0</v>
      </c>
      <c r="X91" s="217" t="s">
        <v>548</v>
      </c>
      <c r="Y91" s="217" t="s">
        <v>548</v>
      </c>
      <c r="Z91" s="222">
        <f t="shared" si="11"/>
        <v>0</v>
      </c>
      <c r="AB91" s="217">
        <v>0</v>
      </c>
      <c r="AD91" s="223">
        <f t="shared" si="6"/>
        <v>0</v>
      </c>
    </row>
    <row r="92" spans="1:30">
      <c r="A92" s="214" t="s">
        <v>2</v>
      </c>
      <c r="B92" s="215" t="s">
        <v>546</v>
      </c>
      <c r="C92" s="215" t="s">
        <v>546</v>
      </c>
      <c r="D92" s="214">
        <v>130</v>
      </c>
      <c r="E92" s="214" t="str">
        <f t="shared" si="8"/>
        <v xml:space="preserve"> </v>
      </c>
      <c r="F92" s="216" t="s">
        <v>2</v>
      </c>
      <c r="G92" s="217" t="str">
        <f t="shared" si="9"/>
        <v xml:space="preserve"> </v>
      </c>
      <c r="H92" s="214" t="s">
        <v>2</v>
      </c>
      <c r="I92" s="215" t="s">
        <v>2</v>
      </c>
      <c r="J92" s="215" t="s">
        <v>2</v>
      </c>
      <c r="K92" s="214">
        <v>106</v>
      </c>
      <c r="L92" s="214" t="str">
        <f t="shared" si="10"/>
        <v xml:space="preserve"> </v>
      </c>
      <c r="M92" s="216" t="s">
        <v>2</v>
      </c>
      <c r="N92" s="217" t="str">
        <f t="shared" si="7"/>
        <v xml:space="preserve">0 </v>
      </c>
      <c r="O92" s="217" t="s">
        <v>546</v>
      </c>
      <c r="P92" s="219">
        <f t="array" ref="P92">IFERROR(SUM(N92*50%,N92,10,G92*50%+G92,O92),)</f>
        <v>0</v>
      </c>
      <c r="Q92" s="214" t="s">
        <v>2</v>
      </c>
      <c r="R92" s="217" t="s">
        <v>2</v>
      </c>
      <c r="S92" s="214" t="s">
        <v>2</v>
      </c>
      <c r="T92" s="220">
        <v>0</v>
      </c>
      <c r="U92" s="217">
        <v>0</v>
      </c>
      <c r="V92" s="221" t="s">
        <v>548</v>
      </c>
      <c r="W92" s="217">
        <v>0</v>
      </c>
      <c r="X92" s="217" t="s">
        <v>548</v>
      </c>
      <c r="Y92" s="217" t="s">
        <v>548</v>
      </c>
      <c r="Z92" s="222">
        <f t="shared" si="11"/>
        <v>0</v>
      </c>
      <c r="AB92" s="217">
        <v>0</v>
      </c>
      <c r="AD92" s="223">
        <f t="shared" ref="AD92:AD155" si="12">IFERROR(SUM(Z92+AB92),"0")</f>
        <v>0</v>
      </c>
    </row>
    <row r="93" spans="1:30">
      <c r="A93" s="214" t="s">
        <v>2</v>
      </c>
      <c r="B93" s="215" t="s">
        <v>546</v>
      </c>
      <c r="C93" s="215" t="s">
        <v>546</v>
      </c>
      <c r="D93" s="214">
        <v>130</v>
      </c>
      <c r="E93" s="214" t="str">
        <f t="shared" si="8"/>
        <v xml:space="preserve"> </v>
      </c>
      <c r="F93" s="216" t="s">
        <v>2</v>
      </c>
      <c r="G93" s="217" t="str">
        <f t="shared" si="9"/>
        <v xml:space="preserve"> </v>
      </c>
      <c r="H93" s="214" t="s">
        <v>2</v>
      </c>
      <c r="I93" s="215" t="s">
        <v>2</v>
      </c>
      <c r="J93" s="215" t="s">
        <v>2</v>
      </c>
      <c r="K93" s="214">
        <v>106</v>
      </c>
      <c r="L93" s="214" t="str">
        <f t="shared" si="10"/>
        <v xml:space="preserve"> </v>
      </c>
      <c r="M93" s="216" t="s">
        <v>2</v>
      </c>
      <c r="N93" s="217" t="str">
        <f t="shared" si="7"/>
        <v xml:space="preserve">0 </v>
      </c>
      <c r="O93" s="217" t="s">
        <v>546</v>
      </c>
      <c r="P93" s="219">
        <f t="array" ref="P93">IFERROR(SUM(N93*50%,N93,10,G93*50%+G93,O93),)</f>
        <v>0</v>
      </c>
      <c r="Q93" s="214" t="s">
        <v>2</v>
      </c>
      <c r="R93" s="217" t="s">
        <v>2</v>
      </c>
      <c r="S93" s="214" t="s">
        <v>2</v>
      </c>
      <c r="T93" s="220">
        <v>0</v>
      </c>
      <c r="U93" s="217">
        <v>0</v>
      </c>
      <c r="V93" s="221" t="s">
        <v>548</v>
      </c>
      <c r="W93" s="217">
        <v>0</v>
      </c>
      <c r="X93" s="217" t="s">
        <v>548</v>
      </c>
      <c r="Y93" s="217" t="s">
        <v>548</v>
      </c>
      <c r="Z93" s="222">
        <f t="shared" si="11"/>
        <v>0</v>
      </c>
      <c r="AB93" s="217">
        <v>0</v>
      </c>
      <c r="AD93" s="223">
        <f t="shared" si="12"/>
        <v>0</v>
      </c>
    </row>
    <row r="94" spans="1:30">
      <c r="A94" s="214" t="s">
        <v>2</v>
      </c>
      <c r="B94" s="215" t="s">
        <v>546</v>
      </c>
      <c r="C94" s="215" t="s">
        <v>546</v>
      </c>
      <c r="D94" s="214">
        <v>100</v>
      </c>
      <c r="E94" s="214" t="str">
        <f t="shared" si="8"/>
        <v xml:space="preserve"> </v>
      </c>
      <c r="F94" s="216" t="s">
        <v>2</v>
      </c>
      <c r="G94" s="217" t="str">
        <f t="shared" si="9"/>
        <v xml:space="preserve"> </v>
      </c>
      <c r="H94" s="214" t="s">
        <v>2</v>
      </c>
      <c r="I94" s="215" t="s">
        <v>2</v>
      </c>
      <c r="J94" s="215" t="s">
        <v>2</v>
      </c>
      <c r="K94" s="214">
        <v>100</v>
      </c>
      <c r="L94" s="214" t="str">
        <f t="shared" si="10"/>
        <v xml:space="preserve"> </v>
      </c>
      <c r="M94" s="216" t="s">
        <v>2</v>
      </c>
      <c r="N94" s="217" t="str">
        <f t="shared" si="7"/>
        <v xml:space="preserve">0 </v>
      </c>
      <c r="O94" s="217" t="s">
        <v>546</v>
      </c>
      <c r="P94" s="219">
        <f t="array" ref="P94">IFERROR(SUM(N94*50%,N94,10,G94*50%+G94,O94),)</f>
        <v>0</v>
      </c>
      <c r="Q94" s="214" t="s">
        <v>2</v>
      </c>
      <c r="R94" s="217" t="s">
        <v>2</v>
      </c>
      <c r="S94" s="214" t="s">
        <v>2</v>
      </c>
      <c r="T94" s="220">
        <v>0</v>
      </c>
      <c r="U94" s="217">
        <v>0</v>
      </c>
      <c r="V94" s="221" t="s">
        <v>548</v>
      </c>
      <c r="W94" s="217">
        <v>0</v>
      </c>
      <c r="X94" s="217" t="s">
        <v>548</v>
      </c>
      <c r="Y94" s="217" t="s">
        <v>548</v>
      </c>
      <c r="Z94" s="222">
        <f t="shared" si="11"/>
        <v>0</v>
      </c>
      <c r="AB94" s="217">
        <v>0</v>
      </c>
      <c r="AD94" s="223">
        <f t="shared" si="12"/>
        <v>0</v>
      </c>
    </row>
    <row r="95" spans="1:30">
      <c r="A95" s="214" t="s">
        <v>2</v>
      </c>
      <c r="B95" s="215" t="s">
        <v>546</v>
      </c>
      <c r="C95" s="215" t="s">
        <v>546</v>
      </c>
      <c r="D95" s="214">
        <v>100</v>
      </c>
      <c r="E95" s="214" t="str">
        <f t="shared" si="8"/>
        <v xml:space="preserve"> </v>
      </c>
      <c r="F95" s="216" t="s">
        <v>2</v>
      </c>
      <c r="G95" s="217" t="str">
        <f t="shared" si="9"/>
        <v xml:space="preserve"> </v>
      </c>
      <c r="H95" s="214" t="s">
        <v>2</v>
      </c>
      <c r="I95" s="215" t="s">
        <v>2</v>
      </c>
      <c r="J95" s="215" t="s">
        <v>2</v>
      </c>
      <c r="K95" s="214">
        <v>100</v>
      </c>
      <c r="L95" s="214" t="str">
        <f t="shared" si="10"/>
        <v xml:space="preserve"> </v>
      </c>
      <c r="M95" s="216" t="s">
        <v>2</v>
      </c>
      <c r="N95" s="217" t="str">
        <f t="shared" si="7"/>
        <v xml:space="preserve">0 </v>
      </c>
      <c r="O95" s="217" t="s">
        <v>546</v>
      </c>
      <c r="P95" s="219">
        <f t="array" ref="P95">IFERROR(SUM(N95*50%,N95,10,G95*50%+G95,O95),)</f>
        <v>0</v>
      </c>
      <c r="Q95" s="214" t="s">
        <v>2</v>
      </c>
      <c r="R95" s="217" t="s">
        <v>2</v>
      </c>
      <c r="S95" s="214" t="s">
        <v>2</v>
      </c>
      <c r="T95" s="220">
        <v>0</v>
      </c>
      <c r="U95" s="217">
        <v>0</v>
      </c>
      <c r="V95" s="221" t="s">
        <v>548</v>
      </c>
      <c r="W95" s="217">
        <v>0</v>
      </c>
      <c r="X95" s="217" t="s">
        <v>548</v>
      </c>
      <c r="Y95" s="217" t="s">
        <v>548</v>
      </c>
      <c r="Z95" s="222">
        <f t="shared" si="11"/>
        <v>0</v>
      </c>
      <c r="AB95" s="217">
        <v>0</v>
      </c>
      <c r="AD95" s="223">
        <f t="shared" si="12"/>
        <v>0</v>
      </c>
    </row>
    <row r="96" spans="1:30">
      <c r="A96" s="214" t="s">
        <v>2</v>
      </c>
      <c r="B96" s="215" t="s">
        <v>546</v>
      </c>
      <c r="C96" s="215" t="s">
        <v>546</v>
      </c>
      <c r="D96" s="214">
        <v>100</v>
      </c>
      <c r="E96" s="214" t="str">
        <f t="shared" si="8"/>
        <v xml:space="preserve"> </v>
      </c>
      <c r="F96" s="216" t="s">
        <v>2</v>
      </c>
      <c r="G96" s="217" t="str">
        <f t="shared" si="9"/>
        <v xml:space="preserve"> </v>
      </c>
      <c r="H96" s="214" t="s">
        <v>2</v>
      </c>
      <c r="I96" s="215" t="s">
        <v>2</v>
      </c>
      <c r="J96" s="215" t="s">
        <v>2</v>
      </c>
      <c r="K96" s="214">
        <v>100</v>
      </c>
      <c r="L96" s="214" t="str">
        <f t="shared" si="10"/>
        <v xml:space="preserve"> </v>
      </c>
      <c r="M96" s="216" t="s">
        <v>2</v>
      </c>
      <c r="N96" s="217" t="str">
        <f t="shared" si="7"/>
        <v xml:space="preserve">0 </v>
      </c>
      <c r="O96" s="217" t="s">
        <v>546</v>
      </c>
      <c r="P96" s="219">
        <f t="array" ref="P96">IFERROR(SUM(N96*50%,N96,10,G96*50%+G96,O96),)</f>
        <v>0</v>
      </c>
      <c r="Q96" s="214" t="s">
        <v>2</v>
      </c>
      <c r="R96" s="217" t="s">
        <v>2</v>
      </c>
      <c r="S96" s="214" t="s">
        <v>2</v>
      </c>
      <c r="T96" s="220">
        <v>0</v>
      </c>
      <c r="U96" s="217">
        <v>0</v>
      </c>
      <c r="V96" s="221" t="s">
        <v>548</v>
      </c>
      <c r="W96" s="217">
        <v>0</v>
      </c>
      <c r="X96" s="217" t="s">
        <v>548</v>
      </c>
      <c r="Y96" s="217" t="s">
        <v>548</v>
      </c>
      <c r="Z96" s="222">
        <f t="shared" si="11"/>
        <v>0</v>
      </c>
      <c r="AB96" s="217">
        <v>0</v>
      </c>
      <c r="AD96" s="223">
        <f t="shared" si="12"/>
        <v>0</v>
      </c>
    </row>
    <row r="97" spans="1:30">
      <c r="A97" s="214" t="s">
        <v>2</v>
      </c>
      <c r="B97" s="215" t="s">
        <v>546</v>
      </c>
      <c r="C97" s="215" t="s">
        <v>546</v>
      </c>
      <c r="D97" s="214">
        <v>100</v>
      </c>
      <c r="E97" s="214" t="str">
        <f t="shared" si="8"/>
        <v xml:space="preserve"> </v>
      </c>
      <c r="F97" s="216" t="s">
        <v>2</v>
      </c>
      <c r="G97" s="217" t="str">
        <f t="shared" si="9"/>
        <v xml:space="preserve"> </v>
      </c>
      <c r="H97" s="214" t="s">
        <v>2</v>
      </c>
      <c r="I97" s="215" t="s">
        <v>2</v>
      </c>
      <c r="J97" s="215" t="s">
        <v>2</v>
      </c>
      <c r="K97" s="214">
        <v>100</v>
      </c>
      <c r="L97" s="214" t="str">
        <f t="shared" si="10"/>
        <v xml:space="preserve"> </v>
      </c>
      <c r="M97" s="216" t="s">
        <v>2</v>
      </c>
      <c r="N97" s="217" t="str">
        <f t="shared" si="7"/>
        <v xml:space="preserve">0 </v>
      </c>
      <c r="O97" s="217" t="s">
        <v>546</v>
      </c>
      <c r="P97" s="219">
        <f t="array" ref="P97">IFERROR(SUM(N97*50%,N97,10,G97*50%+G97,O97),)</f>
        <v>0</v>
      </c>
      <c r="Q97" s="214" t="s">
        <v>2</v>
      </c>
      <c r="R97" s="217" t="s">
        <v>2</v>
      </c>
      <c r="S97" s="214" t="s">
        <v>2</v>
      </c>
      <c r="T97" s="220">
        <v>0</v>
      </c>
      <c r="U97" s="217">
        <v>0</v>
      </c>
      <c r="V97" s="221" t="s">
        <v>548</v>
      </c>
      <c r="W97" s="217">
        <v>0</v>
      </c>
      <c r="X97" s="217" t="s">
        <v>548</v>
      </c>
      <c r="Y97" s="217" t="s">
        <v>548</v>
      </c>
      <c r="Z97" s="222">
        <f t="shared" si="11"/>
        <v>0</v>
      </c>
      <c r="AB97" s="217">
        <v>0</v>
      </c>
      <c r="AD97" s="223">
        <f t="shared" si="12"/>
        <v>0</v>
      </c>
    </row>
    <row r="98" spans="1:30">
      <c r="A98" s="214" t="s">
        <v>2</v>
      </c>
      <c r="B98" s="215" t="s">
        <v>546</v>
      </c>
      <c r="C98" s="215" t="s">
        <v>546</v>
      </c>
      <c r="D98" s="214">
        <v>100</v>
      </c>
      <c r="E98" s="214" t="str">
        <f t="shared" si="8"/>
        <v xml:space="preserve"> </v>
      </c>
      <c r="F98" s="216" t="s">
        <v>2</v>
      </c>
      <c r="G98" s="217" t="str">
        <f t="shared" si="9"/>
        <v xml:space="preserve"> </v>
      </c>
      <c r="H98" s="214" t="s">
        <v>2</v>
      </c>
      <c r="I98" s="215" t="s">
        <v>2</v>
      </c>
      <c r="J98" s="215" t="s">
        <v>2</v>
      </c>
      <c r="K98" s="214">
        <v>100</v>
      </c>
      <c r="L98" s="214" t="str">
        <f t="shared" si="10"/>
        <v xml:space="preserve"> </v>
      </c>
      <c r="M98" s="216" t="s">
        <v>2</v>
      </c>
      <c r="N98" s="217" t="str">
        <f t="shared" si="7"/>
        <v xml:space="preserve">0 </v>
      </c>
      <c r="O98" s="217" t="s">
        <v>546</v>
      </c>
      <c r="P98" s="219">
        <f t="array" ref="P98">IFERROR(SUM(N98*50%,N98,10,G98*50%+G98,O98),)</f>
        <v>0</v>
      </c>
      <c r="Q98" s="214" t="s">
        <v>2</v>
      </c>
      <c r="R98" s="217" t="s">
        <v>2</v>
      </c>
      <c r="S98" s="214" t="s">
        <v>2</v>
      </c>
      <c r="T98" s="220">
        <v>0</v>
      </c>
      <c r="U98" s="217">
        <v>0</v>
      </c>
      <c r="V98" s="221" t="s">
        <v>548</v>
      </c>
      <c r="W98" s="217">
        <v>0</v>
      </c>
      <c r="X98" s="217" t="s">
        <v>548</v>
      </c>
      <c r="Y98" s="217" t="s">
        <v>548</v>
      </c>
      <c r="Z98" s="222">
        <f t="shared" si="11"/>
        <v>0</v>
      </c>
      <c r="AB98" s="217">
        <v>0</v>
      </c>
      <c r="AD98" s="223">
        <f t="shared" si="12"/>
        <v>0</v>
      </c>
    </row>
    <row r="99" spans="1:30">
      <c r="A99" s="214" t="s">
        <v>2</v>
      </c>
      <c r="B99" s="215" t="s">
        <v>546</v>
      </c>
      <c r="C99" s="215" t="s">
        <v>546</v>
      </c>
      <c r="D99" s="214">
        <v>100</v>
      </c>
      <c r="E99" s="214" t="str">
        <f t="shared" si="8"/>
        <v xml:space="preserve"> </v>
      </c>
      <c r="F99" s="216" t="s">
        <v>2</v>
      </c>
      <c r="G99" s="217" t="str">
        <f t="shared" si="9"/>
        <v xml:space="preserve"> </v>
      </c>
      <c r="H99" s="214" t="s">
        <v>2</v>
      </c>
      <c r="I99" s="215" t="s">
        <v>2</v>
      </c>
      <c r="J99" s="215" t="s">
        <v>2</v>
      </c>
      <c r="K99" s="214">
        <v>100</v>
      </c>
      <c r="L99" s="214" t="str">
        <f t="shared" si="10"/>
        <v xml:space="preserve"> </v>
      </c>
      <c r="M99" s="216" t="s">
        <v>2</v>
      </c>
      <c r="N99" s="217" t="str">
        <f t="shared" si="7"/>
        <v xml:space="preserve">0 </v>
      </c>
      <c r="O99" s="217" t="s">
        <v>546</v>
      </c>
      <c r="P99" s="219">
        <f t="array" ref="P99">IFERROR(SUM(N99*50%,N99,10,G99*50%+G99,O99),)</f>
        <v>0</v>
      </c>
      <c r="Q99" s="214" t="s">
        <v>2</v>
      </c>
      <c r="R99" s="217" t="s">
        <v>2</v>
      </c>
      <c r="S99" s="214" t="s">
        <v>2</v>
      </c>
      <c r="T99" s="220">
        <v>0</v>
      </c>
      <c r="U99" s="217">
        <v>0</v>
      </c>
      <c r="V99" s="221" t="s">
        <v>548</v>
      </c>
      <c r="W99" s="217">
        <v>0</v>
      </c>
      <c r="X99" s="217" t="s">
        <v>548</v>
      </c>
      <c r="Y99" s="217" t="s">
        <v>548</v>
      </c>
      <c r="Z99" s="222">
        <f t="shared" si="11"/>
        <v>0</v>
      </c>
      <c r="AB99" s="217">
        <v>0</v>
      </c>
      <c r="AD99" s="223">
        <f t="shared" si="12"/>
        <v>0</v>
      </c>
    </row>
    <row r="100" spans="1:30">
      <c r="A100" s="214" t="s">
        <v>2</v>
      </c>
      <c r="B100" s="215" t="s">
        <v>546</v>
      </c>
      <c r="C100" s="215" t="s">
        <v>546</v>
      </c>
      <c r="D100" s="214">
        <v>100</v>
      </c>
      <c r="E100" s="214" t="str">
        <f t="shared" si="8"/>
        <v xml:space="preserve"> </v>
      </c>
      <c r="F100" s="216" t="s">
        <v>2</v>
      </c>
      <c r="G100" s="217" t="str">
        <f t="shared" si="9"/>
        <v xml:space="preserve"> </v>
      </c>
      <c r="H100" s="214" t="s">
        <v>2</v>
      </c>
      <c r="I100" s="215" t="s">
        <v>2</v>
      </c>
      <c r="J100" s="215" t="s">
        <v>2</v>
      </c>
      <c r="K100" s="214">
        <v>100</v>
      </c>
      <c r="L100" s="214" t="str">
        <f t="shared" si="10"/>
        <v xml:space="preserve"> </v>
      </c>
      <c r="M100" s="216" t="s">
        <v>2</v>
      </c>
      <c r="N100" s="217" t="str">
        <f t="shared" si="7"/>
        <v xml:space="preserve">0 </v>
      </c>
      <c r="O100" s="217" t="s">
        <v>546</v>
      </c>
      <c r="P100" s="219">
        <f t="array" ref="P100">IFERROR(SUM(N100*50%,N100,10,G100*50%+G100,O100),)</f>
        <v>0</v>
      </c>
      <c r="Q100" s="214" t="s">
        <v>2</v>
      </c>
      <c r="R100" s="217" t="s">
        <v>2</v>
      </c>
      <c r="S100" s="214" t="s">
        <v>2</v>
      </c>
      <c r="T100" s="220">
        <v>0</v>
      </c>
      <c r="U100" s="217">
        <v>0</v>
      </c>
      <c r="V100" s="221" t="s">
        <v>548</v>
      </c>
      <c r="W100" s="217">
        <v>0</v>
      </c>
      <c r="X100" s="217" t="s">
        <v>548</v>
      </c>
      <c r="Y100" s="217" t="s">
        <v>548</v>
      </c>
      <c r="Z100" s="222">
        <f t="shared" si="11"/>
        <v>0</v>
      </c>
      <c r="AB100" s="217">
        <v>0</v>
      </c>
      <c r="AD100" s="223">
        <f t="shared" si="12"/>
        <v>0</v>
      </c>
    </row>
    <row r="101" spans="1:30">
      <c r="A101" s="214" t="s">
        <v>2</v>
      </c>
      <c r="B101" s="215" t="s">
        <v>546</v>
      </c>
      <c r="C101" s="215" t="s">
        <v>546</v>
      </c>
      <c r="D101" s="214">
        <v>100</v>
      </c>
      <c r="E101" s="214" t="str">
        <f t="shared" si="8"/>
        <v xml:space="preserve"> </v>
      </c>
      <c r="F101" s="216" t="s">
        <v>2</v>
      </c>
      <c r="G101" s="217" t="str">
        <f t="shared" si="9"/>
        <v xml:space="preserve"> </v>
      </c>
      <c r="H101" s="214" t="s">
        <v>2</v>
      </c>
      <c r="I101" s="215" t="s">
        <v>2</v>
      </c>
      <c r="J101" s="215" t="s">
        <v>2</v>
      </c>
      <c r="K101" s="214">
        <v>100</v>
      </c>
      <c r="L101" s="214" t="str">
        <f t="shared" si="10"/>
        <v xml:space="preserve"> </v>
      </c>
      <c r="M101" s="216" t="s">
        <v>2</v>
      </c>
      <c r="N101" s="217" t="str">
        <f t="shared" si="7"/>
        <v xml:space="preserve">0 </v>
      </c>
      <c r="O101" s="217" t="s">
        <v>546</v>
      </c>
      <c r="P101" s="219">
        <f t="array" ref="P101">IFERROR(SUM(N101*50%,N101,10,G101*50%+G101,O101),)</f>
        <v>0</v>
      </c>
      <c r="Q101" s="214" t="s">
        <v>2</v>
      </c>
      <c r="R101" s="217" t="s">
        <v>2</v>
      </c>
      <c r="S101" s="214" t="s">
        <v>2</v>
      </c>
      <c r="T101" s="220">
        <v>0</v>
      </c>
      <c r="U101" s="217">
        <v>0</v>
      </c>
      <c r="V101" s="221" t="s">
        <v>548</v>
      </c>
      <c r="W101" s="217">
        <v>0</v>
      </c>
      <c r="X101" s="217" t="s">
        <v>548</v>
      </c>
      <c r="Y101" s="217" t="s">
        <v>548</v>
      </c>
      <c r="Z101" s="222">
        <f t="shared" si="11"/>
        <v>0</v>
      </c>
      <c r="AB101" s="217">
        <v>0</v>
      </c>
      <c r="AD101" s="223">
        <f t="shared" si="12"/>
        <v>0</v>
      </c>
    </row>
    <row r="102" spans="1:30">
      <c r="A102" s="214" t="s">
        <v>2</v>
      </c>
      <c r="B102" s="215" t="s">
        <v>546</v>
      </c>
      <c r="C102" s="215" t="s">
        <v>546</v>
      </c>
      <c r="D102" s="214">
        <v>100</v>
      </c>
      <c r="E102" s="214" t="str">
        <f t="shared" si="8"/>
        <v xml:space="preserve"> </v>
      </c>
      <c r="F102" s="216" t="s">
        <v>2</v>
      </c>
      <c r="G102" s="217" t="str">
        <f t="shared" si="9"/>
        <v xml:space="preserve"> </v>
      </c>
      <c r="H102" s="214" t="s">
        <v>2</v>
      </c>
      <c r="I102" s="215" t="s">
        <v>2</v>
      </c>
      <c r="J102" s="215" t="s">
        <v>2</v>
      </c>
      <c r="K102" s="214">
        <v>100</v>
      </c>
      <c r="L102" s="214" t="str">
        <f t="shared" si="10"/>
        <v xml:space="preserve"> </v>
      </c>
      <c r="M102" s="216" t="s">
        <v>2</v>
      </c>
      <c r="N102" s="217" t="str">
        <f t="shared" si="7"/>
        <v xml:space="preserve">0 </v>
      </c>
      <c r="O102" s="217" t="s">
        <v>546</v>
      </c>
      <c r="P102" s="219">
        <f t="array" ref="P102">IFERROR(SUM(N102*50%,N102,10,G102*50%+G102,O102),)</f>
        <v>0</v>
      </c>
      <c r="Q102" s="214" t="s">
        <v>2</v>
      </c>
      <c r="R102" s="217" t="s">
        <v>2</v>
      </c>
      <c r="S102" s="214" t="s">
        <v>2</v>
      </c>
      <c r="T102" s="220">
        <v>0</v>
      </c>
      <c r="U102" s="217">
        <v>0</v>
      </c>
      <c r="V102" s="221" t="s">
        <v>548</v>
      </c>
      <c r="W102" s="217">
        <v>0</v>
      </c>
      <c r="X102" s="217" t="s">
        <v>548</v>
      </c>
      <c r="Y102" s="217" t="s">
        <v>548</v>
      </c>
      <c r="Z102" s="222">
        <f t="shared" si="11"/>
        <v>0</v>
      </c>
      <c r="AB102" s="217">
        <v>0</v>
      </c>
      <c r="AD102" s="223">
        <f t="shared" si="12"/>
        <v>0</v>
      </c>
    </row>
    <row r="103" spans="1:30">
      <c r="A103" s="214" t="s">
        <v>2</v>
      </c>
      <c r="B103" s="215" t="s">
        <v>546</v>
      </c>
      <c r="C103" s="215" t="s">
        <v>546</v>
      </c>
      <c r="D103" s="214">
        <v>100</v>
      </c>
      <c r="E103" s="214" t="str">
        <f t="shared" si="8"/>
        <v xml:space="preserve"> </v>
      </c>
      <c r="F103" s="216" t="s">
        <v>2</v>
      </c>
      <c r="G103" s="217" t="str">
        <f t="shared" si="9"/>
        <v xml:space="preserve"> </v>
      </c>
      <c r="H103" s="214" t="s">
        <v>2</v>
      </c>
      <c r="I103" s="215" t="s">
        <v>2</v>
      </c>
      <c r="J103" s="215" t="s">
        <v>2</v>
      </c>
      <c r="K103" s="214">
        <v>100</v>
      </c>
      <c r="L103" s="214" t="str">
        <f t="shared" si="10"/>
        <v xml:space="preserve"> </v>
      </c>
      <c r="M103" s="216" t="s">
        <v>2</v>
      </c>
      <c r="N103" s="217" t="str">
        <f t="shared" si="7"/>
        <v xml:space="preserve">0 </v>
      </c>
      <c r="O103" s="217" t="s">
        <v>546</v>
      </c>
      <c r="P103" s="219">
        <f t="array" ref="P103">IFERROR(SUM(N103*50%,N103,10,G103*50%+G103,O103),)</f>
        <v>0</v>
      </c>
      <c r="Q103" s="214" t="s">
        <v>2</v>
      </c>
      <c r="R103" s="217" t="s">
        <v>2</v>
      </c>
      <c r="S103" s="214" t="s">
        <v>2</v>
      </c>
      <c r="T103" s="220">
        <v>0</v>
      </c>
      <c r="U103" s="217">
        <v>0</v>
      </c>
      <c r="V103" s="221" t="s">
        <v>548</v>
      </c>
      <c r="W103" s="217">
        <v>0</v>
      </c>
      <c r="X103" s="217" t="s">
        <v>548</v>
      </c>
      <c r="Y103" s="217" t="s">
        <v>548</v>
      </c>
      <c r="Z103" s="222">
        <f t="shared" si="11"/>
        <v>0</v>
      </c>
      <c r="AB103" s="217">
        <v>0</v>
      </c>
      <c r="AD103" s="223">
        <f t="shared" si="12"/>
        <v>0</v>
      </c>
    </row>
    <row r="104" spans="1:30">
      <c r="A104" s="214" t="s">
        <v>2</v>
      </c>
      <c r="B104" s="215" t="s">
        <v>546</v>
      </c>
      <c r="C104" s="215" t="s">
        <v>546</v>
      </c>
      <c r="D104" s="214">
        <v>100</v>
      </c>
      <c r="E104" s="214" t="str">
        <f t="shared" si="8"/>
        <v xml:space="preserve"> </v>
      </c>
      <c r="F104" s="216" t="s">
        <v>2</v>
      </c>
      <c r="G104" s="217" t="str">
        <f t="shared" si="9"/>
        <v xml:space="preserve"> </v>
      </c>
      <c r="H104" s="214" t="s">
        <v>2</v>
      </c>
      <c r="I104" s="215" t="s">
        <v>2</v>
      </c>
      <c r="J104" s="215" t="s">
        <v>2</v>
      </c>
      <c r="K104" s="214">
        <v>100</v>
      </c>
      <c r="L104" s="214" t="str">
        <f t="shared" si="10"/>
        <v xml:space="preserve"> </v>
      </c>
      <c r="M104" s="216" t="s">
        <v>2</v>
      </c>
      <c r="N104" s="217" t="str">
        <f t="shared" si="7"/>
        <v xml:space="preserve">0 </v>
      </c>
      <c r="O104" s="217" t="s">
        <v>546</v>
      </c>
      <c r="P104" s="219">
        <f t="array" ref="P104">IFERROR(SUM(N104*50%,N104,10,G104*50%+G104,O104),)</f>
        <v>0</v>
      </c>
      <c r="Q104" s="214" t="s">
        <v>2</v>
      </c>
      <c r="R104" s="217" t="s">
        <v>2</v>
      </c>
      <c r="S104" s="214" t="s">
        <v>2</v>
      </c>
      <c r="T104" s="220">
        <v>0</v>
      </c>
      <c r="U104" s="217">
        <v>0</v>
      </c>
      <c r="V104" s="221" t="s">
        <v>548</v>
      </c>
      <c r="W104" s="217">
        <v>0</v>
      </c>
      <c r="X104" s="217" t="s">
        <v>548</v>
      </c>
      <c r="Y104" s="217" t="s">
        <v>548</v>
      </c>
      <c r="Z104" s="222">
        <f t="shared" si="11"/>
        <v>0</v>
      </c>
      <c r="AB104" s="217">
        <v>0</v>
      </c>
      <c r="AD104" s="223">
        <f t="shared" si="12"/>
        <v>0</v>
      </c>
    </row>
    <row r="105" spans="1:30">
      <c r="A105" s="214" t="s">
        <v>2</v>
      </c>
      <c r="B105" s="215" t="s">
        <v>546</v>
      </c>
      <c r="C105" s="215" t="s">
        <v>546</v>
      </c>
      <c r="D105" s="214">
        <v>100</v>
      </c>
      <c r="E105" s="214" t="str">
        <f t="shared" si="8"/>
        <v xml:space="preserve"> </v>
      </c>
      <c r="F105" s="216" t="s">
        <v>2</v>
      </c>
      <c r="G105" s="217" t="str">
        <f t="shared" si="9"/>
        <v xml:space="preserve"> </v>
      </c>
      <c r="H105" s="214" t="s">
        <v>2</v>
      </c>
      <c r="I105" s="215" t="s">
        <v>2</v>
      </c>
      <c r="J105" s="215" t="s">
        <v>2</v>
      </c>
      <c r="K105" s="214">
        <v>100</v>
      </c>
      <c r="L105" s="214" t="str">
        <f t="shared" si="10"/>
        <v xml:space="preserve"> </v>
      </c>
      <c r="M105" s="216" t="s">
        <v>2</v>
      </c>
      <c r="N105" s="217" t="str">
        <f t="shared" ref="N105:N168" si="13">IFERROR(SUM(L105*M105),"0 ")</f>
        <v xml:space="preserve">0 </v>
      </c>
      <c r="O105" s="217" t="s">
        <v>546</v>
      </c>
      <c r="P105" s="219">
        <f t="array" ref="P105">IFERROR(SUM(N105*50%,N105,10,G105*50%+G105,O105),)</f>
        <v>0</v>
      </c>
      <c r="Q105" s="214" t="s">
        <v>2</v>
      </c>
      <c r="R105" s="217" t="s">
        <v>2</v>
      </c>
      <c r="S105" s="214" t="s">
        <v>2</v>
      </c>
      <c r="T105" s="220">
        <v>0</v>
      </c>
      <c r="U105" s="217">
        <v>0</v>
      </c>
      <c r="V105" s="221" t="s">
        <v>548</v>
      </c>
      <c r="W105" s="217">
        <v>0</v>
      </c>
      <c r="X105" s="217" t="s">
        <v>548</v>
      </c>
      <c r="Y105" s="217" t="s">
        <v>548</v>
      </c>
      <c r="Z105" s="222">
        <f t="shared" si="11"/>
        <v>0</v>
      </c>
      <c r="AB105" s="217">
        <v>0</v>
      </c>
      <c r="AD105" s="223">
        <f t="shared" si="12"/>
        <v>0</v>
      </c>
    </row>
    <row r="106" spans="1:30">
      <c r="A106" s="214" t="s">
        <v>2</v>
      </c>
      <c r="B106" s="215" t="s">
        <v>546</v>
      </c>
      <c r="C106" s="215" t="s">
        <v>546</v>
      </c>
      <c r="D106" s="214">
        <v>100</v>
      </c>
      <c r="E106" s="214" t="str">
        <f t="shared" si="8"/>
        <v xml:space="preserve"> </v>
      </c>
      <c r="F106" s="216" t="s">
        <v>2</v>
      </c>
      <c r="G106" s="217" t="str">
        <f t="shared" si="9"/>
        <v xml:space="preserve"> </v>
      </c>
      <c r="H106" s="214" t="s">
        <v>2</v>
      </c>
      <c r="I106" s="215" t="s">
        <v>2</v>
      </c>
      <c r="J106" s="215" t="s">
        <v>2</v>
      </c>
      <c r="K106" s="214">
        <v>100</v>
      </c>
      <c r="L106" s="214" t="str">
        <f t="shared" si="10"/>
        <v xml:space="preserve"> </v>
      </c>
      <c r="M106" s="216" t="s">
        <v>2</v>
      </c>
      <c r="N106" s="217" t="str">
        <f t="shared" si="13"/>
        <v xml:space="preserve">0 </v>
      </c>
      <c r="O106" s="217" t="s">
        <v>546</v>
      </c>
      <c r="P106" s="219">
        <f t="array" ref="P106">IFERROR(SUM(N106*50%,N106,10,G106*50%+G106,O106),)</f>
        <v>0</v>
      </c>
      <c r="Q106" s="214" t="s">
        <v>2</v>
      </c>
      <c r="R106" s="217" t="s">
        <v>2</v>
      </c>
      <c r="S106" s="214" t="s">
        <v>2</v>
      </c>
      <c r="T106" s="220">
        <v>0</v>
      </c>
      <c r="U106" s="217">
        <v>0</v>
      </c>
      <c r="V106" s="221" t="s">
        <v>548</v>
      </c>
      <c r="W106" s="217">
        <v>0</v>
      </c>
      <c r="X106" s="217" t="s">
        <v>548</v>
      </c>
      <c r="Y106" s="217" t="s">
        <v>548</v>
      </c>
      <c r="Z106" s="222">
        <f t="shared" si="11"/>
        <v>0</v>
      </c>
      <c r="AB106" s="217">
        <v>0</v>
      </c>
      <c r="AD106" s="223">
        <f t="shared" si="12"/>
        <v>0</v>
      </c>
    </row>
    <row r="107" spans="1:30">
      <c r="A107" s="214" t="s">
        <v>2</v>
      </c>
      <c r="B107" s="215" t="s">
        <v>546</v>
      </c>
      <c r="C107" s="215" t="s">
        <v>546</v>
      </c>
      <c r="D107" s="214">
        <v>100</v>
      </c>
      <c r="E107" s="214" t="str">
        <f t="shared" si="8"/>
        <v xml:space="preserve"> </v>
      </c>
      <c r="F107" s="216" t="s">
        <v>2</v>
      </c>
      <c r="G107" s="217" t="str">
        <f t="shared" si="9"/>
        <v xml:space="preserve"> </v>
      </c>
      <c r="H107" s="214" t="s">
        <v>2</v>
      </c>
      <c r="I107" s="215" t="s">
        <v>2</v>
      </c>
      <c r="J107" s="215" t="s">
        <v>2</v>
      </c>
      <c r="K107" s="214">
        <v>100</v>
      </c>
      <c r="L107" s="214" t="str">
        <f t="shared" si="10"/>
        <v xml:space="preserve"> </v>
      </c>
      <c r="M107" s="216" t="s">
        <v>2</v>
      </c>
      <c r="N107" s="217" t="str">
        <f t="shared" si="13"/>
        <v xml:space="preserve">0 </v>
      </c>
      <c r="O107" s="217" t="s">
        <v>546</v>
      </c>
      <c r="P107" s="219">
        <f t="array" ref="P107">IFERROR(SUM(N107*50%,N107,10,G107*50%+G107,O107),)</f>
        <v>0</v>
      </c>
      <c r="Q107" s="214" t="s">
        <v>2</v>
      </c>
      <c r="R107" s="217" t="s">
        <v>2</v>
      </c>
      <c r="S107" s="214" t="s">
        <v>2</v>
      </c>
      <c r="T107" s="220">
        <v>0</v>
      </c>
      <c r="U107" s="217">
        <v>0</v>
      </c>
      <c r="V107" s="221" t="s">
        <v>548</v>
      </c>
      <c r="W107" s="217">
        <v>0</v>
      </c>
      <c r="X107" s="217" t="s">
        <v>548</v>
      </c>
      <c r="Y107" s="217" t="s">
        <v>548</v>
      </c>
      <c r="Z107" s="222">
        <f t="shared" si="11"/>
        <v>0</v>
      </c>
      <c r="AB107" s="217">
        <v>0</v>
      </c>
      <c r="AD107" s="223">
        <f t="shared" si="12"/>
        <v>0</v>
      </c>
    </row>
    <row r="108" spans="1:30">
      <c r="A108" s="214" t="s">
        <v>2</v>
      </c>
      <c r="B108" s="215" t="s">
        <v>546</v>
      </c>
      <c r="C108" s="215" t="s">
        <v>546</v>
      </c>
      <c r="D108" s="214">
        <v>100</v>
      </c>
      <c r="E108" s="214" t="str">
        <f t="shared" si="8"/>
        <v xml:space="preserve"> </v>
      </c>
      <c r="F108" s="216" t="s">
        <v>2</v>
      </c>
      <c r="G108" s="217" t="str">
        <f t="shared" si="9"/>
        <v xml:space="preserve"> </v>
      </c>
      <c r="H108" s="214" t="s">
        <v>2</v>
      </c>
      <c r="I108" s="215" t="s">
        <v>2</v>
      </c>
      <c r="J108" s="215" t="s">
        <v>2</v>
      </c>
      <c r="K108" s="214">
        <v>100</v>
      </c>
      <c r="L108" s="214" t="str">
        <f t="shared" si="10"/>
        <v xml:space="preserve"> </v>
      </c>
      <c r="M108" s="216" t="s">
        <v>2</v>
      </c>
      <c r="N108" s="217" t="str">
        <f t="shared" si="13"/>
        <v xml:space="preserve">0 </v>
      </c>
      <c r="O108" s="217" t="s">
        <v>546</v>
      </c>
      <c r="P108" s="219">
        <f t="array" ref="P108">IFERROR(SUM(N108*50%,N108,10,G108*50%+G108,O108),)</f>
        <v>0</v>
      </c>
      <c r="Q108" s="214" t="s">
        <v>2</v>
      </c>
      <c r="R108" s="217" t="s">
        <v>2</v>
      </c>
      <c r="S108" s="214" t="s">
        <v>2</v>
      </c>
      <c r="T108" s="220">
        <v>0</v>
      </c>
      <c r="U108" s="217">
        <v>0</v>
      </c>
      <c r="V108" s="221" t="s">
        <v>548</v>
      </c>
      <c r="W108" s="217">
        <v>0</v>
      </c>
      <c r="X108" s="217" t="s">
        <v>548</v>
      </c>
      <c r="Y108" s="217" t="s">
        <v>548</v>
      </c>
      <c r="Z108" s="222">
        <f t="shared" si="11"/>
        <v>0</v>
      </c>
      <c r="AB108" s="217">
        <v>0</v>
      </c>
      <c r="AD108" s="223">
        <f t="shared" si="12"/>
        <v>0</v>
      </c>
    </row>
    <row r="109" spans="1:30">
      <c r="A109" s="214" t="s">
        <v>2</v>
      </c>
      <c r="B109" s="215" t="s">
        <v>546</v>
      </c>
      <c r="C109" s="215" t="s">
        <v>546</v>
      </c>
      <c r="D109" s="214">
        <v>100</v>
      </c>
      <c r="E109" s="214" t="str">
        <f t="shared" si="8"/>
        <v xml:space="preserve"> </v>
      </c>
      <c r="F109" s="216" t="s">
        <v>2</v>
      </c>
      <c r="G109" s="217" t="str">
        <f t="shared" si="9"/>
        <v xml:space="preserve"> </v>
      </c>
      <c r="H109" s="214" t="s">
        <v>2</v>
      </c>
      <c r="I109" s="215" t="s">
        <v>2</v>
      </c>
      <c r="J109" s="215" t="s">
        <v>2</v>
      </c>
      <c r="K109" s="214">
        <v>100</v>
      </c>
      <c r="L109" s="214" t="str">
        <f t="shared" si="10"/>
        <v xml:space="preserve"> </v>
      </c>
      <c r="M109" s="216" t="s">
        <v>2</v>
      </c>
      <c r="N109" s="217" t="str">
        <f t="shared" si="13"/>
        <v xml:space="preserve">0 </v>
      </c>
      <c r="O109" s="217" t="s">
        <v>546</v>
      </c>
      <c r="P109" s="219">
        <f t="array" ref="P109">IFERROR(SUM(N109*50%,N109,10,G109*50%+G109,O109),)</f>
        <v>0</v>
      </c>
      <c r="Q109" s="214" t="s">
        <v>2</v>
      </c>
      <c r="R109" s="217" t="s">
        <v>2</v>
      </c>
      <c r="S109" s="214" t="s">
        <v>2</v>
      </c>
      <c r="T109" s="220">
        <v>0</v>
      </c>
      <c r="U109" s="217">
        <v>0</v>
      </c>
      <c r="V109" s="221" t="s">
        <v>548</v>
      </c>
      <c r="W109" s="217">
        <v>0</v>
      </c>
      <c r="X109" s="217" t="s">
        <v>548</v>
      </c>
      <c r="Y109" s="217" t="s">
        <v>548</v>
      </c>
      <c r="Z109" s="222">
        <f t="shared" si="11"/>
        <v>0</v>
      </c>
      <c r="AB109" s="217">
        <v>0</v>
      </c>
      <c r="AD109" s="223">
        <f t="shared" si="12"/>
        <v>0</v>
      </c>
    </row>
    <row r="110" spans="1:30">
      <c r="A110" s="214" t="s">
        <v>2</v>
      </c>
      <c r="B110" s="215" t="s">
        <v>546</v>
      </c>
      <c r="C110" s="215" t="s">
        <v>546</v>
      </c>
      <c r="D110" s="214">
        <v>100</v>
      </c>
      <c r="E110" s="214" t="str">
        <f t="shared" si="8"/>
        <v xml:space="preserve"> </v>
      </c>
      <c r="F110" s="216" t="s">
        <v>2</v>
      </c>
      <c r="G110" s="217" t="str">
        <f t="shared" si="9"/>
        <v xml:space="preserve"> </v>
      </c>
      <c r="H110" s="214" t="s">
        <v>2</v>
      </c>
      <c r="I110" s="215" t="s">
        <v>2</v>
      </c>
      <c r="J110" s="215" t="s">
        <v>2</v>
      </c>
      <c r="K110" s="214">
        <v>100</v>
      </c>
      <c r="L110" s="214" t="str">
        <f t="shared" si="10"/>
        <v xml:space="preserve"> </v>
      </c>
      <c r="M110" s="216" t="s">
        <v>2</v>
      </c>
      <c r="N110" s="217" t="str">
        <f t="shared" si="13"/>
        <v xml:space="preserve">0 </v>
      </c>
      <c r="O110" s="217" t="s">
        <v>546</v>
      </c>
      <c r="P110" s="219">
        <f t="array" ref="P110">IFERROR(SUM(N110*50%,N110,10,G110*50%+G110,O110),)</f>
        <v>0</v>
      </c>
      <c r="Q110" s="214" t="s">
        <v>2</v>
      </c>
      <c r="R110" s="217" t="s">
        <v>2</v>
      </c>
      <c r="S110" s="214" t="s">
        <v>2</v>
      </c>
      <c r="T110" s="220">
        <v>0</v>
      </c>
      <c r="U110" s="217">
        <v>0</v>
      </c>
      <c r="V110" s="221" t="s">
        <v>548</v>
      </c>
      <c r="W110" s="217">
        <v>0</v>
      </c>
      <c r="X110" s="217" t="s">
        <v>548</v>
      </c>
      <c r="Y110" s="217" t="s">
        <v>548</v>
      </c>
      <c r="Z110" s="222">
        <f t="shared" si="11"/>
        <v>0</v>
      </c>
      <c r="AB110" s="217">
        <v>0</v>
      </c>
      <c r="AD110" s="223">
        <f t="shared" si="12"/>
        <v>0</v>
      </c>
    </row>
    <row r="111" spans="1:30">
      <c r="A111" s="214" t="s">
        <v>2</v>
      </c>
      <c r="B111" s="215" t="s">
        <v>546</v>
      </c>
      <c r="C111" s="215" t="s">
        <v>546</v>
      </c>
      <c r="D111" s="214">
        <v>100</v>
      </c>
      <c r="E111" s="214" t="str">
        <f t="shared" si="8"/>
        <v xml:space="preserve"> </v>
      </c>
      <c r="F111" s="216" t="s">
        <v>2</v>
      </c>
      <c r="G111" s="217" t="str">
        <f t="shared" si="9"/>
        <v xml:space="preserve"> </v>
      </c>
      <c r="H111" s="214" t="s">
        <v>2</v>
      </c>
      <c r="I111" s="215" t="s">
        <v>2</v>
      </c>
      <c r="J111" s="215" t="s">
        <v>2</v>
      </c>
      <c r="K111" s="214">
        <v>100</v>
      </c>
      <c r="L111" s="214" t="str">
        <f t="shared" si="10"/>
        <v xml:space="preserve"> </v>
      </c>
      <c r="M111" s="216" t="s">
        <v>2</v>
      </c>
      <c r="N111" s="217" t="str">
        <f t="shared" si="13"/>
        <v xml:space="preserve">0 </v>
      </c>
      <c r="O111" s="217" t="s">
        <v>546</v>
      </c>
      <c r="P111" s="219">
        <f t="array" ref="P111">IFERROR(SUM(N111*50%,N111,10,G111*50%+G111,O111),)</f>
        <v>0</v>
      </c>
      <c r="Q111" s="214" t="s">
        <v>2</v>
      </c>
      <c r="R111" s="217" t="s">
        <v>2</v>
      </c>
      <c r="S111" s="214" t="s">
        <v>2</v>
      </c>
      <c r="T111" s="220">
        <v>0</v>
      </c>
      <c r="U111" s="217">
        <v>0</v>
      </c>
      <c r="V111" s="221" t="s">
        <v>548</v>
      </c>
      <c r="W111" s="217">
        <v>0</v>
      </c>
      <c r="X111" s="217" t="s">
        <v>548</v>
      </c>
      <c r="Y111" s="217" t="s">
        <v>548</v>
      </c>
      <c r="Z111" s="222">
        <f t="shared" si="11"/>
        <v>0</v>
      </c>
      <c r="AB111" s="217">
        <v>0</v>
      </c>
      <c r="AD111" s="223">
        <f t="shared" si="12"/>
        <v>0</v>
      </c>
    </row>
    <row r="112" spans="1:30">
      <c r="A112" s="214" t="s">
        <v>2</v>
      </c>
      <c r="B112" s="215" t="s">
        <v>546</v>
      </c>
      <c r="C112" s="215" t="s">
        <v>546</v>
      </c>
      <c r="D112" s="214">
        <v>100</v>
      </c>
      <c r="E112" s="214" t="str">
        <f t="shared" si="8"/>
        <v xml:space="preserve"> </v>
      </c>
      <c r="F112" s="216" t="s">
        <v>2</v>
      </c>
      <c r="G112" s="217" t="str">
        <f t="shared" si="9"/>
        <v xml:space="preserve"> </v>
      </c>
      <c r="H112" s="214" t="s">
        <v>2</v>
      </c>
      <c r="I112" s="215" t="s">
        <v>2</v>
      </c>
      <c r="J112" s="215" t="s">
        <v>2</v>
      </c>
      <c r="K112" s="214">
        <v>100</v>
      </c>
      <c r="L112" s="214" t="str">
        <f t="shared" si="10"/>
        <v xml:space="preserve"> </v>
      </c>
      <c r="M112" s="216" t="s">
        <v>2</v>
      </c>
      <c r="N112" s="217" t="str">
        <f t="shared" si="13"/>
        <v xml:space="preserve">0 </v>
      </c>
      <c r="O112" s="217" t="s">
        <v>546</v>
      </c>
      <c r="P112" s="219">
        <f t="array" ref="P112">IFERROR(SUM(N112*50%,N112,10,G112*50%+G112,O112),)</f>
        <v>0</v>
      </c>
      <c r="Q112" s="214" t="s">
        <v>2</v>
      </c>
      <c r="R112" s="217" t="s">
        <v>2</v>
      </c>
      <c r="S112" s="214" t="s">
        <v>2</v>
      </c>
      <c r="T112" s="220">
        <v>0</v>
      </c>
      <c r="U112" s="217">
        <v>0</v>
      </c>
      <c r="V112" s="221" t="s">
        <v>548</v>
      </c>
      <c r="W112" s="217">
        <v>0</v>
      </c>
      <c r="X112" s="217" t="s">
        <v>548</v>
      </c>
      <c r="Y112" s="217" t="s">
        <v>548</v>
      </c>
      <c r="Z112" s="222">
        <f t="shared" si="11"/>
        <v>0</v>
      </c>
      <c r="AB112" s="217">
        <v>0</v>
      </c>
      <c r="AD112" s="223">
        <f t="shared" si="12"/>
        <v>0</v>
      </c>
    </row>
    <row r="113" spans="1:30">
      <c r="A113" s="214" t="s">
        <v>2</v>
      </c>
      <c r="B113" s="215" t="s">
        <v>546</v>
      </c>
      <c r="C113" s="215" t="s">
        <v>546</v>
      </c>
      <c r="D113" s="214">
        <v>100</v>
      </c>
      <c r="E113" s="214" t="str">
        <f t="shared" si="8"/>
        <v xml:space="preserve"> </v>
      </c>
      <c r="F113" s="216" t="s">
        <v>2</v>
      </c>
      <c r="G113" s="217" t="str">
        <f t="shared" si="9"/>
        <v xml:space="preserve"> </v>
      </c>
      <c r="H113" s="214" t="s">
        <v>2</v>
      </c>
      <c r="I113" s="215" t="s">
        <v>2</v>
      </c>
      <c r="J113" s="215" t="s">
        <v>2</v>
      </c>
      <c r="K113" s="214">
        <v>100</v>
      </c>
      <c r="L113" s="214" t="str">
        <f t="shared" si="10"/>
        <v xml:space="preserve"> </v>
      </c>
      <c r="M113" s="216" t="s">
        <v>2</v>
      </c>
      <c r="N113" s="217" t="str">
        <f t="shared" si="13"/>
        <v xml:space="preserve">0 </v>
      </c>
      <c r="O113" s="217" t="s">
        <v>546</v>
      </c>
      <c r="P113" s="219">
        <f t="array" ref="P113">IFERROR(SUM(N113*50%,N113,10,G113*50%+G113,O113),)</f>
        <v>0</v>
      </c>
      <c r="Q113" s="214" t="s">
        <v>2</v>
      </c>
      <c r="R113" s="217" t="s">
        <v>2</v>
      </c>
      <c r="S113" s="214" t="s">
        <v>2</v>
      </c>
      <c r="T113" s="220">
        <v>0</v>
      </c>
      <c r="U113" s="217">
        <v>0</v>
      </c>
      <c r="V113" s="221" t="s">
        <v>548</v>
      </c>
      <c r="W113" s="217">
        <v>0</v>
      </c>
      <c r="X113" s="217" t="s">
        <v>548</v>
      </c>
      <c r="Y113" s="217" t="s">
        <v>548</v>
      </c>
      <c r="Z113" s="222">
        <f t="shared" si="11"/>
        <v>0</v>
      </c>
      <c r="AB113" s="217">
        <v>0</v>
      </c>
      <c r="AD113" s="223">
        <f t="shared" si="12"/>
        <v>0</v>
      </c>
    </row>
    <row r="114" spans="1:30">
      <c r="A114" s="214" t="s">
        <v>2</v>
      </c>
      <c r="B114" s="215" t="s">
        <v>546</v>
      </c>
      <c r="C114" s="215" t="s">
        <v>546</v>
      </c>
      <c r="D114" s="214">
        <v>100</v>
      </c>
      <c r="E114" s="214" t="str">
        <f t="shared" si="8"/>
        <v xml:space="preserve"> </v>
      </c>
      <c r="F114" s="216" t="s">
        <v>2</v>
      </c>
      <c r="G114" s="217" t="str">
        <f t="shared" si="9"/>
        <v xml:space="preserve"> </v>
      </c>
      <c r="H114" s="214" t="s">
        <v>2</v>
      </c>
      <c r="I114" s="215" t="s">
        <v>2</v>
      </c>
      <c r="J114" s="215" t="s">
        <v>2</v>
      </c>
      <c r="K114" s="214">
        <v>100</v>
      </c>
      <c r="L114" s="214" t="str">
        <f t="shared" si="10"/>
        <v xml:space="preserve"> </v>
      </c>
      <c r="M114" s="216" t="s">
        <v>2</v>
      </c>
      <c r="N114" s="217" t="str">
        <f t="shared" si="13"/>
        <v xml:space="preserve">0 </v>
      </c>
      <c r="O114" s="217" t="s">
        <v>546</v>
      </c>
      <c r="P114" s="219">
        <f t="array" ref="P114">IFERROR(SUM(N114*50%,N114,10,G114*50%+G114,O114),)</f>
        <v>0</v>
      </c>
      <c r="Q114" s="214" t="s">
        <v>2</v>
      </c>
      <c r="R114" s="217" t="s">
        <v>2</v>
      </c>
      <c r="S114" s="214" t="s">
        <v>2</v>
      </c>
      <c r="T114" s="220">
        <v>0</v>
      </c>
      <c r="U114" s="217">
        <v>0</v>
      </c>
      <c r="V114" s="221" t="s">
        <v>548</v>
      </c>
      <c r="W114" s="217">
        <v>0</v>
      </c>
      <c r="X114" s="217" t="s">
        <v>548</v>
      </c>
      <c r="Y114" s="217" t="s">
        <v>548</v>
      </c>
      <c r="Z114" s="222">
        <f t="shared" si="11"/>
        <v>0</v>
      </c>
      <c r="AB114" s="217">
        <v>0</v>
      </c>
      <c r="AD114" s="223">
        <f t="shared" si="12"/>
        <v>0</v>
      </c>
    </row>
    <row r="115" spans="1:30">
      <c r="A115" s="214" t="s">
        <v>2</v>
      </c>
      <c r="B115" s="215" t="s">
        <v>546</v>
      </c>
      <c r="C115" s="215" t="s">
        <v>546</v>
      </c>
      <c r="D115" s="214">
        <v>100</v>
      </c>
      <c r="E115" s="214" t="str">
        <f t="shared" si="8"/>
        <v xml:space="preserve"> </v>
      </c>
      <c r="F115" s="216" t="s">
        <v>2</v>
      </c>
      <c r="G115" s="217" t="str">
        <f t="shared" si="9"/>
        <v xml:space="preserve"> </v>
      </c>
      <c r="H115" s="214" t="s">
        <v>2</v>
      </c>
      <c r="I115" s="215" t="s">
        <v>2</v>
      </c>
      <c r="J115" s="215" t="s">
        <v>2</v>
      </c>
      <c r="K115" s="214">
        <v>100</v>
      </c>
      <c r="L115" s="214" t="str">
        <f t="shared" si="10"/>
        <v xml:space="preserve"> </v>
      </c>
      <c r="M115" s="216" t="s">
        <v>2</v>
      </c>
      <c r="N115" s="217" t="str">
        <f t="shared" si="13"/>
        <v xml:space="preserve">0 </v>
      </c>
      <c r="O115" s="217" t="s">
        <v>546</v>
      </c>
      <c r="P115" s="219">
        <f t="array" ref="P115">IFERROR(SUM(N115*50%,N115,10,G115*50%+G115,O115),)</f>
        <v>0</v>
      </c>
      <c r="Q115" s="214" t="s">
        <v>2</v>
      </c>
      <c r="R115" s="217" t="s">
        <v>2</v>
      </c>
      <c r="S115" s="214" t="s">
        <v>2</v>
      </c>
      <c r="T115" s="220">
        <v>0</v>
      </c>
      <c r="U115" s="217">
        <v>0</v>
      </c>
      <c r="V115" s="221" t="s">
        <v>548</v>
      </c>
      <c r="W115" s="217">
        <v>0</v>
      </c>
      <c r="X115" s="217" t="s">
        <v>548</v>
      </c>
      <c r="Y115" s="217" t="s">
        <v>548</v>
      </c>
      <c r="Z115" s="222">
        <f t="shared" si="11"/>
        <v>0</v>
      </c>
      <c r="AB115" s="217">
        <v>0</v>
      </c>
      <c r="AD115" s="223">
        <f t="shared" si="12"/>
        <v>0</v>
      </c>
    </row>
    <row r="116" spans="1:30">
      <c r="A116" s="214" t="s">
        <v>2</v>
      </c>
      <c r="B116" s="215" t="s">
        <v>546</v>
      </c>
      <c r="C116" s="215" t="s">
        <v>546</v>
      </c>
      <c r="D116" s="214">
        <v>100</v>
      </c>
      <c r="E116" s="214" t="str">
        <f t="shared" si="8"/>
        <v xml:space="preserve"> </v>
      </c>
      <c r="F116" s="216" t="s">
        <v>2</v>
      </c>
      <c r="G116" s="217" t="str">
        <f t="shared" si="9"/>
        <v xml:space="preserve"> </v>
      </c>
      <c r="H116" s="214" t="s">
        <v>2</v>
      </c>
      <c r="I116" s="215" t="s">
        <v>2</v>
      </c>
      <c r="J116" s="215" t="s">
        <v>2</v>
      </c>
      <c r="K116" s="214">
        <v>100</v>
      </c>
      <c r="L116" s="214" t="str">
        <f t="shared" si="10"/>
        <v xml:space="preserve"> </v>
      </c>
      <c r="M116" s="216" t="s">
        <v>2</v>
      </c>
      <c r="N116" s="217" t="str">
        <f t="shared" si="13"/>
        <v xml:space="preserve">0 </v>
      </c>
      <c r="O116" s="217" t="s">
        <v>546</v>
      </c>
      <c r="P116" s="219">
        <f t="array" ref="P116">IFERROR(SUM(N116*50%,N116,10,G116*50%+G116,O116),)</f>
        <v>0</v>
      </c>
      <c r="Q116" s="214" t="s">
        <v>2</v>
      </c>
      <c r="R116" s="217" t="s">
        <v>2</v>
      </c>
      <c r="S116" s="214" t="s">
        <v>2</v>
      </c>
      <c r="T116" s="220">
        <v>0</v>
      </c>
      <c r="U116" s="217">
        <v>0</v>
      </c>
      <c r="V116" s="221" t="s">
        <v>548</v>
      </c>
      <c r="W116" s="217">
        <v>0</v>
      </c>
      <c r="X116" s="217" t="s">
        <v>548</v>
      </c>
      <c r="Y116" s="217" t="s">
        <v>548</v>
      </c>
      <c r="Z116" s="222">
        <f t="shared" si="11"/>
        <v>0</v>
      </c>
      <c r="AB116" s="217">
        <v>0</v>
      </c>
      <c r="AD116" s="223">
        <f t="shared" si="12"/>
        <v>0</v>
      </c>
    </row>
    <row r="117" spans="1:30">
      <c r="A117" s="214" t="s">
        <v>2</v>
      </c>
      <c r="B117" s="215" t="s">
        <v>546</v>
      </c>
      <c r="C117" s="215" t="s">
        <v>546</v>
      </c>
      <c r="D117" s="214">
        <v>100</v>
      </c>
      <c r="E117" s="214" t="str">
        <f t="shared" si="8"/>
        <v xml:space="preserve"> </v>
      </c>
      <c r="F117" s="216" t="s">
        <v>2</v>
      </c>
      <c r="G117" s="217" t="str">
        <f t="shared" si="9"/>
        <v xml:space="preserve"> </v>
      </c>
      <c r="H117" s="214" t="s">
        <v>2</v>
      </c>
      <c r="I117" s="215" t="s">
        <v>2</v>
      </c>
      <c r="J117" s="215" t="s">
        <v>2</v>
      </c>
      <c r="K117" s="214">
        <v>100</v>
      </c>
      <c r="L117" s="214" t="str">
        <f t="shared" si="10"/>
        <v xml:space="preserve"> </v>
      </c>
      <c r="M117" s="216" t="s">
        <v>2</v>
      </c>
      <c r="N117" s="217" t="str">
        <f t="shared" si="13"/>
        <v xml:space="preserve">0 </v>
      </c>
      <c r="O117" s="217" t="s">
        <v>546</v>
      </c>
      <c r="P117" s="219">
        <f t="array" ref="P117">IFERROR(SUM(N117*50%,N117,10,G117*50%+G117,O117),)</f>
        <v>0</v>
      </c>
      <c r="Q117" s="214" t="s">
        <v>2</v>
      </c>
      <c r="R117" s="217" t="s">
        <v>2</v>
      </c>
      <c r="S117" s="214" t="s">
        <v>2</v>
      </c>
      <c r="T117" s="220">
        <v>0</v>
      </c>
      <c r="U117" s="217">
        <v>0</v>
      </c>
      <c r="V117" s="221" t="s">
        <v>548</v>
      </c>
      <c r="W117" s="217">
        <v>0</v>
      </c>
      <c r="X117" s="217" t="s">
        <v>548</v>
      </c>
      <c r="Y117" s="217" t="s">
        <v>548</v>
      </c>
      <c r="Z117" s="222">
        <f t="shared" si="11"/>
        <v>0</v>
      </c>
      <c r="AB117" s="217">
        <v>0</v>
      </c>
      <c r="AD117" s="223">
        <f t="shared" si="12"/>
        <v>0</v>
      </c>
    </row>
    <row r="118" spans="1:30">
      <c r="A118" s="214" t="s">
        <v>2</v>
      </c>
      <c r="B118" s="215" t="s">
        <v>546</v>
      </c>
      <c r="C118" s="215" t="s">
        <v>546</v>
      </c>
      <c r="D118" s="214">
        <v>100</v>
      </c>
      <c r="E118" s="214" t="str">
        <f t="shared" si="8"/>
        <v xml:space="preserve"> </v>
      </c>
      <c r="F118" s="216" t="s">
        <v>2</v>
      </c>
      <c r="G118" s="217" t="str">
        <f t="shared" si="9"/>
        <v xml:space="preserve"> </v>
      </c>
      <c r="H118" s="214" t="s">
        <v>2</v>
      </c>
      <c r="I118" s="215" t="s">
        <v>2</v>
      </c>
      <c r="J118" s="215" t="s">
        <v>2</v>
      </c>
      <c r="K118" s="214">
        <v>100</v>
      </c>
      <c r="L118" s="214" t="str">
        <f t="shared" si="10"/>
        <v xml:space="preserve"> </v>
      </c>
      <c r="M118" s="216" t="s">
        <v>2</v>
      </c>
      <c r="N118" s="217" t="str">
        <f t="shared" si="13"/>
        <v xml:space="preserve">0 </v>
      </c>
      <c r="O118" s="217" t="s">
        <v>546</v>
      </c>
      <c r="P118" s="219">
        <f t="array" ref="P118">IFERROR(SUM(N118*50%,N118,10,G118*50%+G118,O118),)</f>
        <v>0</v>
      </c>
      <c r="Q118" s="214" t="s">
        <v>2</v>
      </c>
      <c r="R118" s="217" t="s">
        <v>2</v>
      </c>
      <c r="S118" s="214" t="s">
        <v>2</v>
      </c>
      <c r="T118" s="220">
        <v>0</v>
      </c>
      <c r="U118" s="217">
        <v>0</v>
      </c>
      <c r="V118" s="221" t="s">
        <v>548</v>
      </c>
      <c r="W118" s="217">
        <v>0</v>
      </c>
      <c r="X118" s="217" t="s">
        <v>548</v>
      </c>
      <c r="Y118" s="217" t="s">
        <v>548</v>
      </c>
      <c r="Z118" s="222">
        <f t="shared" si="11"/>
        <v>0</v>
      </c>
      <c r="AB118" s="217">
        <v>0</v>
      </c>
      <c r="AD118" s="223">
        <f t="shared" si="12"/>
        <v>0</v>
      </c>
    </row>
    <row r="119" spans="1:30">
      <c r="A119" s="214" t="s">
        <v>2</v>
      </c>
      <c r="B119" s="215" t="s">
        <v>546</v>
      </c>
      <c r="C119" s="215" t="s">
        <v>546</v>
      </c>
      <c r="D119" s="214">
        <v>100</v>
      </c>
      <c r="E119" s="214" t="str">
        <f t="shared" si="8"/>
        <v xml:space="preserve"> </v>
      </c>
      <c r="F119" s="216" t="s">
        <v>2</v>
      </c>
      <c r="G119" s="217" t="str">
        <f t="shared" si="9"/>
        <v xml:space="preserve"> </v>
      </c>
      <c r="H119" s="214" t="s">
        <v>2</v>
      </c>
      <c r="I119" s="215" t="s">
        <v>2</v>
      </c>
      <c r="J119" s="215" t="s">
        <v>2</v>
      </c>
      <c r="K119" s="214">
        <v>100</v>
      </c>
      <c r="L119" s="214" t="str">
        <f t="shared" si="10"/>
        <v xml:space="preserve"> </v>
      </c>
      <c r="M119" s="216" t="s">
        <v>2</v>
      </c>
      <c r="N119" s="217" t="str">
        <f t="shared" si="13"/>
        <v xml:space="preserve">0 </v>
      </c>
      <c r="O119" s="217" t="s">
        <v>546</v>
      </c>
      <c r="P119" s="219">
        <f t="array" ref="P119">IFERROR(SUM(N119*50%,N119,10,G119*50%+G119,O119),)</f>
        <v>0</v>
      </c>
      <c r="Q119" s="214" t="s">
        <v>2</v>
      </c>
      <c r="R119" s="217" t="s">
        <v>2</v>
      </c>
      <c r="S119" s="214" t="s">
        <v>2</v>
      </c>
      <c r="T119" s="220">
        <v>0</v>
      </c>
      <c r="U119" s="217">
        <v>0</v>
      </c>
      <c r="V119" s="221" t="s">
        <v>548</v>
      </c>
      <c r="W119" s="217">
        <v>0</v>
      </c>
      <c r="X119" s="217" t="s">
        <v>548</v>
      </c>
      <c r="Y119" s="217" t="s">
        <v>548</v>
      </c>
      <c r="Z119" s="222">
        <f t="shared" si="11"/>
        <v>0</v>
      </c>
      <c r="AB119" s="217">
        <v>0</v>
      </c>
      <c r="AD119" s="223">
        <f t="shared" si="12"/>
        <v>0</v>
      </c>
    </row>
    <row r="120" spans="1:30">
      <c r="A120" s="214" t="s">
        <v>2</v>
      </c>
      <c r="B120" s="215" t="s">
        <v>546</v>
      </c>
      <c r="C120" s="215" t="s">
        <v>546</v>
      </c>
      <c r="D120" s="214">
        <v>100</v>
      </c>
      <c r="E120" s="214" t="str">
        <f t="shared" si="8"/>
        <v xml:space="preserve"> </v>
      </c>
      <c r="F120" s="216" t="s">
        <v>2</v>
      </c>
      <c r="G120" s="217" t="str">
        <f t="shared" si="9"/>
        <v xml:space="preserve"> </v>
      </c>
      <c r="H120" s="214" t="s">
        <v>2</v>
      </c>
      <c r="I120" s="215" t="s">
        <v>2</v>
      </c>
      <c r="J120" s="215" t="s">
        <v>2</v>
      </c>
      <c r="K120" s="214">
        <v>100</v>
      </c>
      <c r="L120" s="214" t="str">
        <f t="shared" si="10"/>
        <v xml:space="preserve"> </v>
      </c>
      <c r="M120" s="216" t="s">
        <v>2</v>
      </c>
      <c r="N120" s="217" t="str">
        <f t="shared" si="13"/>
        <v xml:space="preserve">0 </v>
      </c>
      <c r="O120" s="217" t="s">
        <v>546</v>
      </c>
      <c r="P120" s="219">
        <f t="array" ref="P120">IFERROR(SUM(N120*50%,N120,10,G120*50%+G120,O120),)</f>
        <v>0</v>
      </c>
      <c r="Q120" s="214" t="s">
        <v>2</v>
      </c>
      <c r="R120" s="217" t="s">
        <v>2</v>
      </c>
      <c r="S120" s="214" t="s">
        <v>2</v>
      </c>
      <c r="T120" s="220">
        <v>0</v>
      </c>
      <c r="U120" s="217">
        <v>0</v>
      </c>
      <c r="V120" s="221" t="s">
        <v>548</v>
      </c>
      <c r="W120" s="217">
        <v>0</v>
      </c>
      <c r="X120" s="217" t="s">
        <v>548</v>
      </c>
      <c r="Y120" s="217" t="s">
        <v>548</v>
      </c>
      <c r="Z120" s="222">
        <f t="shared" si="11"/>
        <v>0</v>
      </c>
      <c r="AB120" s="217">
        <v>0</v>
      </c>
      <c r="AD120" s="223">
        <f t="shared" si="12"/>
        <v>0</v>
      </c>
    </row>
    <row r="121" spans="1:30">
      <c r="A121" s="214" t="s">
        <v>2</v>
      </c>
      <c r="B121" s="215" t="s">
        <v>546</v>
      </c>
      <c r="C121" s="215" t="s">
        <v>546</v>
      </c>
      <c r="D121" s="214">
        <v>100</v>
      </c>
      <c r="E121" s="214" t="str">
        <f t="shared" si="8"/>
        <v xml:space="preserve"> </v>
      </c>
      <c r="F121" s="216" t="s">
        <v>2</v>
      </c>
      <c r="G121" s="217" t="str">
        <f t="shared" si="9"/>
        <v xml:space="preserve"> </v>
      </c>
      <c r="H121" s="214" t="s">
        <v>2</v>
      </c>
      <c r="I121" s="215" t="s">
        <v>2</v>
      </c>
      <c r="J121" s="215" t="s">
        <v>2</v>
      </c>
      <c r="K121" s="214">
        <v>100</v>
      </c>
      <c r="L121" s="214" t="str">
        <f t="shared" si="10"/>
        <v xml:space="preserve"> </v>
      </c>
      <c r="M121" s="216" t="s">
        <v>2</v>
      </c>
      <c r="N121" s="217" t="str">
        <f t="shared" si="13"/>
        <v xml:space="preserve">0 </v>
      </c>
      <c r="O121" s="217" t="s">
        <v>546</v>
      </c>
      <c r="P121" s="219">
        <f t="array" ref="P121">IFERROR(SUM(N121*50%,N121,10,G121*50%+G121,O121),)</f>
        <v>0</v>
      </c>
      <c r="Q121" s="214" t="s">
        <v>2</v>
      </c>
      <c r="R121" s="217" t="s">
        <v>2</v>
      </c>
      <c r="S121" s="214" t="s">
        <v>2</v>
      </c>
      <c r="T121" s="220">
        <v>0</v>
      </c>
      <c r="U121" s="217">
        <v>0</v>
      </c>
      <c r="V121" s="221" t="s">
        <v>548</v>
      </c>
      <c r="W121" s="217">
        <v>0</v>
      </c>
      <c r="X121" s="217" t="s">
        <v>548</v>
      </c>
      <c r="Y121" s="217" t="s">
        <v>548</v>
      </c>
      <c r="Z121" s="222">
        <f t="shared" si="11"/>
        <v>0</v>
      </c>
      <c r="AB121" s="217">
        <v>0</v>
      </c>
      <c r="AD121" s="223">
        <f t="shared" si="12"/>
        <v>0</v>
      </c>
    </row>
    <row r="122" spans="1:30">
      <c r="A122" s="214" t="s">
        <v>2</v>
      </c>
      <c r="B122" s="215" t="s">
        <v>546</v>
      </c>
      <c r="C122" s="215" t="s">
        <v>546</v>
      </c>
      <c r="D122" s="214">
        <v>100</v>
      </c>
      <c r="E122" s="214" t="str">
        <f t="shared" si="8"/>
        <v xml:space="preserve"> </v>
      </c>
      <c r="F122" s="216" t="s">
        <v>2</v>
      </c>
      <c r="G122" s="217" t="str">
        <f t="shared" si="9"/>
        <v xml:space="preserve"> </v>
      </c>
      <c r="H122" s="214" t="s">
        <v>2</v>
      </c>
      <c r="I122" s="215" t="s">
        <v>2</v>
      </c>
      <c r="J122" s="215" t="s">
        <v>2</v>
      </c>
      <c r="K122" s="214">
        <v>100</v>
      </c>
      <c r="L122" s="214" t="str">
        <f t="shared" si="10"/>
        <v xml:space="preserve"> </v>
      </c>
      <c r="M122" s="216" t="s">
        <v>2</v>
      </c>
      <c r="N122" s="217" t="str">
        <f t="shared" si="13"/>
        <v xml:space="preserve">0 </v>
      </c>
      <c r="O122" s="217" t="s">
        <v>546</v>
      </c>
      <c r="P122" s="219">
        <f t="array" ref="P122">IFERROR(SUM(N122*50%,N122,10,G122*50%+G122,O122),)</f>
        <v>0</v>
      </c>
      <c r="Q122" s="214" t="s">
        <v>2</v>
      </c>
      <c r="R122" s="217" t="s">
        <v>2</v>
      </c>
      <c r="S122" s="214" t="s">
        <v>2</v>
      </c>
      <c r="T122" s="220">
        <v>0</v>
      </c>
      <c r="U122" s="217">
        <v>0</v>
      </c>
      <c r="V122" s="221" t="s">
        <v>548</v>
      </c>
      <c r="W122" s="217">
        <v>0</v>
      </c>
      <c r="X122" s="217" t="s">
        <v>548</v>
      </c>
      <c r="Y122" s="217" t="s">
        <v>548</v>
      </c>
      <c r="Z122" s="222">
        <f t="shared" si="11"/>
        <v>0</v>
      </c>
      <c r="AB122" s="217">
        <v>0</v>
      </c>
      <c r="AD122" s="223">
        <f t="shared" si="12"/>
        <v>0</v>
      </c>
    </row>
    <row r="123" spans="1:30">
      <c r="A123" s="214" t="s">
        <v>2</v>
      </c>
      <c r="B123" s="215" t="s">
        <v>546</v>
      </c>
      <c r="C123" s="215" t="s">
        <v>546</v>
      </c>
      <c r="D123" s="214">
        <v>100</v>
      </c>
      <c r="E123" s="214" t="str">
        <f t="shared" si="8"/>
        <v xml:space="preserve"> </v>
      </c>
      <c r="F123" s="216" t="s">
        <v>2</v>
      </c>
      <c r="G123" s="217" t="str">
        <f t="shared" si="9"/>
        <v xml:space="preserve"> </v>
      </c>
      <c r="H123" s="214" t="s">
        <v>2</v>
      </c>
      <c r="I123" s="215" t="s">
        <v>2</v>
      </c>
      <c r="J123" s="215" t="s">
        <v>2</v>
      </c>
      <c r="K123" s="214">
        <v>100</v>
      </c>
      <c r="L123" s="214" t="str">
        <f t="shared" si="10"/>
        <v xml:space="preserve"> </v>
      </c>
      <c r="M123" s="216" t="s">
        <v>2</v>
      </c>
      <c r="N123" s="217" t="str">
        <f t="shared" si="13"/>
        <v xml:space="preserve">0 </v>
      </c>
      <c r="O123" s="217" t="s">
        <v>546</v>
      </c>
      <c r="P123" s="219">
        <f t="array" ref="P123">IFERROR(SUM(N123*50%,N123,10,G123*50%+G123,O123),)</f>
        <v>0</v>
      </c>
      <c r="Q123" s="214" t="s">
        <v>2</v>
      </c>
      <c r="R123" s="217" t="s">
        <v>2</v>
      </c>
      <c r="S123" s="214" t="s">
        <v>2</v>
      </c>
      <c r="T123" s="220">
        <v>0</v>
      </c>
      <c r="U123" s="217">
        <v>0</v>
      </c>
      <c r="V123" s="221" t="s">
        <v>548</v>
      </c>
      <c r="W123" s="217">
        <v>0</v>
      </c>
      <c r="X123" s="217" t="s">
        <v>548</v>
      </c>
      <c r="Y123" s="217" t="s">
        <v>548</v>
      </c>
      <c r="Z123" s="222">
        <f t="shared" si="11"/>
        <v>0</v>
      </c>
      <c r="AB123" s="217">
        <v>0</v>
      </c>
      <c r="AD123" s="223">
        <f t="shared" si="12"/>
        <v>0</v>
      </c>
    </row>
    <row r="124" spans="1:30">
      <c r="A124" s="214" t="s">
        <v>2</v>
      </c>
      <c r="B124" s="215" t="s">
        <v>546</v>
      </c>
      <c r="C124" s="215" t="s">
        <v>546</v>
      </c>
      <c r="D124" s="214">
        <v>100</v>
      </c>
      <c r="E124" s="214" t="str">
        <f t="shared" si="8"/>
        <v xml:space="preserve"> </v>
      </c>
      <c r="F124" s="216" t="s">
        <v>2</v>
      </c>
      <c r="G124" s="217" t="str">
        <f t="shared" si="9"/>
        <v xml:space="preserve"> </v>
      </c>
      <c r="H124" s="214" t="s">
        <v>2</v>
      </c>
      <c r="I124" s="215" t="s">
        <v>2</v>
      </c>
      <c r="J124" s="215" t="s">
        <v>2</v>
      </c>
      <c r="K124" s="214">
        <v>100</v>
      </c>
      <c r="L124" s="214" t="str">
        <f t="shared" si="10"/>
        <v xml:space="preserve"> </v>
      </c>
      <c r="M124" s="216" t="s">
        <v>2</v>
      </c>
      <c r="N124" s="217" t="str">
        <f t="shared" si="13"/>
        <v xml:space="preserve">0 </v>
      </c>
      <c r="O124" s="217" t="s">
        <v>546</v>
      </c>
      <c r="P124" s="219">
        <f t="array" ref="P124">IFERROR(SUM(N124*50%,N124,10,G124*50%+G124,O124),)</f>
        <v>0</v>
      </c>
      <c r="Q124" s="214" t="s">
        <v>2</v>
      </c>
      <c r="R124" s="217" t="s">
        <v>2</v>
      </c>
      <c r="S124" s="214" t="s">
        <v>2</v>
      </c>
      <c r="T124" s="220">
        <v>0</v>
      </c>
      <c r="U124" s="217">
        <v>0</v>
      </c>
      <c r="V124" s="221" t="s">
        <v>548</v>
      </c>
      <c r="W124" s="217">
        <v>0</v>
      </c>
      <c r="X124" s="217" t="s">
        <v>548</v>
      </c>
      <c r="Y124" s="217" t="s">
        <v>548</v>
      </c>
      <c r="Z124" s="222">
        <f t="shared" si="11"/>
        <v>0</v>
      </c>
      <c r="AB124" s="217">
        <v>0</v>
      </c>
      <c r="AD124" s="223">
        <f t="shared" si="12"/>
        <v>0</v>
      </c>
    </row>
    <row r="125" spans="1:30">
      <c r="A125" s="214" t="s">
        <v>2</v>
      </c>
      <c r="B125" s="215" t="s">
        <v>546</v>
      </c>
      <c r="C125" s="215" t="s">
        <v>546</v>
      </c>
      <c r="D125" s="214">
        <v>100</v>
      </c>
      <c r="E125" s="214" t="str">
        <f t="shared" si="8"/>
        <v xml:space="preserve"> </v>
      </c>
      <c r="F125" s="216" t="s">
        <v>2</v>
      </c>
      <c r="G125" s="217" t="str">
        <f t="shared" si="9"/>
        <v xml:space="preserve"> </v>
      </c>
      <c r="H125" s="214" t="s">
        <v>2</v>
      </c>
      <c r="I125" s="215" t="s">
        <v>2</v>
      </c>
      <c r="J125" s="215" t="s">
        <v>2</v>
      </c>
      <c r="K125" s="214">
        <v>100</v>
      </c>
      <c r="L125" s="214" t="str">
        <f t="shared" si="10"/>
        <v xml:space="preserve"> </v>
      </c>
      <c r="M125" s="216" t="s">
        <v>2</v>
      </c>
      <c r="N125" s="217" t="str">
        <f t="shared" si="13"/>
        <v xml:space="preserve">0 </v>
      </c>
      <c r="O125" s="217" t="s">
        <v>546</v>
      </c>
      <c r="P125" s="219">
        <f t="array" ref="P125">IFERROR(SUM(N125*50%,N125,10,G125*50%+G125,O125),)</f>
        <v>0</v>
      </c>
      <c r="Q125" s="214" t="s">
        <v>2</v>
      </c>
      <c r="R125" s="217" t="s">
        <v>2</v>
      </c>
      <c r="S125" s="214" t="s">
        <v>2</v>
      </c>
      <c r="T125" s="220">
        <v>0</v>
      </c>
      <c r="U125" s="217">
        <v>0</v>
      </c>
      <c r="V125" s="221" t="s">
        <v>548</v>
      </c>
      <c r="W125" s="217">
        <v>0</v>
      </c>
      <c r="X125" s="217" t="s">
        <v>548</v>
      </c>
      <c r="Y125" s="217" t="s">
        <v>548</v>
      </c>
      <c r="Z125" s="222">
        <f t="shared" si="11"/>
        <v>0</v>
      </c>
      <c r="AB125" s="217">
        <v>0</v>
      </c>
      <c r="AD125" s="223">
        <f t="shared" si="12"/>
        <v>0</v>
      </c>
    </row>
    <row r="126" spans="1:30">
      <c r="A126" s="214" t="s">
        <v>2</v>
      </c>
      <c r="B126" s="215" t="s">
        <v>546</v>
      </c>
      <c r="C126" s="215" t="s">
        <v>546</v>
      </c>
      <c r="D126" s="214">
        <v>100</v>
      </c>
      <c r="E126" s="214" t="str">
        <f t="shared" si="8"/>
        <v xml:space="preserve"> </v>
      </c>
      <c r="F126" s="216" t="s">
        <v>2</v>
      </c>
      <c r="G126" s="217" t="str">
        <f t="shared" si="9"/>
        <v xml:space="preserve"> </v>
      </c>
      <c r="H126" s="214" t="s">
        <v>2</v>
      </c>
      <c r="I126" s="215" t="s">
        <v>2</v>
      </c>
      <c r="J126" s="215" t="s">
        <v>2</v>
      </c>
      <c r="K126" s="214">
        <v>100</v>
      </c>
      <c r="L126" s="214" t="str">
        <f t="shared" si="10"/>
        <v xml:space="preserve"> </v>
      </c>
      <c r="M126" s="216" t="s">
        <v>2</v>
      </c>
      <c r="N126" s="217" t="str">
        <f t="shared" si="13"/>
        <v xml:space="preserve">0 </v>
      </c>
      <c r="O126" s="217" t="s">
        <v>546</v>
      </c>
      <c r="P126" s="219">
        <f t="array" ref="P126">IFERROR(SUM(N126*50%,N126,10,G126*50%+G126,O126),)</f>
        <v>0</v>
      </c>
      <c r="Q126" s="214" t="s">
        <v>2</v>
      </c>
      <c r="R126" s="217" t="s">
        <v>2</v>
      </c>
      <c r="S126" s="214" t="s">
        <v>2</v>
      </c>
      <c r="T126" s="220">
        <v>0</v>
      </c>
      <c r="U126" s="217">
        <v>0</v>
      </c>
      <c r="V126" s="221" t="s">
        <v>548</v>
      </c>
      <c r="W126" s="217">
        <v>0</v>
      </c>
      <c r="X126" s="217" t="s">
        <v>548</v>
      </c>
      <c r="Y126" s="217" t="s">
        <v>548</v>
      </c>
      <c r="Z126" s="222">
        <f t="shared" si="11"/>
        <v>0</v>
      </c>
      <c r="AB126" s="217">
        <v>0</v>
      </c>
      <c r="AD126" s="223">
        <f t="shared" si="12"/>
        <v>0</v>
      </c>
    </row>
    <row r="127" spans="1:30">
      <c r="A127" s="214" t="s">
        <v>2</v>
      </c>
      <c r="B127" s="215" t="s">
        <v>546</v>
      </c>
      <c r="C127" s="215" t="s">
        <v>546</v>
      </c>
      <c r="D127" s="214">
        <v>100</v>
      </c>
      <c r="E127" s="214" t="str">
        <f t="shared" si="8"/>
        <v xml:space="preserve"> </v>
      </c>
      <c r="F127" s="216" t="s">
        <v>2</v>
      </c>
      <c r="G127" s="217" t="str">
        <f t="shared" si="9"/>
        <v xml:space="preserve"> </v>
      </c>
      <c r="H127" s="214" t="s">
        <v>2</v>
      </c>
      <c r="I127" s="215" t="s">
        <v>2</v>
      </c>
      <c r="J127" s="215" t="s">
        <v>2</v>
      </c>
      <c r="K127" s="214">
        <v>100</v>
      </c>
      <c r="L127" s="214" t="str">
        <f t="shared" si="10"/>
        <v xml:space="preserve"> </v>
      </c>
      <c r="M127" s="216" t="s">
        <v>2</v>
      </c>
      <c r="N127" s="217" t="str">
        <f t="shared" si="13"/>
        <v xml:space="preserve">0 </v>
      </c>
      <c r="O127" s="217" t="s">
        <v>546</v>
      </c>
      <c r="P127" s="219">
        <f t="array" ref="P127">IFERROR(SUM(N127*50%,N127,10,G127*50%+G127,O127),)</f>
        <v>0</v>
      </c>
      <c r="Q127" s="214" t="s">
        <v>2</v>
      </c>
      <c r="R127" s="217" t="s">
        <v>2</v>
      </c>
      <c r="S127" s="214" t="s">
        <v>2</v>
      </c>
      <c r="T127" s="220">
        <v>0</v>
      </c>
      <c r="U127" s="217">
        <v>0</v>
      </c>
      <c r="V127" s="221" t="s">
        <v>548</v>
      </c>
      <c r="W127" s="217">
        <v>0</v>
      </c>
      <c r="X127" s="217" t="s">
        <v>548</v>
      </c>
      <c r="Y127" s="217" t="s">
        <v>548</v>
      </c>
      <c r="Z127" s="222">
        <f t="shared" si="11"/>
        <v>0</v>
      </c>
      <c r="AB127" s="217">
        <v>0</v>
      </c>
      <c r="AD127" s="223">
        <f t="shared" si="12"/>
        <v>0</v>
      </c>
    </row>
    <row r="128" spans="1:30">
      <c r="A128" s="214" t="s">
        <v>2</v>
      </c>
      <c r="B128" s="215" t="s">
        <v>546</v>
      </c>
      <c r="C128" s="215" t="s">
        <v>546</v>
      </c>
      <c r="D128" s="214">
        <v>100</v>
      </c>
      <c r="E128" s="214" t="str">
        <f t="shared" si="8"/>
        <v xml:space="preserve"> </v>
      </c>
      <c r="F128" s="216" t="s">
        <v>2</v>
      </c>
      <c r="G128" s="217" t="str">
        <f t="shared" si="9"/>
        <v xml:space="preserve"> </v>
      </c>
      <c r="H128" s="214" t="s">
        <v>2</v>
      </c>
      <c r="I128" s="215" t="s">
        <v>2</v>
      </c>
      <c r="J128" s="215" t="s">
        <v>2</v>
      </c>
      <c r="K128" s="214">
        <v>100</v>
      </c>
      <c r="L128" s="214" t="str">
        <f t="shared" si="10"/>
        <v xml:space="preserve"> </v>
      </c>
      <c r="M128" s="216" t="s">
        <v>2</v>
      </c>
      <c r="N128" s="217" t="str">
        <f t="shared" si="13"/>
        <v xml:space="preserve">0 </v>
      </c>
      <c r="O128" s="217" t="s">
        <v>546</v>
      </c>
      <c r="P128" s="219">
        <f t="array" ref="P128">IFERROR(SUM(N128*50%,N128,10,G128*50%+G128,O128),)</f>
        <v>0</v>
      </c>
      <c r="Q128" s="214" t="s">
        <v>2</v>
      </c>
      <c r="R128" s="217" t="s">
        <v>2</v>
      </c>
      <c r="S128" s="214" t="s">
        <v>2</v>
      </c>
      <c r="T128" s="220">
        <v>0</v>
      </c>
      <c r="U128" s="217">
        <v>0</v>
      </c>
      <c r="V128" s="221" t="s">
        <v>548</v>
      </c>
      <c r="W128" s="217">
        <v>0</v>
      </c>
      <c r="X128" s="217" t="s">
        <v>548</v>
      </c>
      <c r="Y128" s="217" t="s">
        <v>548</v>
      </c>
      <c r="Z128" s="222">
        <f t="shared" si="11"/>
        <v>0</v>
      </c>
      <c r="AB128" s="217">
        <v>0</v>
      </c>
      <c r="AD128" s="223">
        <f t="shared" si="12"/>
        <v>0</v>
      </c>
    </row>
    <row r="129" spans="1:30">
      <c r="A129" s="214" t="s">
        <v>2</v>
      </c>
      <c r="B129" s="215" t="s">
        <v>546</v>
      </c>
      <c r="C129" s="215" t="s">
        <v>546</v>
      </c>
      <c r="D129" s="214">
        <v>100</v>
      </c>
      <c r="E129" s="214" t="str">
        <f t="shared" si="8"/>
        <v xml:space="preserve"> </v>
      </c>
      <c r="F129" s="216" t="s">
        <v>2</v>
      </c>
      <c r="G129" s="217" t="str">
        <f t="shared" si="9"/>
        <v xml:space="preserve"> </v>
      </c>
      <c r="H129" s="214" t="s">
        <v>2</v>
      </c>
      <c r="I129" s="215" t="s">
        <v>2</v>
      </c>
      <c r="J129" s="215" t="s">
        <v>2</v>
      </c>
      <c r="K129" s="214">
        <v>100</v>
      </c>
      <c r="L129" s="214" t="str">
        <f t="shared" si="10"/>
        <v xml:space="preserve"> </v>
      </c>
      <c r="M129" s="216" t="s">
        <v>2</v>
      </c>
      <c r="N129" s="217" t="str">
        <f t="shared" si="13"/>
        <v xml:space="preserve">0 </v>
      </c>
      <c r="O129" s="217" t="s">
        <v>546</v>
      </c>
      <c r="P129" s="219">
        <f t="array" ref="P129">IFERROR(SUM(N129*50%,N129,10,G129*50%+G129,O129),)</f>
        <v>0</v>
      </c>
      <c r="Q129" s="214" t="s">
        <v>2</v>
      </c>
      <c r="R129" s="217" t="s">
        <v>2</v>
      </c>
      <c r="S129" s="214" t="s">
        <v>2</v>
      </c>
      <c r="T129" s="220">
        <v>0</v>
      </c>
      <c r="U129" s="217">
        <v>0</v>
      </c>
      <c r="V129" s="221" t="s">
        <v>548</v>
      </c>
      <c r="W129" s="217">
        <v>0</v>
      </c>
      <c r="X129" s="217" t="s">
        <v>548</v>
      </c>
      <c r="Y129" s="217" t="s">
        <v>548</v>
      </c>
      <c r="Z129" s="222">
        <f t="shared" si="11"/>
        <v>0</v>
      </c>
      <c r="AB129" s="217">
        <v>0</v>
      </c>
      <c r="AD129" s="223">
        <f t="shared" si="12"/>
        <v>0</v>
      </c>
    </row>
    <row r="130" spans="1:30">
      <c r="A130" s="214" t="s">
        <v>2</v>
      </c>
      <c r="B130" s="215" t="s">
        <v>546</v>
      </c>
      <c r="C130" s="215" t="s">
        <v>546</v>
      </c>
      <c r="D130" s="214">
        <v>100</v>
      </c>
      <c r="E130" s="214" t="str">
        <f t="shared" si="8"/>
        <v xml:space="preserve"> </v>
      </c>
      <c r="F130" s="216" t="s">
        <v>2</v>
      </c>
      <c r="G130" s="217" t="str">
        <f t="shared" si="9"/>
        <v xml:space="preserve"> </v>
      </c>
      <c r="H130" s="214" t="s">
        <v>2</v>
      </c>
      <c r="I130" s="215" t="s">
        <v>2</v>
      </c>
      <c r="J130" s="215" t="s">
        <v>2</v>
      </c>
      <c r="K130" s="214">
        <v>100</v>
      </c>
      <c r="L130" s="214" t="str">
        <f t="shared" si="10"/>
        <v xml:space="preserve"> </v>
      </c>
      <c r="M130" s="216" t="s">
        <v>2</v>
      </c>
      <c r="N130" s="217" t="str">
        <f t="shared" si="13"/>
        <v xml:space="preserve">0 </v>
      </c>
      <c r="O130" s="217" t="s">
        <v>546</v>
      </c>
      <c r="P130" s="219">
        <f t="array" ref="P130">IFERROR(SUM(N130*50%,N130,10,G130*50%+G130,O130),)</f>
        <v>0</v>
      </c>
      <c r="Q130" s="214" t="s">
        <v>2</v>
      </c>
      <c r="R130" s="217" t="s">
        <v>2</v>
      </c>
      <c r="S130" s="214" t="s">
        <v>2</v>
      </c>
      <c r="T130" s="220">
        <v>0</v>
      </c>
      <c r="U130" s="217">
        <v>0</v>
      </c>
      <c r="V130" s="221" t="s">
        <v>548</v>
      </c>
      <c r="W130" s="217">
        <v>0</v>
      </c>
      <c r="X130" s="217" t="s">
        <v>548</v>
      </c>
      <c r="Y130" s="217" t="s">
        <v>548</v>
      </c>
      <c r="Z130" s="222">
        <f t="shared" si="11"/>
        <v>0</v>
      </c>
      <c r="AB130" s="217">
        <v>0</v>
      </c>
      <c r="AD130" s="223">
        <f t="shared" si="12"/>
        <v>0</v>
      </c>
    </row>
    <row r="131" spans="1:30">
      <c r="A131" s="214" t="s">
        <v>2</v>
      </c>
      <c r="B131" s="215" t="s">
        <v>546</v>
      </c>
      <c r="C131" s="215" t="s">
        <v>546</v>
      </c>
      <c r="D131" s="214">
        <v>100</v>
      </c>
      <c r="E131" s="214" t="str">
        <f t="shared" ref="E131:E194" si="14">IFERROR(SUM(B131*C131*D131/1000000000)," ")</f>
        <v xml:space="preserve"> </v>
      </c>
      <c r="F131" s="216" t="s">
        <v>2</v>
      </c>
      <c r="G131" s="217" t="str">
        <f t="shared" ref="G131:G194" si="15">IFERROR(SUM(E131*F131)," ")</f>
        <v xml:space="preserve"> </v>
      </c>
      <c r="H131" s="214" t="s">
        <v>2</v>
      </c>
      <c r="I131" s="215" t="s">
        <v>2</v>
      </c>
      <c r="J131" s="215" t="s">
        <v>2</v>
      </c>
      <c r="K131" s="214">
        <v>100</v>
      </c>
      <c r="L131" s="214" t="str">
        <f t="shared" si="10"/>
        <v xml:space="preserve"> </v>
      </c>
      <c r="M131" s="216" t="s">
        <v>2</v>
      </c>
      <c r="N131" s="217" t="str">
        <f t="shared" si="13"/>
        <v xml:space="preserve">0 </v>
      </c>
      <c r="O131" s="217" t="s">
        <v>546</v>
      </c>
      <c r="P131" s="219">
        <f t="array" ref="P131">IFERROR(SUM(N131*50%,N131,10,G131*50%+G131,O131),)</f>
        <v>0</v>
      </c>
      <c r="Q131" s="214" t="s">
        <v>2</v>
      </c>
      <c r="R131" s="217" t="s">
        <v>2</v>
      </c>
      <c r="S131" s="214" t="s">
        <v>2</v>
      </c>
      <c r="T131" s="220">
        <v>0</v>
      </c>
      <c r="U131" s="217">
        <v>0</v>
      </c>
      <c r="V131" s="221" t="s">
        <v>548</v>
      </c>
      <c r="W131" s="217">
        <v>0</v>
      </c>
      <c r="X131" s="217" t="s">
        <v>548</v>
      </c>
      <c r="Y131" s="217" t="s">
        <v>548</v>
      </c>
      <c r="Z131" s="222">
        <f t="shared" si="11"/>
        <v>0</v>
      </c>
      <c r="AB131" s="217">
        <v>0</v>
      </c>
      <c r="AD131" s="223">
        <f t="shared" si="12"/>
        <v>0</v>
      </c>
    </row>
    <row r="132" spans="1:30">
      <c r="A132" s="214" t="s">
        <v>2</v>
      </c>
      <c r="B132" s="215" t="s">
        <v>546</v>
      </c>
      <c r="C132" s="215" t="s">
        <v>546</v>
      </c>
      <c r="D132" s="214">
        <v>100</v>
      </c>
      <c r="E132" s="214" t="str">
        <f t="shared" si="14"/>
        <v xml:space="preserve"> </v>
      </c>
      <c r="F132" s="216" t="s">
        <v>2</v>
      </c>
      <c r="G132" s="217" t="str">
        <f t="shared" si="15"/>
        <v xml:space="preserve"> </v>
      </c>
      <c r="H132" s="214" t="s">
        <v>2</v>
      </c>
      <c r="I132" s="215" t="s">
        <v>2</v>
      </c>
      <c r="J132" s="215" t="s">
        <v>2</v>
      </c>
      <c r="K132" s="214">
        <v>100</v>
      </c>
      <c r="L132" s="214" t="str">
        <f t="shared" ref="L132:L195" si="16">IFERROR(SUM(I132*J132*K132/1000000000)," ")</f>
        <v xml:space="preserve"> </v>
      </c>
      <c r="M132" s="216" t="s">
        <v>2</v>
      </c>
      <c r="N132" s="217" t="str">
        <f t="shared" si="13"/>
        <v xml:space="preserve">0 </v>
      </c>
      <c r="O132" s="217" t="s">
        <v>546</v>
      </c>
      <c r="P132" s="219">
        <f t="array" ref="P132">IFERROR(SUM(N132*50%,N132,10,G132*50%+G132,O132),)</f>
        <v>0</v>
      </c>
      <c r="Q132" s="214" t="s">
        <v>2</v>
      </c>
      <c r="R132" s="217" t="s">
        <v>2</v>
      </c>
      <c r="S132" s="214" t="s">
        <v>2</v>
      </c>
      <c r="T132" s="220">
        <v>0</v>
      </c>
      <c r="U132" s="217">
        <v>0</v>
      </c>
      <c r="V132" s="221" t="s">
        <v>548</v>
      </c>
      <c r="W132" s="217">
        <v>0</v>
      </c>
      <c r="X132" s="217" t="s">
        <v>548</v>
      </c>
      <c r="Y132" s="217" t="s">
        <v>548</v>
      </c>
      <c r="Z132" s="222">
        <f t="shared" ref="Z132:Z195" si="17">IFERROR(SUM(T132+W132+X132+Y132+U132+P132+R132),)</f>
        <v>0</v>
      </c>
      <c r="AB132" s="217">
        <v>0</v>
      </c>
      <c r="AD132" s="223">
        <f t="shared" si="12"/>
        <v>0</v>
      </c>
    </row>
    <row r="133" spans="1:30">
      <c r="A133" s="214" t="s">
        <v>2</v>
      </c>
      <c r="B133" s="215" t="s">
        <v>546</v>
      </c>
      <c r="C133" s="215" t="s">
        <v>546</v>
      </c>
      <c r="D133" s="214">
        <v>100</v>
      </c>
      <c r="E133" s="214" t="str">
        <f t="shared" si="14"/>
        <v xml:space="preserve"> </v>
      </c>
      <c r="F133" s="216" t="s">
        <v>2</v>
      </c>
      <c r="G133" s="217" t="str">
        <f t="shared" si="15"/>
        <v xml:space="preserve"> </v>
      </c>
      <c r="H133" s="214" t="s">
        <v>2</v>
      </c>
      <c r="I133" s="215" t="s">
        <v>2</v>
      </c>
      <c r="J133" s="215" t="s">
        <v>2</v>
      </c>
      <c r="K133" s="214">
        <v>100</v>
      </c>
      <c r="L133" s="214" t="str">
        <f t="shared" si="16"/>
        <v xml:space="preserve"> </v>
      </c>
      <c r="M133" s="216" t="s">
        <v>2</v>
      </c>
      <c r="N133" s="217" t="str">
        <f t="shared" si="13"/>
        <v xml:space="preserve">0 </v>
      </c>
      <c r="O133" s="217" t="s">
        <v>546</v>
      </c>
      <c r="P133" s="219">
        <f t="array" ref="P133">IFERROR(SUM(N133*50%,N133,10,G133*50%+G133,O133),)</f>
        <v>0</v>
      </c>
      <c r="Q133" s="214" t="s">
        <v>2</v>
      </c>
      <c r="R133" s="217" t="s">
        <v>2</v>
      </c>
      <c r="S133" s="214" t="s">
        <v>2</v>
      </c>
      <c r="T133" s="220">
        <v>0</v>
      </c>
      <c r="U133" s="217">
        <v>0</v>
      </c>
      <c r="V133" s="221" t="s">
        <v>548</v>
      </c>
      <c r="W133" s="217">
        <v>0</v>
      </c>
      <c r="X133" s="217" t="s">
        <v>548</v>
      </c>
      <c r="Y133" s="217" t="s">
        <v>548</v>
      </c>
      <c r="Z133" s="222">
        <f t="shared" si="17"/>
        <v>0</v>
      </c>
      <c r="AB133" s="217">
        <v>0</v>
      </c>
      <c r="AD133" s="223">
        <f t="shared" si="12"/>
        <v>0</v>
      </c>
    </row>
    <row r="134" spans="1:30">
      <c r="A134" s="214" t="s">
        <v>2</v>
      </c>
      <c r="B134" s="215" t="s">
        <v>546</v>
      </c>
      <c r="C134" s="215" t="s">
        <v>546</v>
      </c>
      <c r="D134" s="214">
        <v>100</v>
      </c>
      <c r="E134" s="214" t="str">
        <f t="shared" si="14"/>
        <v xml:space="preserve"> </v>
      </c>
      <c r="F134" s="216" t="s">
        <v>2</v>
      </c>
      <c r="G134" s="217" t="str">
        <f t="shared" si="15"/>
        <v xml:space="preserve"> </v>
      </c>
      <c r="H134" s="214" t="s">
        <v>2</v>
      </c>
      <c r="I134" s="215" t="s">
        <v>2</v>
      </c>
      <c r="J134" s="215" t="s">
        <v>2</v>
      </c>
      <c r="K134" s="214">
        <v>100</v>
      </c>
      <c r="L134" s="214" t="str">
        <f t="shared" si="16"/>
        <v xml:space="preserve"> </v>
      </c>
      <c r="M134" s="216" t="s">
        <v>2</v>
      </c>
      <c r="N134" s="217" t="str">
        <f t="shared" si="13"/>
        <v xml:space="preserve">0 </v>
      </c>
      <c r="O134" s="217" t="s">
        <v>546</v>
      </c>
      <c r="P134" s="219">
        <f t="array" ref="P134">IFERROR(SUM(N134*50%,N134,10,G134*50%+G134,O134),)</f>
        <v>0</v>
      </c>
      <c r="Q134" s="214" t="s">
        <v>2</v>
      </c>
      <c r="R134" s="217" t="s">
        <v>2</v>
      </c>
      <c r="S134" s="214" t="s">
        <v>2</v>
      </c>
      <c r="T134" s="220">
        <v>0</v>
      </c>
      <c r="U134" s="217">
        <v>0</v>
      </c>
      <c r="V134" s="221" t="s">
        <v>548</v>
      </c>
      <c r="W134" s="217">
        <v>0</v>
      </c>
      <c r="X134" s="217" t="s">
        <v>548</v>
      </c>
      <c r="Y134" s="217" t="s">
        <v>548</v>
      </c>
      <c r="Z134" s="222">
        <f t="shared" si="17"/>
        <v>0</v>
      </c>
      <c r="AB134" s="217">
        <v>0</v>
      </c>
      <c r="AD134" s="223">
        <f t="shared" si="12"/>
        <v>0</v>
      </c>
    </row>
    <row r="135" spans="1:30">
      <c r="A135" s="214" t="s">
        <v>2</v>
      </c>
      <c r="B135" s="215" t="s">
        <v>546</v>
      </c>
      <c r="C135" s="215" t="s">
        <v>546</v>
      </c>
      <c r="D135" s="214">
        <v>100</v>
      </c>
      <c r="E135" s="214" t="str">
        <f t="shared" si="14"/>
        <v xml:space="preserve"> </v>
      </c>
      <c r="F135" s="216" t="s">
        <v>2</v>
      </c>
      <c r="G135" s="217" t="str">
        <f t="shared" si="15"/>
        <v xml:space="preserve"> </v>
      </c>
      <c r="H135" s="214" t="s">
        <v>2</v>
      </c>
      <c r="I135" s="215" t="s">
        <v>2</v>
      </c>
      <c r="J135" s="215" t="s">
        <v>2</v>
      </c>
      <c r="K135" s="214">
        <v>100</v>
      </c>
      <c r="L135" s="214" t="str">
        <f t="shared" si="16"/>
        <v xml:space="preserve"> </v>
      </c>
      <c r="M135" s="216" t="s">
        <v>2</v>
      </c>
      <c r="N135" s="217" t="str">
        <f t="shared" si="13"/>
        <v xml:space="preserve">0 </v>
      </c>
      <c r="O135" s="217" t="s">
        <v>546</v>
      </c>
      <c r="P135" s="219">
        <f t="array" ref="P135">IFERROR(SUM(N135*50%,N135,10,G135*50%+G135,O135),)</f>
        <v>0</v>
      </c>
      <c r="Q135" s="214" t="s">
        <v>2</v>
      </c>
      <c r="R135" s="217" t="s">
        <v>2</v>
      </c>
      <c r="S135" s="214" t="s">
        <v>2</v>
      </c>
      <c r="T135" s="220">
        <v>0</v>
      </c>
      <c r="U135" s="217">
        <v>0</v>
      </c>
      <c r="V135" s="221" t="s">
        <v>548</v>
      </c>
      <c r="W135" s="217">
        <v>0</v>
      </c>
      <c r="X135" s="217" t="s">
        <v>548</v>
      </c>
      <c r="Y135" s="217" t="s">
        <v>548</v>
      </c>
      <c r="Z135" s="222">
        <f t="shared" si="17"/>
        <v>0</v>
      </c>
      <c r="AB135" s="217">
        <v>0</v>
      </c>
      <c r="AD135" s="223">
        <f t="shared" si="12"/>
        <v>0</v>
      </c>
    </row>
    <row r="136" spans="1:30">
      <c r="A136" s="214" t="s">
        <v>2</v>
      </c>
      <c r="B136" s="215" t="s">
        <v>546</v>
      </c>
      <c r="C136" s="215" t="s">
        <v>546</v>
      </c>
      <c r="D136" s="214">
        <v>100</v>
      </c>
      <c r="E136" s="214" t="str">
        <f t="shared" si="14"/>
        <v xml:space="preserve"> </v>
      </c>
      <c r="F136" s="216" t="s">
        <v>2</v>
      </c>
      <c r="G136" s="217" t="str">
        <f t="shared" si="15"/>
        <v xml:space="preserve"> </v>
      </c>
      <c r="H136" s="214" t="s">
        <v>2</v>
      </c>
      <c r="I136" s="215" t="s">
        <v>2</v>
      </c>
      <c r="J136" s="215" t="s">
        <v>2</v>
      </c>
      <c r="K136" s="214">
        <v>100</v>
      </c>
      <c r="L136" s="214" t="str">
        <f t="shared" si="16"/>
        <v xml:space="preserve"> </v>
      </c>
      <c r="M136" s="216" t="s">
        <v>2</v>
      </c>
      <c r="N136" s="217" t="str">
        <f t="shared" si="13"/>
        <v xml:space="preserve">0 </v>
      </c>
      <c r="O136" s="217" t="s">
        <v>546</v>
      </c>
      <c r="P136" s="219">
        <f t="array" ref="P136">IFERROR(SUM(N136*50%,N136,10,G136*50%+G136,O136),)</f>
        <v>0</v>
      </c>
      <c r="Q136" s="214" t="s">
        <v>2</v>
      </c>
      <c r="R136" s="217" t="s">
        <v>2</v>
      </c>
      <c r="S136" s="214" t="s">
        <v>2</v>
      </c>
      <c r="T136" s="220">
        <v>0</v>
      </c>
      <c r="U136" s="217">
        <v>0</v>
      </c>
      <c r="V136" s="221" t="s">
        <v>548</v>
      </c>
      <c r="W136" s="217">
        <v>0</v>
      </c>
      <c r="X136" s="217" t="s">
        <v>548</v>
      </c>
      <c r="Y136" s="217" t="s">
        <v>548</v>
      </c>
      <c r="Z136" s="222">
        <f t="shared" si="17"/>
        <v>0</v>
      </c>
      <c r="AB136" s="217">
        <v>0</v>
      </c>
      <c r="AD136" s="223">
        <f t="shared" si="12"/>
        <v>0</v>
      </c>
    </row>
    <row r="137" spans="1:30">
      <c r="A137" s="214" t="s">
        <v>2</v>
      </c>
      <c r="B137" s="215" t="s">
        <v>546</v>
      </c>
      <c r="C137" s="215" t="s">
        <v>546</v>
      </c>
      <c r="D137" s="214">
        <v>100</v>
      </c>
      <c r="E137" s="214" t="str">
        <f t="shared" si="14"/>
        <v xml:space="preserve"> </v>
      </c>
      <c r="F137" s="216" t="s">
        <v>2</v>
      </c>
      <c r="G137" s="217" t="str">
        <f t="shared" si="15"/>
        <v xml:space="preserve"> </v>
      </c>
      <c r="H137" s="214" t="s">
        <v>2</v>
      </c>
      <c r="I137" s="215" t="s">
        <v>2</v>
      </c>
      <c r="J137" s="215" t="s">
        <v>2</v>
      </c>
      <c r="K137" s="214">
        <v>100</v>
      </c>
      <c r="L137" s="214" t="str">
        <f t="shared" si="16"/>
        <v xml:space="preserve"> </v>
      </c>
      <c r="M137" s="216" t="s">
        <v>2</v>
      </c>
      <c r="N137" s="217" t="str">
        <f t="shared" si="13"/>
        <v xml:space="preserve">0 </v>
      </c>
      <c r="O137" s="217" t="s">
        <v>546</v>
      </c>
      <c r="P137" s="219">
        <f t="array" ref="P137">IFERROR(SUM(N137*50%,N137,10,G137*50%+G137,O137),)</f>
        <v>0</v>
      </c>
      <c r="Q137" s="214" t="s">
        <v>2</v>
      </c>
      <c r="R137" s="217" t="s">
        <v>2</v>
      </c>
      <c r="S137" s="214" t="s">
        <v>2</v>
      </c>
      <c r="T137" s="220">
        <v>0</v>
      </c>
      <c r="U137" s="217">
        <v>0</v>
      </c>
      <c r="V137" s="221" t="s">
        <v>548</v>
      </c>
      <c r="W137" s="217">
        <v>0</v>
      </c>
      <c r="X137" s="217" t="s">
        <v>548</v>
      </c>
      <c r="Y137" s="217" t="s">
        <v>548</v>
      </c>
      <c r="Z137" s="222">
        <f t="shared" si="17"/>
        <v>0</v>
      </c>
      <c r="AB137" s="217">
        <v>0</v>
      </c>
      <c r="AD137" s="223">
        <f t="shared" si="12"/>
        <v>0</v>
      </c>
    </row>
    <row r="138" spans="1:30">
      <c r="A138" s="214" t="s">
        <v>2</v>
      </c>
      <c r="B138" s="215" t="s">
        <v>546</v>
      </c>
      <c r="C138" s="215" t="s">
        <v>546</v>
      </c>
      <c r="D138" s="214">
        <v>100</v>
      </c>
      <c r="E138" s="214" t="str">
        <f t="shared" si="14"/>
        <v xml:space="preserve"> </v>
      </c>
      <c r="F138" s="216" t="s">
        <v>2</v>
      </c>
      <c r="G138" s="217" t="str">
        <f t="shared" si="15"/>
        <v xml:space="preserve"> </v>
      </c>
      <c r="H138" s="214" t="s">
        <v>2</v>
      </c>
      <c r="I138" s="215" t="s">
        <v>2</v>
      </c>
      <c r="J138" s="215" t="s">
        <v>2</v>
      </c>
      <c r="K138" s="214">
        <v>100</v>
      </c>
      <c r="L138" s="214" t="str">
        <f t="shared" si="16"/>
        <v xml:space="preserve"> </v>
      </c>
      <c r="M138" s="216" t="s">
        <v>2</v>
      </c>
      <c r="N138" s="217" t="str">
        <f t="shared" si="13"/>
        <v xml:space="preserve">0 </v>
      </c>
      <c r="O138" s="217" t="s">
        <v>546</v>
      </c>
      <c r="P138" s="219">
        <f t="array" ref="P138">IFERROR(SUM(N138*50%,N138,10,G138*50%+G138,O138),)</f>
        <v>0</v>
      </c>
      <c r="Q138" s="214" t="s">
        <v>2</v>
      </c>
      <c r="R138" s="217" t="s">
        <v>2</v>
      </c>
      <c r="S138" s="214" t="s">
        <v>2</v>
      </c>
      <c r="T138" s="220">
        <v>0</v>
      </c>
      <c r="U138" s="217">
        <v>0</v>
      </c>
      <c r="V138" s="221" t="s">
        <v>548</v>
      </c>
      <c r="W138" s="217">
        <v>0</v>
      </c>
      <c r="X138" s="217" t="s">
        <v>548</v>
      </c>
      <c r="Y138" s="217" t="s">
        <v>548</v>
      </c>
      <c r="Z138" s="222">
        <f t="shared" si="17"/>
        <v>0</v>
      </c>
      <c r="AB138" s="217">
        <v>0</v>
      </c>
      <c r="AD138" s="223">
        <f t="shared" si="12"/>
        <v>0</v>
      </c>
    </row>
    <row r="139" spans="1:30">
      <c r="A139" s="214" t="s">
        <v>2</v>
      </c>
      <c r="B139" s="215" t="s">
        <v>546</v>
      </c>
      <c r="C139" s="215" t="s">
        <v>546</v>
      </c>
      <c r="D139" s="214">
        <v>100</v>
      </c>
      <c r="E139" s="214" t="str">
        <f t="shared" si="14"/>
        <v xml:space="preserve"> </v>
      </c>
      <c r="F139" s="216" t="s">
        <v>2</v>
      </c>
      <c r="G139" s="217" t="str">
        <f t="shared" si="15"/>
        <v xml:space="preserve"> </v>
      </c>
      <c r="H139" s="214" t="s">
        <v>2</v>
      </c>
      <c r="I139" s="215" t="s">
        <v>2</v>
      </c>
      <c r="J139" s="215" t="s">
        <v>2</v>
      </c>
      <c r="K139" s="214">
        <v>100</v>
      </c>
      <c r="L139" s="214" t="str">
        <f t="shared" si="16"/>
        <v xml:space="preserve"> </v>
      </c>
      <c r="M139" s="216" t="s">
        <v>2</v>
      </c>
      <c r="N139" s="217" t="str">
        <f t="shared" si="13"/>
        <v xml:space="preserve">0 </v>
      </c>
      <c r="O139" s="217" t="s">
        <v>546</v>
      </c>
      <c r="P139" s="219">
        <f t="array" ref="P139">IFERROR(SUM(N139*50%,N139,10,G139*50%+G139,O139),)</f>
        <v>0</v>
      </c>
      <c r="Q139" s="214" t="s">
        <v>2</v>
      </c>
      <c r="R139" s="217" t="s">
        <v>2</v>
      </c>
      <c r="S139" s="214" t="s">
        <v>2</v>
      </c>
      <c r="T139" s="220">
        <v>0</v>
      </c>
      <c r="U139" s="217">
        <v>0</v>
      </c>
      <c r="V139" s="221" t="s">
        <v>548</v>
      </c>
      <c r="W139" s="217">
        <v>0</v>
      </c>
      <c r="X139" s="217" t="s">
        <v>548</v>
      </c>
      <c r="Y139" s="217" t="s">
        <v>548</v>
      </c>
      <c r="Z139" s="222">
        <f t="shared" si="17"/>
        <v>0</v>
      </c>
      <c r="AB139" s="217">
        <v>0</v>
      </c>
      <c r="AD139" s="223">
        <f t="shared" si="12"/>
        <v>0</v>
      </c>
    </row>
    <row r="140" spans="1:30">
      <c r="A140" s="214" t="s">
        <v>2</v>
      </c>
      <c r="B140" s="215" t="s">
        <v>546</v>
      </c>
      <c r="C140" s="215" t="s">
        <v>546</v>
      </c>
      <c r="D140" s="214">
        <v>100</v>
      </c>
      <c r="E140" s="214" t="str">
        <f t="shared" si="14"/>
        <v xml:space="preserve"> </v>
      </c>
      <c r="F140" s="216" t="s">
        <v>2</v>
      </c>
      <c r="G140" s="217" t="str">
        <f t="shared" si="15"/>
        <v xml:space="preserve"> </v>
      </c>
      <c r="H140" s="214" t="s">
        <v>2</v>
      </c>
      <c r="I140" s="215" t="s">
        <v>2</v>
      </c>
      <c r="J140" s="215" t="s">
        <v>2</v>
      </c>
      <c r="K140" s="214">
        <v>100</v>
      </c>
      <c r="L140" s="214" t="str">
        <f t="shared" si="16"/>
        <v xml:space="preserve"> </v>
      </c>
      <c r="M140" s="216" t="s">
        <v>2</v>
      </c>
      <c r="N140" s="217" t="str">
        <f t="shared" si="13"/>
        <v xml:space="preserve">0 </v>
      </c>
      <c r="O140" s="217" t="s">
        <v>546</v>
      </c>
      <c r="P140" s="219">
        <f t="array" ref="P140">IFERROR(SUM(N140*50%,N140,10,G140*50%+G140,O140),)</f>
        <v>0</v>
      </c>
      <c r="Q140" s="214" t="s">
        <v>2</v>
      </c>
      <c r="R140" s="217" t="s">
        <v>2</v>
      </c>
      <c r="S140" s="214" t="s">
        <v>2</v>
      </c>
      <c r="T140" s="220">
        <v>0</v>
      </c>
      <c r="U140" s="217">
        <v>0</v>
      </c>
      <c r="V140" s="221" t="s">
        <v>548</v>
      </c>
      <c r="W140" s="217">
        <v>0</v>
      </c>
      <c r="X140" s="217" t="s">
        <v>548</v>
      </c>
      <c r="Y140" s="217" t="s">
        <v>548</v>
      </c>
      <c r="Z140" s="222">
        <f t="shared" si="17"/>
        <v>0</v>
      </c>
      <c r="AB140" s="217">
        <v>0</v>
      </c>
      <c r="AD140" s="223">
        <f t="shared" si="12"/>
        <v>0</v>
      </c>
    </row>
    <row r="141" spans="1:30">
      <c r="A141" s="214" t="s">
        <v>2</v>
      </c>
      <c r="B141" s="215" t="s">
        <v>546</v>
      </c>
      <c r="C141" s="215" t="s">
        <v>546</v>
      </c>
      <c r="D141" s="214">
        <v>100</v>
      </c>
      <c r="E141" s="214" t="str">
        <f t="shared" si="14"/>
        <v xml:space="preserve"> </v>
      </c>
      <c r="F141" s="216" t="s">
        <v>2</v>
      </c>
      <c r="G141" s="217" t="str">
        <f t="shared" si="15"/>
        <v xml:space="preserve"> </v>
      </c>
      <c r="H141" s="214" t="s">
        <v>2</v>
      </c>
      <c r="I141" s="215" t="s">
        <v>2</v>
      </c>
      <c r="J141" s="215" t="s">
        <v>2</v>
      </c>
      <c r="K141" s="214">
        <v>100</v>
      </c>
      <c r="L141" s="214" t="str">
        <f t="shared" si="16"/>
        <v xml:space="preserve"> </v>
      </c>
      <c r="M141" s="216" t="s">
        <v>2</v>
      </c>
      <c r="N141" s="217" t="str">
        <f t="shared" si="13"/>
        <v xml:space="preserve">0 </v>
      </c>
      <c r="O141" s="217" t="s">
        <v>546</v>
      </c>
      <c r="P141" s="219">
        <f t="array" ref="P141">IFERROR(SUM(N141*50%,N141,10,G141*50%+G141,O141),)</f>
        <v>0</v>
      </c>
      <c r="Q141" s="214" t="s">
        <v>2</v>
      </c>
      <c r="R141" s="217" t="s">
        <v>2</v>
      </c>
      <c r="S141" s="214" t="s">
        <v>2</v>
      </c>
      <c r="T141" s="220">
        <v>0</v>
      </c>
      <c r="U141" s="217">
        <v>0</v>
      </c>
      <c r="V141" s="221" t="s">
        <v>548</v>
      </c>
      <c r="W141" s="217">
        <v>0</v>
      </c>
      <c r="X141" s="217" t="s">
        <v>548</v>
      </c>
      <c r="Y141" s="217" t="s">
        <v>548</v>
      </c>
      <c r="Z141" s="222">
        <f t="shared" si="17"/>
        <v>0</v>
      </c>
      <c r="AB141" s="217">
        <v>0</v>
      </c>
      <c r="AD141" s="223">
        <f t="shared" si="12"/>
        <v>0</v>
      </c>
    </row>
    <row r="142" spans="1:30">
      <c r="A142" s="214" t="s">
        <v>2</v>
      </c>
      <c r="B142" s="215" t="s">
        <v>546</v>
      </c>
      <c r="C142" s="215" t="s">
        <v>546</v>
      </c>
      <c r="D142" s="214">
        <v>100</v>
      </c>
      <c r="E142" s="214" t="str">
        <f t="shared" si="14"/>
        <v xml:space="preserve"> </v>
      </c>
      <c r="F142" s="216" t="s">
        <v>2</v>
      </c>
      <c r="G142" s="217" t="str">
        <f t="shared" si="15"/>
        <v xml:space="preserve"> </v>
      </c>
      <c r="H142" s="214" t="s">
        <v>2</v>
      </c>
      <c r="I142" s="215" t="s">
        <v>2</v>
      </c>
      <c r="J142" s="215" t="s">
        <v>2</v>
      </c>
      <c r="K142" s="214">
        <v>100</v>
      </c>
      <c r="L142" s="214" t="str">
        <f t="shared" si="16"/>
        <v xml:space="preserve"> </v>
      </c>
      <c r="M142" s="216" t="s">
        <v>2</v>
      </c>
      <c r="N142" s="217" t="str">
        <f t="shared" si="13"/>
        <v xml:space="preserve">0 </v>
      </c>
      <c r="O142" s="217" t="s">
        <v>546</v>
      </c>
      <c r="P142" s="219">
        <f t="array" ref="P142">IFERROR(SUM(N142*50%,N142,10,G142*50%+G142,O142),)</f>
        <v>0</v>
      </c>
      <c r="Q142" s="214" t="s">
        <v>2</v>
      </c>
      <c r="R142" s="217" t="s">
        <v>2</v>
      </c>
      <c r="S142" s="214" t="s">
        <v>2</v>
      </c>
      <c r="T142" s="220">
        <v>0</v>
      </c>
      <c r="U142" s="217">
        <v>0</v>
      </c>
      <c r="V142" s="221" t="s">
        <v>548</v>
      </c>
      <c r="W142" s="217">
        <v>0</v>
      </c>
      <c r="X142" s="217" t="s">
        <v>548</v>
      </c>
      <c r="Y142" s="217" t="s">
        <v>548</v>
      </c>
      <c r="Z142" s="222">
        <f t="shared" si="17"/>
        <v>0</v>
      </c>
      <c r="AB142" s="217">
        <v>0</v>
      </c>
      <c r="AD142" s="223">
        <f t="shared" si="12"/>
        <v>0</v>
      </c>
    </row>
    <row r="143" spans="1:30">
      <c r="A143" s="214" t="s">
        <v>2</v>
      </c>
      <c r="B143" s="215" t="s">
        <v>546</v>
      </c>
      <c r="C143" s="215" t="s">
        <v>546</v>
      </c>
      <c r="D143" s="214">
        <v>100</v>
      </c>
      <c r="E143" s="214" t="str">
        <f t="shared" si="14"/>
        <v xml:space="preserve"> </v>
      </c>
      <c r="F143" s="216" t="s">
        <v>2</v>
      </c>
      <c r="G143" s="217" t="str">
        <f t="shared" si="15"/>
        <v xml:space="preserve"> </v>
      </c>
      <c r="H143" s="214" t="s">
        <v>2</v>
      </c>
      <c r="I143" s="215" t="s">
        <v>2</v>
      </c>
      <c r="J143" s="215" t="s">
        <v>2</v>
      </c>
      <c r="K143" s="214">
        <v>100</v>
      </c>
      <c r="L143" s="214" t="str">
        <f t="shared" si="16"/>
        <v xml:space="preserve"> </v>
      </c>
      <c r="M143" s="216" t="s">
        <v>2</v>
      </c>
      <c r="N143" s="217" t="str">
        <f t="shared" si="13"/>
        <v xml:space="preserve">0 </v>
      </c>
      <c r="O143" s="217" t="s">
        <v>546</v>
      </c>
      <c r="P143" s="219">
        <f t="array" ref="P143">IFERROR(SUM(N143*50%,N143,10,G143*50%+G143,O143),)</f>
        <v>0</v>
      </c>
      <c r="Q143" s="214" t="s">
        <v>2</v>
      </c>
      <c r="R143" s="217" t="s">
        <v>2</v>
      </c>
      <c r="S143" s="214" t="s">
        <v>2</v>
      </c>
      <c r="T143" s="220">
        <v>0</v>
      </c>
      <c r="U143" s="217">
        <v>0</v>
      </c>
      <c r="V143" s="221" t="s">
        <v>548</v>
      </c>
      <c r="W143" s="217">
        <v>0</v>
      </c>
      <c r="X143" s="217" t="s">
        <v>548</v>
      </c>
      <c r="Y143" s="217" t="s">
        <v>548</v>
      </c>
      <c r="Z143" s="222">
        <f t="shared" si="17"/>
        <v>0</v>
      </c>
      <c r="AB143" s="217">
        <v>0</v>
      </c>
      <c r="AD143" s="223">
        <f t="shared" si="12"/>
        <v>0</v>
      </c>
    </row>
    <row r="144" spans="1:30">
      <c r="A144" s="214" t="s">
        <v>2</v>
      </c>
      <c r="B144" s="215" t="s">
        <v>546</v>
      </c>
      <c r="C144" s="215" t="s">
        <v>546</v>
      </c>
      <c r="D144" s="214">
        <v>100</v>
      </c>
      <c r="E144" s="214" t="str">
        <f t="shared" si="14"/>
        <v xml:space="preserve"> </v>
      </c>
      <c r="F144" s="216" t="s">
        <v>2</v>
      </c>
      <c r="G144" s="217" t="str">
        <f t="shared" si="15"/>
        <v xml:space="preserve"> </v>
      </c>
      <c r="H144" s="214" t="s">
        <v>2</v>
      </c>
      <c r="I144" s="215" t="s">
        <v>2</v>
      </c>
      <c r="J144" s="215" t="s">
        <v>2</v>
      </c>
      <c r="K144" s="214">
        <v>100</v>
      </c>
      <c r="L144" s="214" t="str">
        <f t="shared" si="16"/>
        <v xml:space="preserve"> </v>
      </c>
      <c r="M144" s="216" t="s">
        <v>2</v>
      </c>
      <c r="N144" s="217" t="str">
        <f t="shared" si="13"/>
        <v xml:space="preserve">0 </v>
      </c>
      <c r="O144" s="217" t="s">
        <v>546</v>
      </c>
      <c r="P144" s="219">
        <f t="array" ref="P144">IFERROR(SUM(N144*50%,N144,10,G144*50%+G144,O144),)</f>
        <v>0</v>
      </c>
      <c r="Q144" s="214" t="s">
        <v>2</v>
      </c>
      <c r="R144" s="217" t="s">
        <v>2</v>
      </c>
      <c r="S144" s="214" t="s">
        <v>2</v>
      </c>
      <c r="T144" s="220">
        <v>0</v>
      </c>
      <c r="U144" s="217">
        <v>0</v>
      </c>
      <c r="V144" s="221" t="s">
        <v>548</v>
      </c>
      <c r="W144" s="217">
        <v>0</v>
      </c>
      <c r="X144" s="217" t="s">
        <v>548</v>
      </c>
      <c r="Y144" s="217" t="s">
        <v>548</v>
      </c>
      <c r="Z144" s="222">
        <f t="shared" si="17"/>
        <v>0</v>
      </c>
      <c r="AB144" s="217">
        <v>0</v>
      </c>
      <c r="AD144" s="223">
        <f t="shared" si="12"/>
        <v>0</v>
      </c>
    </row>
    <row r="145" spans="1:30">
      <c r="A145" s="214" t="s">
        <v>2</v>
      </c>
      <c r="B145" s="215" t="s">
        <v>546</v>
      </c>
      <c r="C145" s="215" t="s">
        <v>546</v>
      </c>
      <c r="D145" s="214">
        <v>100</v>
      </c>
      <c r="E145" s="214" t="str">
        <f t="shared" si="14"/>
        <v xml:space="preserve"> </v>
      </c>
      <c r="F145" s="216" t="s">
        <v>2</v>
      </c>
      <c r="G145" s="217" t="str">
        <f t="shared" si="15"/>
        <v xml:space="preserve"> </v>
      </c>
      <c r="H145" s="214" t="s">
        <v>2</v>
      </c>
      <c r="I145" s="215" t="s">
        <v>2</v>
      </c>
      <c r="J145" s="215" t="s">
        <v>2</v>
      </c>
      <c r="K145" s="214">
        <v>100</v>
      </c>
      <c r="L145" s="214" t="str">
        <f t="shared" si="16"/>
        <v xml:space="preserve"> </v>
      </c>
      <c r="M145" s="216" t="s">
        <v>2</v>
      </c>
      <c r="N145" s="217" t="str">
        <f t="shared" si="13"/>
        <v xml:space="preserve">0 </v>
      </c>
      <c r="O145" s="217" t="s">
        <v>546</v>
      </c>
      <c r="P145" s="219">
        <f t="array" ref="P145">IFERROR(SUM(N145*50%,N145,10,G145*50%+G145,O145),)</f>
        <v>0</v>
      </c>
      <c r="Q145" s="214" t="s">
        <v>2</v>
      </c>
      <c r="R145" s="217" t="s">
        <v>2</v>
      </c>
      <c r="S145" s="214" t="s">
        <v>2</v>
      </c>
      <c r="T145" s="220">
        <v>0</v>
      </c>
      <c r="U145" s="217">
        <v>0</v>
      </c>
      <c r="V145" s="221" t="s">
        <v>548</v>
      </c>
      <c r="W145" s="217">
        <v>0</v>
      </c>
      <c r="X145" s="217" t="s">
        <v>548</v>
      </c>
      <c r="Y145" s="217" t="s">
        <v>548</v>
      </c>
      <c r="Z145" s="222">
        <f t="shared" si="17"/>
        <v>0</v>
      </c>
      <c r="AB145" s="217">
        <v>0</v>
      </c>
      <c r="AD145" s="223">
        <f t="shared" si="12"/>
        <v>0</v>
      </c>
    </row>
    <row r="146" spans="1:30">
      <c r="A146" s="214" t="s">
        <v>2</v>
      </c>
      <c r="B146" s="215" t="s">
        <v>546</v>
      </c>
      <c r="C146" s="215" t="s">
        <v>546</v>
      </c>
      <c r="D146" s="214">
        <v>100</v>
      </c>
      <c r="E146" s="214" t="str">
        <f t="shared" si="14"/>
        <v xml:space="preserve"> </v>
      </c>
      <c r="F146" s="216" t="s">
        <v>2</v>
      </c>
      <c r="G146" s="217" t="str">
        <f t="shared" si="15"/>
        <v xml:space="preserve"> </v>
      </c>
      <c r="H146" s="214" t="s">
        <v>2</v>
      </c>
      <c r="I146" s="215" t="s">
        <v>2</v>
      </c>
      <c r="J146" s="215" t="s">
        <v>2</v>
      </c>
      <c r="K146" s="214">
        <v>100</v>
      </c>
      <c r="L146" s="214" t="str">
        <f t="shared" si="16"/>
        <v xml:space="preserve"> </v>
      </c>
      <c r="M146" s="216" t="s">
        <v>2</v>
      </c>
      <c r="N146" s="217" t="str">
        <f t="shared" si="13"/>
        <v xml:space="preserve">0 </v>
      </c>
      <c r="O146" s="217" t="s">
        <v>546</v>
      </c>
      <c r="P146" s="219">
        <f t="array" ref="P146">IFERROR(SUM(N146*50%,N146,10,G146*50%+G146,O146),)</f>
        <v>0</v>
      </c>
      <c r="Q146" s="214" t="s">
        <v>2</v>
      </c>
      <c r="R146" s="217" t="s">
        <v>2</v>
      </c>
      <c r="S146" s="214" t="s">
        <v>2</v>
      </c>
      <c r="T146" s="220">
        <v>0</v>
      </c>
      <c r="U146" s="217">
        <v>0</v>
      </c>
      <c r="V146" s="221" t="s">
        <v>548</v>
      </c>
      <c r="W146" s="217">
        <v>0</v>
      </c>
      <c r="X146" s="217" t="s">
        <v>548</v>
      </c>
      <c r="Y146" s="217" t="s">
        <v>548</v>
      </c>
      <c r="Z146" s="222">
        <f t="shared" si="17"/>
        <v>0</v>
      </c>
      <c r="AB146" s="217">
        <v>0</v>
      </c>
      <c r="AD146" s="223">
        <f t="shared" si="12"/>
        <v>0</v>
      </c>
    </row>
    <row r="147" spans="1:30">
      <c r="A147" s="214" t="s">
        <v>2</v>
      </c>
      <c r="B147" s="215" t="s">
        <v>546</v>
      </c>
      <c r="C147" s="215" t="s">
        <v>546</v>
      </c>
      <c r="D147" s="214">
        <v>100</v>
      </c>
      <c r="E147" s="214" t="str">
        <f t="shared" si="14"/>
        <v xml:space="preserve"> </v>
      </c>
      <c r="F147" s="216" t="s">
        <v>2</v>
      </c>
      <c r="G147" s="217" t="str">
        <f t="shared" si="15"/>
        <v xml:space="preserve"> </v>
      </c>
      <c r="H147" s="214" t="s">
        <v>2</v>
      </c>
      <c r="I147" s="215" t="s">
        <v>2</v>
      </c>
      <c r="J147" s="215" t="s">
        <v>2</v>
      </c>
      <c r="K147" s="214">
        <v>100</v>
      </c>
      <c r="L147" s="214" t="str">
        <f t="shared" si="16"/>
        <v xml:space="preserve"> </v>
      </c>
      <c r="M147" s="216" t="s">
        <v>2</v>
      </c>
      <c r="N147" s="217" t="str">
        <f t="shared" si="13"/>
        <v xml:space="preserve">0 </v>
      </c>
      <c r="O147" s="217" t="s">
        <v>546</v>
      </c>
      <c r="P147" s="219">
        <f t="array" ref="P147">IFERROR(SUM(N147*50%,N147,10,G147*50%+G147,O147),)</f>
        <v>0</v>
      </c>
      <c r="Q147" s="214" t="s">
        <v>2</v>
      </c>
      <c r="R147" s="217" t="s">
        <v>2</v>
      </c>
      <c r="S147" s="214" t="s">
        <v>2</v>
      </c>
      <c r="T147" s="220">
        <v>0</v>
      </c>
      <c r="U147" s="217">
        <v>0</v>
      </c>
      <c r="V147" s="221" t="s">
        <v>548</v>
      </c>
      <c r="W147" s="217">
        <v>0</v>
      </c>
      <c r="X147" s="217" t="s">
        <v>548</v>
      </c>
      <c r="Y147" s="217" t="s">
        <v>548</v>
      </c>
      <c r="Z147" s="222">
        <f t="shared" si="17"/>
        <v>0</v>
      </c>
      <c r="AB147" s="217">
        <v>0</v>
      </c>
      <c r="AD147" s="223">
        <f t="shared" si="12"/>
        <v>0</v>
      </c>
    </row>
    <row r="148" spans="1:30">
      <c r="A148" s="214" t="s">
        <v>2</v>
      </c>
      <c r="B148" s="215" t="s">
        <v>546</v>
      </c>
      <c r="C148" s="215" t="s">
        <v>546</v>
      </c>
      <c r="D148" s="214">
        <v>100</v>
      </c>
      <c r="E148" s="214" t="str">
        <f t="shared" si="14"/>
        <v xml:space="preserve"> </v>
      </c>
      <c r="F148" s="216" t="s">
        <v>2</v>
      </c>
      <c r="G148" s="217" t="str">
        <f t="shared" si="15"/>
        <v xml:space="preserve"> </v>
      </c>
      <c r="H148" s="214" t="s">
        <v>2</v>
      </c>
      <c r="I148" s="215" t="s">
        <v>2</v>
      </c>
      <c r="J148" s="215" t="s">
        <v>2</v>
      </c>
      <c r="K148" s="214">
        <v>100</v>
      </c>
      <c r="L148" s="214" t="str">
        <f t="shared" si="16"/>
        <v xml:space="preserve"> </v>
      </c>
      <c r="M148" s="216" t="s">
        <v>2</v>
      </c>
      <c r="N148" s="217" t="str">
        <f t="shared" si="13"/>
        <v xml:space="preserve">0 </v>
      </c>
      <c r="O148" s="217" t="s">
        <v>546</v>
      </c>
      <c r="P148" s="219">
        <f t="array" ref="P148">IFERROR(SUM(N148*50%,N148,10,G148*50%+G148,O148),)</f>
        <v>0</v>
      </c>
      <c r="Q148" s="214" t="s">
        <v>2</v>
      </c>
      <c r="R148" s="217" t="s">
        <v>2</v>
      </c>
      <c r="S148" s="214" t="s">
        <v>2</v>
      </c>
      <c r="T148" s="220">
        <v>0</v>
      </c>
      <c r="U148" s="217">
        <v>0</v>
      </c>
      <c r="V148" s="221" t="s">
        <v>548</v>
      </c>
      <c r="W148" s="217">
        <v>0</v>
      </c>
      <c r="X148" s="217" t="s">
        <v>548</v>
      </c>
      <c r="Y148" s="217" t="s">
        <v>548</v>
      </c>
      <c r="Z148" s="222">
        <f t="shared" si="17"/>
        <v>0</v>
      </c>
      <c r="AB148" s="217">
        <v>0</v>
      </c>
      <c r="AD148" s="223">
        <f t="shared" si="12"/>
        <v>0</v>
      </c>
    </row>
    <row r="149" spans="1:30">
      <c r="A149" s="214" t="s">
        <v>2</v>
      </c>
      <c r="B149" s="215" t="s">
        <v>546</v>
      </c>
      <c r="C149" s="215" t="s">
        <v>546</v>
      </c>
      <c r="D149" s="214">
        <v>100</v>
      </c>
      <c r="E149" s="214" t="str">
        <f t="shared" si="14"/>
        <v xml:space="preserve"> </v>
      </c>
      <c r="F149" s="216" t="s">
        <v>2</v>
      </c>
      <c r="G149" s="217" t="str">
        <f t="shared" si="15"/>
        <v xml:space="preserve"> </v>
      </c>
      <c r="H149" s="214" t="s">
        <v>2</v>
      </c>
      <c r="I149" s="215" t="s">
        <v>2</v>
      </c>
      <c r="J149" s="215" t="s">
        <v>2</v>
      </c>
      <c r="K149" s="214">
        <v>100</v>
      </c>
      <c r="L149" s="214" t="str">
        <f t="shared" si="16"/>
        <v xml:space="preserve"> </v>
      </c>
      <c r="M149" s="216" t="s">
        <v>2</v>
      </c>
      <c r="N149" s="217" t="str">
        <f t="shared" si="13"/>
        <v xml:space="preserve">0 </v>
      </c>
      <c r="O149" s="217" t="s">
        <v>546</v>
      </c>
      <c r="P149" s="219">
        <f t="array" ref="P149">IFERROR(SUM(N149*50%,N149,10,G149*50%+G149,O149),)</f>
        <v>0</v>
      </c>
      <c r="Q149" s="214" t="s">
        <v>2</v>
      </c>
      <c r="R149" s="217" t="s">
        <v>2</v>
      </c>
      <c r="S149" s="214" t="s">
        <v>2</v>
      </c>
      <c r="T149" s="220">
        <v>0</v>
      </c>
      <c r="U149" s="217">
        <v>0</v>
      </c>
      <c r="V149" s="221" t="s">
        <v>548</v>
      </c>
      <c r="W149" s="217">
        <v>0</v>
      </c>
      <c r="X149" s="217" t="s">
        <v>548</v>
      </c>
      <c r="Y149" s="217" t="s">
        <v>548</v>
      </c>
      <c r="Z149" s="222">
        <f t="shared" si="17"/>
        <v>0</v>
      </c>
      <c r="AB149" s="217">
        <v>0</v>
      </c>
      <c r="AD149" s="223">
        <f t="shared" si="12"/>
        <v>0</v>
      </c>
    </row>
    <row r="150" spans="1:30">
      <c r="A150" s="214" t="s">
        <v>2</v>
      </c>
      <c r="B150" s="215" t="s">
        <v>546</v>
      </c>
      <c r="C150" s="215" t="s">
        <v>546</v>
      </c>
      <c r="D150" s="214">
        <v>100</v>
      </c>
      <c r="E150" s="214" t="str">
        <f t="shared" si="14"/>
        <v xml:space="preserve"> </v>
      </c>
      <c r="F150" s="216" t="s">
        <v>2</v>
      </c>
      <c r="G150" s="217" t="str">
        <f t="shared" si="15"/>
        <v xml:space="preserve"> </v>
      </c>
      <c r="H150" s="214" t="s">
        <v>2</v>
      </c>
      <c r="I150" s="215" t="s">
        <v>2</v>
      </c>
      <c r="J150" s="215" t="s">
        <v>2</v>
      </c>
      <c r="K150" s="214">
        <v>100</v>
      </c>
      <c r="L150" s="214" t="str">
        <f t="shared" si="16"/>
        <v xml:space="preserve"> </v>
      </c>
      <c r="M150" s="216" t="s">
        <v>2</v>
      </c>
      <c r="N150" s="217" t="str">
        <f t="shared" si="13"/>
        <v xml:space="preserve">0 </v>
      </c>
      <c r="O150" s="217" t="s">
        <v>546</v>
      </c>
      <c r="P150" s="219">
        <f t="array" ref="P150">IFERROR(SUM(N150*50%,N150,10,G150*50%+G150,O150),)</f>
        <v>0</v>
      </c>
      <c r="Q150" s="214" t="s">
        <v>2</v>
      </c>
      <c r="R150" s="217" t="s">
        <v>2</v>
      </c>
      <c r="S150" s="214" t="s">
        <v>2</v>
      </c>
      <c r="T150" s="220">
        <v>0</v>
      </c>
      <c r="U150" s="217">
        <v>0</v>
      </c>
      <c r="V150" s="221" t="s">
        <v>548</v>
      </c>
      <c r="W150" s="217">
        <v>0</v>
      </c>
      <c r="X150" s="217" t="s">
        <v>548</v>
      </c>
      <c r="Y150" s="217" t="s">
        <v>548</v>
      </c>
      <c r="Z150" s="222">
        <f t="shared" si="17"/>
        <v>0</v>
      </c>
      <c r="AB150" s="217">
        <v>0</v>
      </c>
      <c r="AD150" s="223">
        <f t="shared" si="12"/>
        <v>0</v>
      </c>
    </row>
    <row r="151" spans="1:30">
      <c r="A151" s="214" t="s">
        <v>2</v>
      </c>
      <c r="B151" s="215" t="s">
        <v>546</v>
      </c>
      <c r="C151" s="215" t="s">
        <v>546</v>
      </c>
      <c r="D151" s="214">
        <v>100</v>
      </c>
      <c r="E151" s="214" t="str">
        <f t="shared" si="14"/>
        <v xml:space="preserve"> </v>
      </c>
      <c r="F151" s="216" t="s">
        <v>2</v>
      </c>
      <c r="G151" s="217" t="str">
        <f t="shared" si="15"/>
        <v xml:space="preserve"> </v>
      </c>
      <c r="H151" s="214" t="s">
        <v>2</v>
      </c>
      <c r="I151" s="215" t="s">
        <v>2</v>
      </c>
      <c r="J151" s="215" t="s">
        <v>2</v>
      </c>
      <c r="K151" s="214">
        <v>100</v>
      </c>
      <c r="L151" s="214" t="str">
        <f t="shared" si="16"/>
        <v xml:space="preserve"> </v>
      </c>
      <c r="M151" s="216" t="s">
        <v>2</v>
      </c>
      <c r="N151" s="217" t="str">
        <f t="shared" si="13"/>
        <v xml:space="preserve">0 </v>
      </c>
      <c r="O151" s="217" t="s">
        <v>546</v>
      </c>
      <c r="P151" s="219">
        <f t="array" ref="P151">IFERROR(SUM(N151*50%,N151,10,G151*50%+G151,O151),)</f>
        <v>0</v>
      </c>
      <c r="Q151" s="214" t="s">
        <v>2</v>
      </c>
      <c r="R151" s="217" t="s">
        <v>2</v>
      </c>
      <c r="S151" s="214" t="s">
        <v>2</v>
      </c>
      <c r="T151" s="220">
        <v>0</v>
      </c>
      <c r="U151" s="217">
        <v>0</v>
      </c>
      <c r="V151" s="221" t="s">
        <v>548</v>
      </c>
      <c r="W151" s="217">
        <v>0</v>
      </c>
      <c r="X151" s="217" t="s">
        <v>548</v>
      </c>
      <c r="Y151" s="217" t="s">
        <v>548</v>
      </c>
      <c r="Z151" s="222">
        <f t="shared" si="17"/>
        <v>0</v>
      </c>
      <c r="AB151" s="217">
        <v>0</v>
      </c>
      <c r="AD151" s="223">
        <f t="shared" si="12"/>
        <v>0</v>
      </c>
    </row>
    <row r="152" spans="1:30">
      <c r="A152" s="214" t="s">
        <v>2</v>
      </c>
      <c r="B152" s="215" t="s">
        <v>546</v>
      </c>
      <c r="C152" s="215" t="s">
        <v>546</v>
      </c>
      <c r="D152" s="214">
        <v>100</v>
      </c>
      <c r="E152" s="214" t="str">
        <f t="shared" si="14"/>
        <v xml:space="preserve"> </v>
      </c>
      <c r="F152" s="216" t="s">
        <v>2</v>
      </c>
      <c r="G152" s="217" t="str">
        <f t="shared" si="15"/>
        <v xml:space="preserve"> </v>
      </c>
      <c r="H152" s="214" t="s">
        <v>2</v>
      </c>
      <c r="I152" s="215" t="s">
        <v>2</v>
      </c>
      <c r="J152" s="215" t="s">
        <v>2</v>
      </c>
      <c r="K152" s="214">
        <v>100</v>
      </c>
      <c r="L152" s="214" t="str">
        <f t="shared" si="16"/>
        <v xml:space="preserve"> </v>
      </c>
      <c r="M152" s="216" t="s">
        <v>2</v>
      </c>
      <c r="N152" s="217" t="str">
        <f t="shared" si="13"/>
        <v xml:space="preserve">0 </v>
      </c>
      <c r="O152" s="217" t="s">
        <v>546</v>
      </c>
      <c r="P152" s="219">
        <f t="array" ref="P152">IFERROR(SUM(N152*50%,N152,10,G152*50%+G152,O152),)</f>
        <v>0</v>
      </c>
      <c r="Q152" s="214" t="s">
        <v>2</v>
      </c>
      <c r="R152" s="217" t="s">
        <v>2</v>
      </c>
      <c r="S152" s="214" t="s">
        <v>2</v>
      </c>
      <c r="T152" s="220">
        <v>0</v>
      </c>
      <c r="U152" s="217">
        <v>0</v>
      </c>
      <c r="V152" s="221" t="s">
        <v>548</v>
      </c>
      <c r="W152" s="217">
        <v>0</v>
      </c>
      <c r="X152" s="217" t="s">
        <v>548</v>
      </c>
      <c r="Y152" s="217" t="s">
        <v>548</v>
      </c>
      <c r="Z152" s="222">
        <f t="shared" si="17"/>
        <v>0</v>
      </c>
      <c r="AB152" s="217">
        <v>0</v>
      </c>
      <c r="AD152" s="223">
        <f t="shared" si="12"/>
        <v>0</v>
      </c>
    </row>
    <row r="153" spans="1:30">
      <c r="A153" s="214" t="s">
        <v>2</v>
      </c>
      <c r="B153" s="215" t="s">
        <v>546</v>
      </c>
      <c r="C153" s="215" t="s">
        <v>546</v>
      </c>
      <c r="D153" s="214">
        <v>100</v>
      </c>
      <c r="E153" s="214" t="str">
        <f t="shared" si="14"/>
        <v xml:space="preserve"> </v>
      </c>
      <c r="F153" s="216" t="s">
        <v>2</v>
      </c>
      <c r="G153" s="217" t="str">
        <f t="shared" si="15"/>
        <v xml:space="preserve"> </v>
      </c>
      <c r="H153" s="214" t="s">
        <v>2</v>
      </c>
      <c r="I153" s="215" t="s">
        <v>2</v>
      </c>
      <c r="J153" s="215" t="s">
        <v>2</v>
      </c>
      <c r="K153" s="214">
        <v>100</v>
      </c>
      <c r="L153" s="214" t="str">
        <f t="shared" si="16"/>
        <v xml:space="preserve"> </v>
      </c>
      <c r="M153" s="216" t="s">
        <v>2</v>
      </c>
      <c r="N153" s="217" t="str">
        <f t="shared" si="13"/>
        <v xml:space="preserve">0 </v>
      </c>
      <c r="O153" s="217" t="s">
        <v>546</v>
      </c>
      <c r="P153" s="219">
        <f t="array" ref="P153">IFERROR(SUM(N153*50%,N153,10,G153*50%+G153,O153),)</f>
        <v>0</v>
      </c>
      <c r="Q153" s="214" t="s">
        <v>2</v>
      </c>
      <c r="R153" s="217" t="s">
        <v>2</v>
      </c>
      <c r="S153" s="214" t="s">
        <v>2</v>
      </c>
      <c r="T153" s="220">
        <v>0</v>
      </c>
      <c r="U153" s="217">
        <v>0</v>
      </c>
      <c r="V153" s="221" t="s">
        <v>548</v>
      </c>
      <c r="W153" s="217">
        <v>0</v>
      </c>
      <c r="X153" s="217" t="s">
        <v>548</v>
      </c>
      <c r="Y153" s="217" t="s">
        <v>548</v>
      </c>
      <c r="Z153" s="222">
        <f t="shared" si="17"/>
        <v>0</v>
      </c>
      <c r="AB153" s="217">
        <v>0</v>
      </c>
      <c r="AD153" s="223">
        <f t="shared" si="12"/>
        <v>0</v>
      </c>
    </row>
    <row r="154" spans="1:30">
      <c r="A154" s="214" t="s">
        <v>2</v>
      </c>
      <c r="B154" s="215" t="s">
        <v>546</v>
      </c>
      <c r="C154" s="215" t="s">
        <v>546</v>
      </c>
      <c r="D154" s="214">
        <v>100</v>
      </c>
      <c r="E154" s="214" t="str">
        <f t="shared" si="14"/>
        <v xml:space="preserve"> </v>
      </c>
      <c r="F154" s="216" t="s">
        <v>2</v>
      </c>
      <c r="G154" s="217" t="str">
        <f t="shared" si="15"/>
        <v xml:space="preserve"> </v>
      </c>
      <c r="H154" s="214" t="s">
        <v>2</v>
      </c>
      <c r="I154" s="215" t="s">
        <v>2</v>
      </c>
      <c r="J154" s="215" t="s">
        <v>2</v>
      </c>
      <c r="K154" s="214">
        <v>100</v>
      </c>
      <c r="L154" s="214" t="str">
        <f t="shared" si="16"/>
        <v xml:space="preserve"> </v>
      </c>
      <c r="M154" s="216" t="s">
        <v>2</v>
      </c>
      <c r="N154" s="217" t="str">
        <f t="shared" si="13"/>
        <v xml:space="preserve">0 </v>
      </c>
      <c r="O154" s="217" t="s">
        <v>546</v>
      </c>
      <c r="P154" s="219">
        <f t="array" ref="P154">IFERROR(SUM(N154*50%,N154,10,G154*50%+G154,O154),)</f>
        <v>0</v>
      </c>
      <c r="Q154" s="214" t="s">
        <v>2</v>
      </c>
      <c r="R154" s="217" t="s">
        <v>2</v>
      </c>
      <c r="S154" s="214" t="s">
        <v>2</v>
      </c>
      <c r="T154" s="220">
        <v>0</v>
      </c>
      <c r="U154" s="217">
        <v>0</v>
      </c>
      <c r="V154" s="221" t="s">
        <v>548</v>
      </c>
      <c r="W154" s="217">
        <v>0</v>
      </c>
      <c r="X154" s="217" t="s">
        <v>548</v>
      </c>
      <c r="Y154" s="217" t="s">
        <v>548</v>
      </c>
      <c r="Z154" s="222">
        <f t="shared" si="17"/>
        <v>0</v>
      </c>
      <c r="AB154" s="217">
        <v>0</v>
      </c>
      <c r="AD154" s="223">
        <f t="shared" si="12"/>
        <v>0</v>
      </c>
    </row>
    <row r="155" spans="1:30">
      <c r="A155" s="214" t="s">
        <v>2</v>
      </c>
      <c r="B155" s="215" t="s">
        <v>546</v>
      </c>
      <c r="C155" s="215" t="s">
        <v>546</v>
      </c>
      <c r="D155" s="214">
        <v>100</v>
      </c>
      <c r="E155" s="214" t="str">
        <f t="shared" si="14"/>
        <v xml:space="preserve"> </v>
      </c>
      <c r="F155" s="216" t="s">
        <v>2</v>
      </c>
      <c r="G155" s="217" t="str">
        <f t="shared" si="15"/>
        <v xml:space="preserve"> </v>
      </c>
      <c r="H155" s="214" t="s">
        <v>2</v>
      </c>
      <c r="I155" s="215" t="s">
        <v>2</v>
      </c>
      <c r="J155" s="215" t="s">
        <v>2</v>
      </c>
      <c r="K155" s="214">
        <v>100</v>
      </c>
      <c r="L155" s="214" t="str">
        <f t="shared" si="16"/>
        <v xml:space="preserve"> </v>
      </c>
      <c r="M155" s="216" t="s">
        <v>2</v>
      </c>
      <c r="N155" s="217" t="str">
        <f t="shared" si="13"/>
        <v xml:space="preserve">0 </v>
      </c>
      <c r="O155" s="217" t="s">
        <v>546</v>
      </c>
      <c r="P155" s="219">
        <f t="array" ref="P155">IFERROR(SUM(N155*50%,N155,10,G155*50%+G155,O155),)</f>
        <v>0</v>
      </c>
      <c r="Q155" s="214" t="s">
        <v>2</v>
      </c>
      <c r="R155" s="217" t="s">
        <v>2</v>
      </c>
      <c r="S155" s="214" t="s">
        <v>2</v>
      </c>
      <c r="T155" s="220">
        <v>0</v>
      </c>
      <c r="U155" s="217">
        <v>0</v>
      </c>
      <c r="V155" s="221" t="s">
        <v>548</v>
      </c>
      <c r="W155" s="217">
        <v>0</v>
      </c>
      <c r="X155" s="217" t="s">
        <v>548</v>
      </c>
      <c r="Y155" s="217" t="s">
        <v>548</v>
      </c>
      <c r="Z155" s="222">
        <f t="shared" si="17"/>
        <v>0</v>
      </c>
      <c r="AB155" s="217">
        <v>0</v>
      </c>
      <c r="AD155" s="223">
        <f t="shared" si="12"/>
        <v>0</v>
      </c>
    </row>
    <row r="156" spans="1:30">
      <c r="A156" s="214" t="s">
        <v>2</v>
      </c>
      <c r="B156" s="215" t="s">
        <v>546</v>
      </c>
      <c r="C156" s="215" t="s">
        <v>546</v>
      </c>
      <c r="D156" s="214">
        <v>100</v>
      </c>
      <c r="E156" s="214" t="str">
        <f t="shared" si="14"/>
        <v xml:space="preserve"> </v>
      </c>
      <c r="F156" s="216" t="s">
        <v>2</v>
      </c>
      <c r="G156" s="217" t="str">
        <f t="shared" si="15"/>
        <v xml:space="preserve"> </v>
      </c>
      <c r="H156" s="214" t="s">
        <v>2</v>
      </c>
      <c r="I156" s="215" t="s">
        <v>2</v>
      </c>
      <c r="J156" s="215" t="s">
        <v>2</v>
      </c>
      <c r="K156" s="214">
        <v>100</v>
      </c>
      <c r="L156" s="214" t="str">
        <f t="shared" si="16"/>
        <v xml:space="preserve"> </v>
      </c>
      <c r="M156" s="216" t="s">
        <v>2</v>
      </c>
      <c r="N156" s="217" t="str">
        <f t="shared" si="13"/>
        <v xml:space="preserve">0 </v>
      </c>
      <c r="O156" s="217" t="s">
        <v>546</v>
      </c>
      <c r="P156" s="219">
        <f t="array" ref="P156">IFERROR(SUM(N156*50%,N156,10,G156*50%+G156,O156),)</f>
        <v>0</v>
      </c>
      <c r="Q156" s="214" t="s">
        <v>2</v>
      </c>
      <c r="R156" s="217" t="s">
        <v>2</v>
      </c>
      <c r="S156" s="214" t="s">
        <v>2</v>
      </c>
      <c r="T156" s="220">
        <v>0</v>
      </c>
      <c r="U156" s="217">
        <v>0</v>
      </c>
      <c r="V156" s="221" t="s">
        <v>548</v>
      </c>
      <c r="W156" s="217">
        <v>0</v>
      </c>
      <c r="X156" s="217" t="s">
        <v>548</v>
      </c>
      <c r="Y156" s="217" t="s">
        <v>548</v>
      </c>
      <c r="Z156" s="222">
        <f t="shared" si="17"/>
        <v>0</v>
      </c>
      <c r="AB156" s="217">
        <v>0</v>
      </c>
      <c r="AD156" s="223">
        <f t="shared" ref="AD156:AD201" si="18">IFERROR(SUM(Z156+AB156),"0")</f>
        <v>0</v>
      </c>
    </row>
    <row r="157" spans="1:30">
      <c r="A157" s="214" t="s">
        <v>2</v>
      </c>
      <c r="B157" s="215" t="s">
        <v>546</v>
      </c>
      <c r="C157" s="215" t="s">
        <v>546</v>
      </c>
      <c r="D157" s="214">
        <v>100</v>
      </c>
      <c r="E157" s="214" t="str">
        <f t="shared" si="14"/>
        <v xml:space="preserve"> </v>
      </c>
      <c r="F157" s="216" t="s">
        <v>2</v>
      </c>
      <c r="G157" s="217" t="str">
        <f t="shared" si="15"/>
        <v xml:space="preserve"> </v>
      </c>
      <c r="H157" s="214" t="s">
        <v>2</v>
      </c>
      <c r="I157" s="215" t="s">
        <v>2</v>
      </c>
      <c r="J157" s="215" t="s">
        <v>2</v>
      </c>
      <c r="K157" s="214">
        <v>100</v>
      </c>
      <c r="L157" s="214" t="str">
        <f t="shared" si="16"/>
        <v xml:space="preserve"> </v>
      </c>
      <c r="M157" s="216" t="s">
        <v>2</v>
      </c>
      <c r="N157" s="217" t="str">
        <f t="shared" si="13"/>
        <v xml:space="preserve">0 </v>
      </c>
      <c r="O157" s="217" t="s">
        <v>546</v>
      </c>
      <c r="P157" s="219">
        <f t="array" ref="P157">IFERROR(SUM(N157*50%,N157,10,G157*50%+G157,O157),)</f>
        <v>0</v>
      </c>
      <c r="Q157" s="214" t="s">
        <v>2</v>
      </c>
      <c r="R157" s="217" t="s">
        <v>2</v>
      </c>
      <c r="S157" s="214" t="s">
        <v>2</v>
      </c>
      <c r="T157" s="220">
        <v>0</v>
      </c>
      <c r="U157" s="217">
        <v>0</v>
      </c>
      <c r="V157" s="221" t="s">
        <v>548</v>
      </c>
      <c r="W157" s="217">
        <v>0</v>
      </c>
      <c r="X157" s="217" t="s">
        <v>548</v>
      </c>
      <c r="Y157" s="217" t="s">
        <v>548</v>
      </c>
      <c r="Z157" s="222">
        <f t="shared" si="17"/>
        <v>0</v>
      </c>
      <c r="AB157" s="217">
        <v>0</v>
      </c>
      <c r="AD157" s="223">
        <f t="shared" si="18"/>
        <v>0</v>
      </c>
    </row>
    <row r="158" spans="1:30">
      <c r="A158" s="214" t="s">
        <v>2</v>
      </c>
      <c r="B158" s="215" t="s">
        <v>546</v>
      </c>
      <c r="C158" s="215" t="s">
        <v>546</v>
      </c>
      <c r="D158" s="214">
        <v>100</v>
      </c>
      <c r="E158" s="214" t="str">
        <f t="shared" si="14"/>
        <v xml:space="preserve"> </v>
      </c>
      <c r="F158" s="216" t="s">
        <v>2</v>
      </c>
      <c r="G158" s="217" t="str">
        <f t="shared" si="15"/>
        <v xml:space="preserve"> </v>
      </c>
      <c r="H158" s="214" t="s">
        <v>2</v>
      </c>
      <c r="I158" s="215" t="s">
        <v>2</v>
      </c>
      <c r="J158" s="215" t="s">
        <v>2</v>
      </c>
      <c r="K158" s="214">
        <v>100</v>
      </c>
      <c r="L158" s="214" t="str">
        <f t="shared" si="16"/>
        <v xml:space="preserve"> </v>
      </c>
      <c r="M158" s="216" t="s">
        <v>2</v>
      </c>
      <c r="N158" s="217" t="str">
        <f t="shared" si="13"/>
        <v xml:space="preserve">0 </v>
      </c>
      <c r="O158" s="217" t="s">
        <v>546</v>
      </c>
      <c r="P158" s="219">
        <f t="array" ref="P158">IFERROR(SUM(N158*50%,N158,10,G158*50%+G158,O158),)</f>
        <v>0</v>
      </c>
      <c r="Q158" s="214" t="s">
        <v>2</v>
      </c>
      <c r="R158" s="217" t="s">
        <v>2</v>
      </c>
      <c r="S158" s="214" t="s">
        <v>2</v>
      </c>
      <c r="T158" s="220">
        <v>0</v>
      </c>
      <c r="U158" s="217">
        <v>0</v>
      </c>
      <c r="V158" s="221" t="s">
        <v>548</v>
      </c>
      <c r="W158" s="217">
        <v>0</v>
      </c>
      <c r="X158" s="217" t="s">
        <v>548</v>
      </c>
      <c r="Y158" s="217" t="s">
        <v>548</v>
      </c>
      <c r="Z158" s="222">
        <f t="shared" si="17"/>
        <v>0</v>
      </c>
      <c r="AB158" s="217">
        <v>0</v>
      </c>
      <c r="AD158" s="223">
        <f t="shared" si="18"/>
        <v>0</v>
      </c>
    </row>
    <row r="159" spans="1:30">
      <c r="A159" s="214" t="s">
        <v>2</v>
      </c>
      <c r="B159" s="215" t="s">
        <v>546</v>
      </c>
      <c r="C159" s="215" t="s">
        <v>546</v>
      </c>
      <c r="D159" s="214">
        <v>100</v>
      </c>
      <c r="E159" s="214" t="str">
        <f t="shared" si="14"/>
        <v xml:space="preserve"> </v>
      </c>
      <c r="F159" s="216" t="s">
        <v>2</v>
      </c>
      <c r="G159" s="217" t="str">
        <f t="shared" si="15"/>
        <v xml:space="preserve"> </v>
      </c>
      <c r="H159" s="214" t="s">
        <v>2</v>
      </c>
      <c r="I159" s="215" t="s">
        <v>2</v>
      </c>
      <c r="J159" s="215" t="s">
        <v>2</v>
      </c>
      <c r="K159" s="214">
        <v>100</v>
      </c>
      <c r="L159" s="214" t="str">
        <f t="shared" si="16"/>
        <v xml:space="preserve"> </v>
      </c>
      <c r="M159" s="216" t="s">
        <v>2</v>
      </c>
      <c r="N159" s="217" t="str">
        <f t="shared" si="13"/>
        <v xml:space="preserve">0 </v>
      </c>
      <c r="O159" s="217" t="s">
        <v>546</v>
      </c>
      <c r="P159" s="219">
        <f t="array" ref="P159">IFERROR(SUM(N159*50%,N159,10,G159*50%+G159,O159),)</f>
        <v>0</v>
      </c>
      <c r="Q159" s="214" t="s">
        <v>2</v>
      </c>
      <c r="R159" s="217" t="s">
        <v>2</v>
      </c>
      <c r="S159" s="214" t="s">
        <v>2</v>
      </c>
      <c r="T159" s="220">
        <v>0</v>
      </c>
      <c r="U159" s="217">
        <v>0</v>
      </c>
      <c r="V159" s="221" t="s">
        <v>548</v>
      </c>
      <c r="W159" s="217">
        <v>0</v>
      </c>
      <c r="X159" s="217" t="s">
        <v>548</v>
      </c>
      <c r="Y159" s="217" t="s">
        <v>548</v>
      </c>
      <c r="Z159" s="222">
        <f t="shared" si="17"/>
        <v>0</v>
      </c>
      <c r="AB159" s="217">
        <v>0</v>
      </c>
      <c r="AD159" s="223">
        <f t="shared" si="18"/>
        <v>0</v>
      </c>
    </row>
    <row r="160" spans="1:30">
      <c r="A160" s="214" t="s">
        <v>2</v>
      </c>
      <c r="B160" s="215" t="s">
        <v>546</v>
      </c>
      <c r="C160" s="215" t="s">
        <v>546</v>
      </c>
      <c r="D160" s="214">
        <v>100</v>
      </c>
      <c r="E160" s="214" t="str">
        <f t="shared" si="14"/>
        <v xml:space="preserve"> </v>
      </c>
      <c r="F160" s="216" t="s">
        <v>2</v>
      </c>
      <c r="G160" s="217" t="str">
        <f t="shared" si="15"/>
        <v xml:space="preserve"> </v>
      </c>
      <c r="H160" s="214" t="s">
        <v>2</v>
      </c>
      <c r="I160" s="215" t="s">
        <v>2</v>
      </c>
      <c r="J160" s="215" t="s">
        <v>2</v>
      </c>
      <c r="K160" s="214">
        <v>100</v>
      </c>
      <c r="L160" s="214" t="str">
        <f t="shared" si="16"/>
        <v xml:space="preserve"> </v>
      </c>
      <c r="M160" s="216" t="s">
        <v>2</v>
      </c>
      <c r="N160" s="217" t="str">
        <f t="shared" si="13"/>
        <v xml:space="preserve">0 </v>
      </c>
      <c r="O160" s="217" t="s">
        <v>546</v>
      </c>
      <c r="P160" s="219">
        <f t="array" ref="P160">IFERROR(SUM(N160*50%,N160,10,G160*50%+G160,O160),)</f>
        <v>0</v>
      </c>
      <c r="Q160" s="214" t="s">
        <v>2</v>
      </c>
      <c r="R160" s="217" t="s">
        <v>2</v>
      </c>
      <c r="S160" s="214" t="s">
        <v>2</v>
      </c>
      <c r="T160" s="220">
        <v>0</v>
      </c>
      <c r="U160" s="217">
        <v>0</v>
      </c>
      <c r="V160" s="221" t="s">
        <v>548</v>
      </c>
      <c r="W160" s="217">
        <v>0</v>
      </c>
      <c r="X160" s="217" t="s">
        <v>548</v>
      </c>
      <c r="Y160" s="217" t="s">
        <v>548</v>
      </c>
      <c r="Z160" s="222">
        <f t="shared" si="17"/>
        <v>0</v>
      </c>
      <c r="AB160" s="217">
        <v>0</v>
      </c>
      <c r="AD160" s="223">
        <f t="shared" si="18"/>
        <v>0</v>
      </c>
    </row>
    <row r="161" spans="1:30">
      <c r="A161" s="214" t="s">
        <v>2</v>
      </c>
      <c r="B161" s="215" t="s">
        <v>546</v>
      </c>
      <c r="C161" s="215" t="s">
        <v>546</v>
      </c>
      <c r="D161" s="214">
        <v>100</v>
      </c>
      <c r="E161" s="214" t="str">
        <f t="shared" si="14"/>
        <v xml:space="preserve"> </v>
      </c>
      <c r="F161" s="216" t="s">
        <v>2</v>
      </c>
      <c r="G161" s="217" t="str">
        <f t="shared" si="15"/>
        <v xml:space="preserve"> </v>
      </c>
      <c r="H161" s="214" t="s">
        <v>2</v>
      </c>
      <c r="I161" s="215" t="s">
        <v>2</v>
      </c>
      <c r="J161" s="215" t="s">
        <v>2</v>
      </c>
      <c r="K161" s="214">
        <v>100</v>
      </c>
      <c r="L161" s="214" t="str">
        <f t="shared" si="16"/>
        <v xml:space="preserve"> </v>
      </c>
      <c r="M161" s="216" t="s">
        <v>2</v>
      </c>
      <c r="N161" s="217" t="str">
        <f t="shared" si="13"/>
        <v xml:space="preserve">0 </v>
      </c>
      <c r="O161" s="217" t="s">
        <v>546</v>
      </c>
      <c r="P161" s="219">
        <f t="array" ref="P161">IFERROR(SUM(N161*50%,N161,10,G161*50%+G161,O161),)</f>
        <v>0</v>
      </c>
      <c r="Q161" s="214" t="s">
        <v>2</v>
      </c>
      <c r="R161" s="217" t="s">
        <v>2</v>
      </c>
      <c r="S161" s="214" t="s">
        <v>2</v>
      </c>
      <c r="T161" s="220">
        <v>0</v>
      </c>
      <c r="U161" s="217">
        <v>0</v>
      </c>
      <c r="V161" s="221" t="s">
        <v>548</v>
      </c>
      <c r="W161" s="217">
        <v>0</v>
      </c>
      <c r="X161" s="217" t="s">
        <v>548</v>
      </c>
      <c r="Y161" s="217" t="s">
        <v>548</v>
      </c>
      <c r="Z161" s="222">
        <f t="shared" si="17"/>
        <v>0</v>
      </c>
      <c r="AB161" s="217">
        <v>0</v>
      </c>
      <c r="AD161" s="223">
        <f t="shared" si="18"/>
        <v>0</v>
      </c>
    </row>
    <row r="162" spans="1:30">
      <c r="A162" s="214" t="s">
        <v>2</v>
      </c>
      <c r="B162" s="215" t="s">
        <v>546</v>
      </c>
      <c r="C162" s="215" t="s">
        <v>546</v>
      </c>
      <c r="D162" s="214">
        <v>100</v>
      </c>
      <c r="E162" s="214" t="str">
        <f t="shared" si="14"/>
        <v xml:space="preserve"> </v>
      </c>
      <c r="F162" s="216" t="s">
        <v>2</v>
      </c>
      <c r="G162" s="217" t="str">
        <f t="shared" si="15"/>
        <v xml:space="preserve"> </v>
      </c>
      <c r="H162" s="214" t="s">
        <v>2</v>
      </c>
      <c r="I162" s="215" t="s">
        <v>2</v>
      </c>
      <c r="J162" s="215" t="s">
        <v>2</v>
      </c>
      <c r="K162" s="214">
        <v>100</v>
      </c>
      <c r="L162" s="214" t="str">
        <f t="shared" si="16"/>
        <v xml:space="preserve"> </v>
      </c>
      <c r="M162" s="216" t="s">
        <v>2</v>
      </c>
      <c r="N162" s="217" t="str">
        <f t="shared" si="13"/>
        <v xml:space="preserve">0 </v>
      </c>
      <c r="O162" s="217" t="s">
        <v>546</v>
      </c>
      <c r="P162" s="219">
        <f t="array" ref="P162">IFERROR(SUM(N162*50%,N162,10,G162*50%+G162,O162),)</f>
        <v>0</v>
      </c>
      <c r="Q162" s="214" t="s">
        <v>2</v>
      </c>
      <c r="R162" s="217" t="s">
        <v>2</v>
      </c>
      <c r="S162" s="214" t="s">
        <v>2</v>
      </c>
      <c r="T162" s="220">
        <v>0</v>
      </c>
      <c r="U162" s="217">
        <v>0</v>
      </c>
      <c r="V162" s="221" t="s">
        <v>548</v>
      </c>
      <c r="W162" s="217">
        <v>0</v>
      </c>
      <c r="X162" s="217" t="s">
        <v>548</v>
      </c>
      <c r="Y162" s="217" t="s">
        <v>548</v>
      </c>
      <c r="Z162" s="222">
        <f t="shared" si="17"/>
        <v>0</v>
      </c>
      <c r="AB162" s="217">
        <v>0</v>
      </c>
      <c r="AD162" s="223">
        <f t="shared" si="18"/>
        <v>0</v>
      </c>
    </row>
    <row r="163" spans="1:30">
      <c r="A163" s="214" t="s">
        <v>2</v>
      </c>
      <c r="B163" s="215" t="s">
        <v>546</v>
      </c>
      <c r="C163" s="215" t="s">
        <v>546</v>
      </c>
      <c r="D163" s="214">
        <v>100</v>
      </c>
      <c r="E163" s="214" t="str">
        <f t="shared" si="14"/>
        <v xml:space="preserve"> </v>
      </c>
      <c r="F163" s="216" t="s">
        <v>2</v>
      </c>
      <c r="G163" s="217" t="str">
        <f t="shared" si="15"/>
        <v xml:space="preserve"> </v>
      </c>
      <c r="H163" s="214" t="s">
        <v>2</v>
      </c>
      <c r="I163" s="215" t="s">
        <v>2</v>
      </c>
      <c r="J163" s="215" t="s">
        <v>2</v>
      </c>
      <c r="K163" s="214">
        <v>100</v>
      </c>
      <c r="L163" s="214" t="str">
        <f t="shared" si="16"/>
        <v xml:space="preserve"> </v>
      </c>
      <c r="M163" s="216" t="s">
        <v>2</v>
      </c>
      <c r="N163" s="217" t="str">
        <f t="shared" si="13"/>
        <v xml:space="preserve">0 </v>
      </c>
      <c r="O163" s="217" t="s">
        <v>546</v>
      </c>
      <c r="P163" s="219">
        <f t="array" ref="P163">IFERROR(SUM(N163*50%,N163,10,G163*50%+G163,O163),)</f>
        <v>0</v>
      </c>
      <c r="Q163" s="214" t="s">
        <v>2</v>
      </c>
      <c r="R163" s="217" t="s">
        <v>2</v>
      </c>
      <c r="S163" s="214" t="s">
        <v>2</v>
      </c>
      <c r="T163" s="220">
        <v>0</v>
      </c>
      <c r="U163" s="217">
        <v>0</v>
      </c>
      <c r="V163" s="221" t="s">
        <v>548</v>
      </c>
      <c r="W163" s="217">
        <v>0</v>
      </c>
      <c r="X163" s="217" t="s">
        <v>548</v>
      </c>
      <c r="Y163" s="217" t="s">
        <v>548</v>
      </c>
      <c r="Z163" s="222">
        <f t="shared" si="17"/>
        <v>0</v>
      </c>
      <c r="AB163" s="217">
        <v>0</v>
      </c>
      <c r="AD163" s="223">
        <f t="shared" si="18"/>
        <v>0</v>
      </c>
    </row>
    <row r="164" spans="1:30">
      <c r="A164" s="214" t="s">
        <v>2</v>
      </c>
      <c r="B164" s="215" t="s">
        <v>546</v>
      </c>
      <c r="C164" s="215" t="s">
        <v>546</v>
      </c>
      <c r="D164" s="214">
        <v>100</v>
      </c>
      <c r="E164" s="214" t="str">
        <f t="shared" si="14"/>
        <v xml:space="preserve"> </v>
      </c>
      <c r="F164" s="216" t="s">
        <v>2</v>
      </c>
      <c r="G164" s="217" t="str">
        <f t="shared" si="15"/>
        <v xml:space="preserve"> </v>
      </c>
      <c r="H164" s="214" t="s">
        <v>2</v>
      </c>
      <c r="I164" s="215" t="s">
        <v>2</v>
      </c>
      <c r="J164" s="215" t="s">
        <v>2</v>
      </c>
      <c r="K164" s="214">
        <v>100</v>
      </c>
      <c r="L164" s="214" t="str">
        <f t="shared" si="16"/>
        <v xml:space="preserve"> </v>
      </c>
      <c r="M164" s="216" t="s">
        <v>2</v>
      </c>
      <c r="N164" s="217" t="str">
        <f t="shared" si="13"/>
        <v xml:space="preserve">0 </v>
      </c>
      <c r="O164" s="217" t="s">
        <v>546</v>
      </c>
      <c r="P164" s="219">
        <f t="array" ref="P164">IFERROR(SUM(N164*50%,N164,10,G164*50%+G164,O164),)</f>
        <v>0</v>
      </c>
      <c r="Q164" s="214" t="s">
        <v>2</v>
      </c>
      <c r="R164" s="217" t="s">
        <v>2</v>
      </c>
      <c r="S164" s="214" t="s">
        <v>2</v>
      </c>
      <c r="T164" s="220">
        <v>0</v>
      </c>
      <c r="U164" s="217">
        <v>0</v>
      </c>
      <c r="V164" s="221" t="s">
        <v>548</v>
      </c>
      <c r="W164" s="217">
        <v>0</v>
      </c>
      <c r="X164" s="217" t="s">
        <v>548</v>
      </c>
      <c r="Y164" s="217" t="s">
        <v>548</v>
      </c>
      <c r="Z164" s="222">
        <f t="shared" si="17"/>
        <v>0</v>
      </c>
      <c r="AB164" s="217">
        <v>0</v>
      </c>
      <c r="AD164" s="223">
        <f t="shared" si="18"/>
        <v>0</v>
      </c>
    </row>
    <row r="165" spans="1:30">
      <c r="A165" s="214" t="s">
        <v>2</v>
      </c>
      <c r="B165" s="215" t="s">
        <v>546</v>
      </c>
      <c r="C165" s="215" t="s">
        <v>546</v>
      </c>
      <c r="D165" s="214">
        <v>100</v>
      </c>
      <c r="E165" s="214" t="str">
        <f t="shared" si="14"/>
        <v xml:space="preserve"> </v>
      </c>
      <c r="F165" s="216" t="s">
        <v>2</v>
      </c>
      <c r="G165" s="217" t="str">
        <f t="shared" si="15"/>
        <v xml:space="preserve"> </v>
      </c>
      <c r="H165" s="214" t="s">
        <v>2</v>
      </c>
      <c r="I165" s="215" t="s">
        <v>2</v>
      </c>
      <c r="J165" s="215" t="s">
        <v>2</v>
      </c>
      <c r="K165" s="214">
        <v>100</v>
      </c>
      <c r="L165" s="214" t="str">
        <f t="shared" si="16"/>
        <v xml:space="preserve"> </v>
      </c>
      <c r="M165" s="216" t="s">
        <v>2</v>
      </c>
      <c r="N165" s="217" t="str">
        <f t="shared" si="13"/>
        <v xml:space="preserve">0 </v>
      </c>
      <c r="O165" s="217" t="s">
        <v>546</v>
      </c>
      <c r="P165" s="219">
        <f t="array" ref="P165">IFERROR(SUM(N165*50%,N165,10,G165*50%+G165,O165),)</f>
        <v>0</v>
      </c>
      <c r="Q165" s="214" t="s">
        <v>2</v>
      </c>
      <c r="R165" s="217" t="s">
        <v>2</v>
      </c>
      <c r="S165" s="214" t="s">
        <v>2</v>
      </c>
      <c r="T165" s="220">
        <v>0</v>
      </c>
      <c r="U165" s="217">
        <v>0</v>
      </c>
      <c r="V165" s="221" t="s">
        <v>548</v>
      </c>
      <c r="W165" s="217">
        <v>0</v>
      </c>
      <c r="X165" s="217" t="s">
        <v>548</v>
      </c>
      <c r="Y165" s="217" t="s">
        <v>548</v>
      </c>
      <c r="Z165" s="222">
        <f t="shared" si="17"/>
        <v>0</v>
      </c>
      <c r="AB165" s="217">
        <v>0</v>
      </c>
      <c r="AD165" s="223">
        <f t="shared" si="18"/>
        <v>0</v>
      </c>
    </row>
    <row r="166" spans="1:30">
      <c r="A166" s="214" t="s">
        <v>2</v>
      </c>
      <c r="B166" s="215" t="s">
        <v>546</v>
      </c>
      <c r="C166" s="215" t="s">
        <v>546</v>
      </c>
      <c r="D166" s="214">
        <v>100</v>
      </c>
      <c r="E166" s="214" t="str">
        <f t="shared" si="14"/>
        <v xml:space="preserve"> </v>
      </c>
      <c r="F166" s="216" t="s">
        <v>2</v>
      </c>
      <c r="G166" s="217" t="str">
        <f t="shared" si="15"/>
        <v xml:space="preserve"> </v>
      </c>
      <c r="H166" s="214" t="s">
        <v>2</v>
      </c>
      <c r="I166" s="215" t="s">
        <v>2</v>
      </c>
      <c r="J166" s="215" t="s">
        <v>2</v>
      </c>
      <c r="K166" s="214">
        <v>100</v>
      </c>
      <c r="L166" s="214" t="str">
        <f t="shared" si="16"/>
        <v xml:space="preserve"> </v>
      </c>
      <c r="M166" s="216" t="s">
        <v>2</v>
      </c>
      <c r="N166" s="217" t="str">
        <f t="shared" si="13"/>
        <v xml:space="preserve">0 </v>
      </c>
      <c r="O166" s="217" t="s">
        <v>546</v>
      </c>
      <c r="P166" s="219">
        <f t="array" ref="P166">IFERROR(SUM(N166*50%,N166,10,G166*50%+G166,O166),)</f>
        <v>0</v>
      </c>
      <c r="Q166" s="214" t="s">
        <v>2</v>
      </c>
      <c r="R166" s="217" t="s">
        <v>2</v>
      </c>
      <c r="S166" s="214" t="s">
        <v>2</v>
      </c>
      <c r="T166" s="220">
        <v>0</v>
      </c>
      <c r="U166" s="217">
        <v>0</v>
      </c>
      <c r="V166" s="221" t="s">
        <v>548</v>
      </c>
      <c r="W166" s="217">
        <v>0</v>
      </c>
      <c r="X166" s="217" t="s">
        <v>548</v>
      </c>
      <c r="Y166" s="217" t="s">
        <v>548</v>
      </c>
      <c r="Z166" s="222">
        <f t="shared" si="17"/>
        <v>0</v>
      </c>
      <c r="AB166" s="217">
        <v>0</v>
      </c>
      <c r="AD166" s="223">
        <f t="shared" si="18"/>
        <v>0</v>
      </c>
    </row>
    <row r="167" spans="1:30">
      <c r="A167" s="214" t="s">
        <v>2</v>
      </c>
      <c r="B167" s="215" t="s">
        <v>546</v>
      </c>
      <c r="C167" s="215" t="s">
        <v>546</v>
      </c>
      <c r="D167" s="214">
        <v>100</v>
      </c>
      <c r="E167" s="214" t="str">
        <f t="shared" si="14"/>
        <v xml:space="preserve"> </v>
      </c>
      <c r="F167" s="216" t="s">
        <v>2</v>
      </c>
      <c r="G167" s="217" t="str">
        <f t="shared" si="15"/>
        <v xml:space="preserve"> </v>
      </c>
      <c r="H167" s="214" t="s">
        <v>2</v>
      </c>
      <c r="I167" s="215" t="s">
        <v>2</v>
      </c>
      <c r="J167" s="215" t="s">
        <v>2</v>
      </c>
      <c r="K167" s="214">
        <v>100</v>
      </c>
      <c r="L167" s="214" t="str">
        <f t="shared" si="16"/>
        <v xml:space="preserve"> </v>
      </c>
      <c r="M167" s="216" t="s">
        <v>2</v>
      </c>
      <c r="N167" s="217" t="str">
        <f t="shared" si="13"/>
        <v xml:space="preserve">0 </v>
      </c>
      <c r="O167" s="217" t="s">
        <v>546</v>
      </c>
      <c r="P167" s="219">
        <f t="array" ref="P167">IFERROR(SUM(N167*50%,N167,10,G167*50%+G167,O167),)</f>
        <v>0</v>
      </c>
      <c r="Q167" s="214" t="s">
        <v>2</v>
      </c>
      <c r="R167" s="217" t="s">
        <v>2</v>
      </c>
      <c r="S167" s="214" t="s">
        <v>2</v>
      </c>
      <c r="T167" s="220">
        <v>0</v>
      </c>
      <c r="U167" s="217">
        <v>0</v>
      </c>
      <c r="V167" s="221" t="s">
        <v>548</v>
      </c>
      <c r="W167" s="217">
        <v>0</v>
      </c>
      <c r="X167" s="217" t="s">
        <v>548</v>
      </c>
      <c r="Y167" s="217" t="s">
        <v>548</v>
      </c>
      <c r="Z167" s="222">
        <f t="shared" si="17"/>
        <v>0</v>
      </c>
      <c r="AB167" s="217">
        <v>0</v>
      </c>
      <c r="AD167" s="223">
        <f t="shared" si="18"/>
        <v>0</v>
      </c>
    </row>
    <row r="168" spans="1:30">
      <c r="A168" s="214" t="s">
        <v>2</v>
      </c>
      <c r="B168" s="215" t="s">
        <v>546</v>
      </c>
      <c r="C168" s="215" t="s">
        <v>546</v>
      </c>
      <c r="D168" s="214">
        <v>100</v>
      </c>
      <c r="E168" s="214" t="str">
        <f t="shared" si="14"/>
        <v xml:space="preserve"> </v>
      </c>
      <c r="F168" s="216" t="s">
        <v>2</v>
      </c>
      <c r="G168" s="217" t="str">
        <f t="shared" si="15"/>
        <v xml:space="preserve"> </v>
      </c>
      <c r="H168" s="214" t="s">
        <v>2</v>
      </c>
      <c r="I168" s="215" t="s">
        <v>2</v>
      </c>
      <c r="J168" s="215" t="s">
        <v>2</v>
      </c>
      <c r="K168" s="214">
        <v>100</v>
      </c>
      <c r="L168" s="214" t="str">
        <f t="shared" si="16"/>
        <v xml:space="preserve"> </v>
      </c>
      <c r="M168" s="216" t="s">
        <v>2</v>
      </c>
      <c r="N168" s="217" t="str">
        <f t="shared" si="13"/>
        <v xml:space="preserve">0 </v>
      </c>
      <c r="O168" s="217" t="s">
        <v>546</v>
      </c>
      <c r="P168" s="219">
        <f t="array" ref="P168">IFERROR(SUM(N168*50%,N168,10,G168*50%+G168,O168),)</f>
        <v>0</v>
      </c>
      <c r="Q168" s="214" t="s">
        <v>2</v>
      </c>
      <c r="R168" s="217" t="s">
        <v>2</v>
      </c>
      <c r="S168" s="214" t="s">
        <v>2</v>
      </c>
      <c r="T168" s="220">
        <v>0</v>
      </c>
      <c r="U168" s="217">
        <v>0</v>
      </c>
      <c r="V168" s="221" t="s">
        <v>548</v>
      </c>
      <c r="W168" s="217">
        <v>0</v>
      </c>
      <c r="X168" s="217" t="s">
        <v>548</v>
      </c>
      <c r="Y168" s="217" t="s">
        <v>548</v>
      </c>
      <c r="Z168" s="222">
        <f t="shared" si="17"/>
        <v>0</v>
      </c>
      <c r="AB168" s="217">
        <v>0</v>
      </c>
      <c r="AD168" s="223">
        <f t="shared" si="18"/>
        <v>0</v>
      </c>
    </row>
    <row r="169" spans="1:30">
      <c r="A169" s="214" t="s">
        <v>2</v>
      </c>
      <c r="B169" s="215" t="s">
        <v>546</v>
      </c>
      <c r="C169" s="215" t="s">
        <v>546</v>
      </c>
      <c r="D169" s="214">
        <v>100</v>
      </c>
      <c r="E169" s="214" t="str">
        <f t="shared" si="14"/>
        <v xml:space="preserve"> </v>
      </c>
      <c r="F169" s="216" t="s">
        <v>2</v>
      </c>
      <c r="G169" s="217" t="str">
        <f t="shared" si="15"/>
        <v xml:space="preserve"> </v>
      </c>
      <c r="H169" s="214" t="s">
        <v>2</v>
      </c>
      <c r="I169" s="215" t="s">
        <v>2</v>
      </c>
      <c r="J169" s="215" t="s">
        <v>2</v>
      </c>
      <c r="K169" s="214">
        <v>100</v>
      </c>
      <c r="L169" s="214" t="str">
        <f t="shared" si="16"/>
        <v xml:space="preserve"> </v>
      </c>
      <c r="M169" s="216" t="s">
        <v>2</v>
      </c>
      <c r="N169" s="217" t="str">
        <f t="shared" ref="N169:N201" si="19">IFERROR(SUM(L169*M169),"0 ")</f>
        <v xml:space="preserve">0 </v>
      </c>
      <c r="O169" s="217" t="s">
        <v>546</v>
      </c>
      <c r="P169" s="219">
        <f t="array" ref="P169">IFERROR(SUM(N169*50%,N169,10,G169*50%+G169,O169),)</f>
        <v>0</v>
      </c>
      <c r="Q169" s="214" t="s">
        <v>2</v>
      </c>
      <c r="R169" s="217" t="s">
        <v>2</v>
      </c>
      <c r="S169" s="214" t="s">
        <v>2</v>
      </c>
      <c r="T169" s="220">
        <v>0</v>
      </c>
      <c r="U169" s="217">
        <v>0</v>
      </c>
      <c r="V169" s="221" t="s">
        <v>548</v>
      </c>
      <c r="W169" s="217">
        <v>0</v>
      </c>
      <c r="X169" s="217" t="s">
        <v>548</v>
      </c>
      <c r="Y169" s="217" t="s">
        <v>548</v>
      </c>
      <c r="Z169" s="222">
        <f t="shared" si="17"/>
        <v>0</v>
      </c>
      <c r="AB169" s="217">
        <v>0</v>
      </c>
      <c r="AD169" s="223">
        <f t="shared" si="18"/>
        <v>0</v>
      </c>
    </row>
    <row r="170" spans="1:30">
      <c r="A170" s="214" t="s">
        <v>2</v>
      </c>
      <c r="B170" s="215" t="s">
        <v>546</v>
      </c>
      <c r="C170" s="215" t="s">
        <v>546</v>
      </c>
      <c r="D170" s="214">
        <v>100</v>
      </c>
      <c r="E170" s="214" t="str">
        <f t="shared" si="14"/>
        <v xml:space="preserve"> </v>
      </c>
      <c r="F170" s="216" t="s">
        <v>2</v>
      </c>
      <c r="G170" s="217" t="str">
        <f t="shared" si="15"/>
        <v xml:space="preserve"> </v>
      </c>
      <c r="H170" s="214" t="s">
        <v>2</v>
      </c>
      <c r="I170" s="215" t="s">
        <v>2</v>
      </c>
      <c r="J170" s="215" t="s">
        <v>2</v>
      </c>
      <c r="K170" s="214">
        <v>100</v>
      </c>
      <c r="L170" s="214" t="str">
        <f t="shared" si="16"/>
        <v xml:space="preserve"> </v>
      </c>
      <c r="M170" s="216" t="s">
        <v>2</v>
      </c>
      <c r="N170" s="217" t="str">
        <f t="shared" si="19"/>
        <v xml:space="preserve">0 </v>
      </c>
      <c r="O170" s="217" t="s">
        <v>546</v>
      </c>
      <c r="P170" s="219">
        <f t="array" ref="P170">IFERROR(SUM(N170*50%,N170,10,G170*50%+G170,O170),)</f>
        <v>0</v>
      </c>
      <c r="Q170" s="214" t="s">
        <v>2</v>
      </c>
      <c r="R170" s="217" t="s">
        <v>2</v>
      </c>
      <c r="S170" s="214" t="s">
        <v>2</v>
      </c>
      <c r="T170" s="220">
        <v>0</v>
      </c>
      <c r="U170" s="217">
        <v>0</v>
      </c>
      <c r="V170" s="221" t="s">
        <v>548</v>
      </c>
      <c r="W170" s="217">
        <v>0</v>
      </c>
      <c r="X170" s="217" t="s">
        <v>548</v>
      </c>
      <c r="Y170" s="217" t="s">
        <v>548</v>
      </c>
      <c r="Z170" s="222">
        <f t="shared" si="17"/>
        <v>0</v>
      </c>
      <c r="AB170" s="217">
        <v>0</v>
      </c>
      <c r="AD170" s="223">
        <f t="shared" si="18"/>
        <v>0</v>
      </c>
    </row>
    <row r="171" spans="1:30">
      <c r="A171" s="214" t="s">
        <v>2</v>
      </c>
      <c r="B171" s="215" t="s">
        <v>546</v>
      </c>
      <c r="C171" s="215" t="s">
        <v>546</v>
      </c>
      <c r="D171" s="214">
        <v>100</v>
      </c>
      <c r="E171" s="214" t="str">
        <f t="shared" si="14"/>
        <v xml:space="preserve"> </v>
      </c>
      <c r="F171" s="216" t="s">
        <v>2</v>
      </c>
      <c r="G171" s="217" t="str">
        <f t="shared" si="15"/>
        <v xml:space="preserve"> </v>
      </c>
      <c r="H171" s="214" t="s">
        <v>2</v>
      </c>
      <c r="I171" s="215" t="s">
        <v>2</v>
      </c>
      <c r="J171" s="215" t="s">
        <v>2</v>
      </c>
      <c r="K171" s="214">
        <v>100</v>
      </c>
      <c r="L171" s="214" t="str">
        <f t="shared" si="16"/>
        <v xml:space="preserve"> </v>
      </c>
      <c r="M171" s="216" t="s">
        <v>2</v>
      </c>
      <c r="N171" s="217" t="str">
        <f t="shared" si="19"/>
        <v xml:space="preserve">0 </v>
      </c>
      <c r="O171" s="217" t="s">
        <v>546</v>
      </c>
      <c r="P171" s="219">
        <f t="array" ref="P171">IFERROR(SUM(N171*50%,N171,10,G171*50%+G171,O171),)</f>
        <v>0</v>
      </c>
      <c r="Q171" s="214" t="s">
        <v>2</v>
      </c>
      <c r="R171" s="217" t="s">
        <v>2</v>
      </c>
      <c r="S171" s="214" t="s">
        <v>2</v>
      </c>
      <c r="T171" s="220">
        <v>0</v>
      </c>
      <c r="U171" s="217">
        <v>0</v>
      </c>
      <c r="V171" s="221" t="s">
        <v>548</v>
      </c>
      <c r="W171" s="217">
        <v>0</v>
      </c>
      <c r="X171" s="217" t="s">
        <v>548</v>
      </c>
      <c r="Y171" s="217" t="s">
        <v>548</v>
      </c>
      <c r="Z171" s="222">
        <f t="shared" si="17"/>
        <v>0</v>
      </c>
      <c r="AB171" s="217">
        <v>0</v>
      </c>
      <c r="AD171" s="223">
        <f t="shared" si="18"/>
        <v>0</v>
      </c>
    </row>
    <row r="172" spans="1:30">
      <c r="A172" s="214" t="s">
        <v>2</v>
      </c>
      <c r="B172" s="215" t="s">
        <v>546</v>
      </c>
      <c r="C172" s="215" t="s">
        <v>546</v>
      </c>
      <c r="D172" s="214">
        <v>100</v>
      </c>
      <c r="E172" s="214" t="str">
        <f t="shared" si="14"/>
        <v xml:space="preserve"> </v>
      </c>
      <c r="F172" s="216" t="s">
        <v>2</v>
      </c>
      <c r="G172" s="217" t="str">
        <f t="shared" si="15"/>
        <v xml:space="preserve"> </v>
      </c>
      <c r="H172" s="214" t="s">
        <v>2</v>
      </c>
      <c r="I172" s="215" t="s">
        <v>2</v>
      </c>
      <c r="J172" s="215" t="s">
        <v>2</v>
      </c>
      <c r="K172" s="214">
        <v>100</v>
      </c>
      <c r="L172" s="214" t="str">
        <f t="shared" si="16"/>
        <v xml:space="preserve"> </v>
      </c>
      <c r="M172" s="216" t="s">
        <v>2</v>
      </c>
      <c r="N172" s="217" t="str">
        <f t="shared" si="19"/>
        <v xml:space="preserve">0 </v>
      </c>
      <c r="O172" s="217" t="s">
        <v>546</v>
      </c>
      <c r="P172" s="219">
        <f t="array" ref="P172">IFERROR(SUM(N172*50%,N172,10,G172*50%+G172,O172),)</f>
        <v>0</v>
      </c>
      <c r="Q172" s="214" t="s">
        <v>2</v>
      </c>
      <c r="R172" s="217" t="s">
        <v>2</v>
      </c>
      <c r="S172" s="214" t="s">
        <v>2</v>
      </c>
      <c r="T172" s="220">
        <v>0</v>
      </c>
      <c r="U172" s="217">
        <v>0</v>
      </c>
      <c r="V172" s="221" t="s">
        <v>548</v>
      </c>
      <c r="W172" s="217">
        <v>0</v>
      </c>
      <c r="X172" s="217" t="s">
        <v>548</v>
      </c>
      <c r="Y172" s="217" t="s">
        <v>548</v>
      </c>
      <c r="Z172" s="222">
        <f t="shared" si="17"/>
        <v>0</v>
      </c>
      <c r="AB172" s="217">
        <v>0</v>
      </c>
      <c r="AD172" s="223">
        <f t="shared" si="18"/>
        <v>0</v>
      </c>
    </row>
    <row r="173" spans="1:30">
      <c r="A173" s="214" t="s">
        <v>2</v>
      </c>
      <c r="B173" s="215" t="s">
        <v>546</v>
      </c>
      <c r="C173" s="215" t="s">
        <v>546</v>
      </c>
      <c r="D173" s="214">
        <v>100</v>
      </c>
      <c r="E173" s="214" t="str">
        <f t="shared" si="14"/>
        <v xml:space="preserve"> </v>
      </c>
      <c r="F173" s="216" t="s">
        <v>2</v>
      </c>
      <c r="G173" s="217" t="str">
        <f t="shared" si="15"/>
        <v xml:space="preserve"> </v>
      </c>
      <c r="H173" s="214" t="s">
        <v>2</v>
      </c>
      <c r="I173" s="215" t="s">
        <v>2</v>
      </c>
      <c r="J173" s="215" t="s">
        <v>2</v>
      </c>
      <c r="K173" s="214">
        <v>100</v>
      </c>
      <c r="L173" s="214" t="str">
        <f t="shared" si="16"/>
        <v xml:space="preserve"> </v>
      </c>
      <c r="M173" s="216" t="s">
        <v>2</v>
      </c>
      <c r="N173" s="217" t="str">
        <f t="shared" si="19"/>
        <v xml:space="preserve">0 </v>
      </c>
      <c r="O173" s="217" t="s">
        <v>546</v>
      </c>
      <c r="P173" s="219">
        <f t="array" ref="P173">IFERROR(SUM(N173*50%,N173,10,G173*50%+G173,O173),)</f>
        <v>0</v>
      </c>
      <c r="Q173" s="214" t="s">
        <v>2</v>
      </c>
      <c r="R173" s="217" t="s">
        <v>2</v>
      </c>
      <c r="S173" s="214" t="s">
        <v>2</v>
      </c>
      <c r="T173" s="220">
        <v>0</v>
      </c>
      <c r="U173" s="217">
        <v>0</v>
      </c>
      <c r="V173" s="221" t="s">
        <v>548</v>
      </c>
      <c r="W173" s="217">
        <v>0</v>
      </c>
      <c r="X173" s="217" t="s">
        <v>548</v>
      </c>
      <c r="Y173" s="217" t="s">
        <v>548</v>
      </c>
      <c r="Z173" s="222">
        <f t="shared" si="17"/>
        <v>0</v>
      </c>
      <c r="AB173" s="217">
        <v>0</v>
      </c>
      <c r="AD173" s="223">
        <f t="shared" si="18"/>
        <v>0</v>
      </c>
    </row>
    <row r="174" spans="1:30">
      <c r="A174" s="214" t="s">
        <v>2</v>
      </c>
      <c r="B174" s="215" t="s">
        <v>546</v>
      </c>
      <c r="C174" s="215" t="s">
        <v>546</v>
      </c>
      <c r="D174" s="214">
        <v>100</v>
      </c>
      <c r="E174" s="214" t="str">
        <f t="shared" si="14"/>
        <v xml:space="preserve"> </v>
      </c>
      <c r="F174" s="216" t="s">
        <v>2</v>
      </c>
      <c r="G174" s="217" t="str">
        <f t="shared" si="15"/>
        <v xml:space="preserve"> </v>
      </c>
      <c r="H174" s="214" t="s">
        <v>2</v>
      </c>
      <c r="I174" s="215" t="s">
        <v>2</v>
      </c>
      <c r="J174" s="215" t="s">
        <v>2</v>
      </c>
      <c r="K174" s="214">
        <v>100</v>
      </c>
      <c r="L174" s="214" t="str">
        <f t="shared" si="16"/>
        <v xml:space="preserve"> </v>
      </c>
      <c r="M174" s="216" t="s">
        <v>2</v>
      </c>
      <c r="N174" s="217" t="str">
        <f t="shared" si="19"/>
        <v xml:space="preserve">0 </v>
      </c>
      <c r="O174" s="217" t="s">
        <v>546</v>
      </c>
      <c r="P174" s="219">
        <f t="array" ref="P174">IFERROR(SUM(N174*50%,N174,10,G174*50%+G174,O174),)</f>
        <v>0</v>
      </c>
      <c r="Q174" s="214" t="s">
        <v>2</v>
      </c>
      <c r="R174" s="217" t="s">
        <v>2</v>
      </c>
      <c r="S174" s="214" t="s">
        <v>2</v>
      </c>
      <c r="T174" s="220">
        <v>0</v>
      </c>
      <c r="U174" s="217">
        <v>0</v>
      </c>
      <c r="V174" s="221" t="s">
        <v>548</v>
      </c>
      <c r="W174" s="217">
        <v>0</v>
      </c>
      <c r="X174" s="217" t="s">
        <v>548</v>
      </c>
      <c r="Y174" s="217" t="s">
        <v>548</v>
      </c>
      <c r="Z174" s="222">
        <f t="shared" si="17"/>
        <v>0</v>
      </c>
      <c r="AB174" s="217">
        <v>0</v>
      </c>
      <c r="AD174" s="223">
        <f t="shared" si="18"/>
        <v>0</v>
      </c>
    </row>
    <row r="175" spans="1:30">
      <c r="A175" s="214" t="s">
        <v>2</v>
      </c>
      <c r="B175" s="215" t="s">
        <v>546</v>
      </c>
      <c r="C175" s="215" t="s">
        <v>546</v>
      </c>
      <c r="D175" s="214">
        <v>100</v>
      </c>
      <c r="E175" s="214" t="str">
        <f t="shared" si="14"/>
        <v xml:space="preserve"> </v>
      </c>
      <c r="F175" s="216" t="s">
        <v>2</v>
      </c>
      <c r="G175" s="217" t="str">
        <f t="shared" si="15"/>
        <v xml:space="preserve"> </v>
      </c>
      <c r="H175" s="214" t="s">
        <v>2</v>
      </c>
      <c r="I175" s="215" t="s">
        <v>2</v>
      </c>
      <c r="J175" s="215" t="s">
        <v>2</v>
      </c>
      <c r="K175" s="214">
        <v>100</v>
      </c>
      <c r="L175" s="214" t="str">
        <f t="shared" si="16"/>
        <v xml:space="preserve"> </v>
      </c>
      <c r="M175" s="216" t="s">
        <v>2</v>
      </c>
      <c r="N175" s="217" t="str">
        <f t="shared" si="19"/>
        <v xml:space="preserve">0 </v>
      </c>
      <c r="O175" s="217" t="s">
        <v>546</v>
      </c>
      <c r="P175" s="219">
        <f t="array" ref="P175">IFERROR(SUM(N175*50%,N175,10,G175*50%+G175,O175),)</f>
        <v>0</v>
      </c>
      <c r="Q175" s="214" t="s">
        <v>2</v>
      </c>
      <c r="R175" s="217" t="s">
        <v>2</v>
      </c>
      <c r="S175" s="214" t="s">
        <v>2</v>
      </c>
      <c r="T175" s="220">
        <v>0</v>
      </c>
      <c r="U175" s="217">
        <v>0</v>
      </c>
      <c r="V175" s="221" t="s">
        <v>548</v>
      </c>
      <c r="W175" s="217">
        <v>0</v>
      </c>
      <c r="X175" s="217" t="s">
        <v>548</v>
      </c>
      <c r="Y175" s="217" t="s">
        <v>548</v>
      </c>
      <c r="Z175" s="222">
        <f t="shared" si="17"/>
        <v>0</v>
      </c>
      <c r="AB175" s="217">
        <v>0</v>
      </c>
      <c r="AD175" s="223">
        <f t="shared" si="18"/>
        <v>0</v>
      </c>
    </row>
    <row r="176" spans="1:30">
      <c r="A176" s="214" t="s">
        <v>2</v>
      </c>
      <c r="B176" s="215" t="s">
        <v>546</v>
      </c>
      <c r="C176" s="215" t="s">
        <v>546</v>
      </c>
      <c r="D176" s="214">
        <v>100</v>
      </c>
      <c r="E176" s="214" t="str">
        <f t="shared" si="14"/>
        <v xml:space="preserve"> </v>
      </c>
      <c r="F176" s="216" t="s">
        <v>2</v>
      </c>
      <c r="G176" s="217" t="str">
        <f t="shared" si="15"/>
        <v xml:space="preserve"> </v>
      </c>
      <c r="H176" s="214" t="s">
        <v>2</v>
      </c>
      <c r="I176" s="215" t="s">
        <v>2</v>
      </c>
      <c r="J176" s="215" t="s">
        <v>2</v>
      </c>
      <c r="K176" s="214">
        <v>100</v>
      </c>
      <c r="L176" s="214" t="str">
        <f t="shared" si="16"/>
        <v xml:space="preserve"> </v>
      </c>
      <c r="M176" s="216" t="s">
        <v>2</v>
      </c>
      <c r="N176" s="217" t="str">
        <f t="shared" si="19"/>
        <v xml:space="preserve">0 </v>
      </c>
      <c r="O176" s="217" t="s">
        <v>546</v>
      </c>
      <c r="P176" s="219">
        <f t="array" ref="P176">IFERROR(SUM(N176*50%,N176,10,G176*50%+G176,O176),)</f>
        <v>0</v>
      </c>
      <c r="Q176" s="214" t="s">
        <v>2</v>
      </c>
      <c r="R176" s="217" t="s">
        <v>2</v>
      </c>
      <c r="S176" s="214" t="s">
        <v>2</v>
      </c>
      <c r="T176" s="220">
        <v>0</v>
      </c>
      <c r="U176" s="217">
        <v>0</v>
      </c>
      <c r="V176" s="221" t="s">
        <v>548</v>
      </c>
      <c r="W176" s="217">
        <v>0</v>
      </c>
      <c r="X176" s="217" t="s">
        <v>548</v>
      </c>
      <c r="Y176" s="217" t="s">
        <v>548</v>
      </c>
      <c r="Z176" s="222">
        <f t="shared" si="17"/>
        <v>0</v>
      </c>
      <c r="AB176" s="217">
        <v>0</v>
      </c>
      <c r="AD176" s="223">
        <f t="shared" si="18"/>
        <v>0</v>
      </c>
    </row>
    <row r="177" spans="1:30">
      <c r="A177" s="214" t="s">
        <v>2</v>
      </c>
      <c r="B177" s="215" t="s">
        <v>546</v>
      </c>
      <c r="C177" s="215" t="s">
        <v>546</v>
      </c>
      <c r="D177" s="214">
        <v>100</v>
      </c>
      <c r="E177" s="214" t="str">
        <f t="shared" si="14"/>
        <v xml:space="preserve"> </v>
      </c>
      <c r="F177" s="216" t="s">
        <v>2</v>
      </c>
      <c r="G177" s="217" t="str">
        <f t="shared" si="15"/>
        <v xml:space="preserve"> </v>
      </c>
      <c r="H177" s="214" t="s">
        <v>2</v>
      </c>
      <c r="I177" s="215" t="s">
        <v>2</v>
      </c>
      <c r="J177" s="215" t="s">
        <v>2</v>
      </c>
      <c r="K177" s="214">
        <v>100</v>
      </c>
      <c r="L177" s="214" t="str">
        <f t="shared" si="16"/>
        <v xml:space="preserve"> </v>
      </c>
      <c r="M177" s="216" t="s">
        <v>2</v>
      </c>
      <c r="N177" s="217" t="str">
        <f t="shared" si="19"/>
        <v xml:space="preserve">0 </v>
      </c>
      <c r="O177" s="217" t="s">
        <v>546</v>
      </c>
      <c r="P177" s="219">
        <f t="array" ref="P177">IFERROR(SUM(N177*50%,N177,10,G177*50%+G177,O177),)</f>
        <v>0</v>
      </c>
      <c r="Q177" s="214" t="s">
        <v>2</v>
      </c>
      <c r="R177" s="217" t="s">
        <v>2</v>
      </c>
      <c r="S177" s="214" t="s">
        <v>2</v>
      </c>
      <c r="T177" s="220">
        <v>0</v>
      </c>
      <c r="U177" s="217">
        <v>0</v>
      </c>
      <c r="V177" s="221" t="s">
        <v>548</v>
      </c>
      <c r="W177" s="217">
        <v>0</v>
      </c>
      <c r="X177" s="217" t="s">
        <v>548</v>
      </c>
      <c r="Y177" s="217" t="s">
        <v>548</v>
      </c>
      <c r="Z177" s="222">
        <f t="shared" si="17"/>
        <v>0</v>
      </c>
      <c r="AB177" s="217">
        <v>0</v>
      </c>
      <c r="AD177" s="223">
        <f t="shared" si="18"/>
        <v>0</v>
      </c>
    </row>
    <row r="178" spans="1:30">
      <c r="A178" s="214" t="s">
        <v>2</v>
      </c>
      <c r="B178" s="215" t="s">
        <v>546</v>
      </c>
      <c r="C178" s="215" t="s">
        <v>546</v>
      </c>
      <c r="D178" s="214">
        <v>100</v>
      </c>
      <c r="E178" s="214" t="str">
        <f t="shared" si="14"/>
        <v xml:space="preserve"> </v>
      </c>
      <c r="F178" s="216" t="s">
        <v>2</v>
      </c>
      <c r="G178" s="217" t="str">
        <f t="shared" si="15"/>
        <v xml:space="preserve"> </v>
      </c>
      <c r="H178" s="214" t="s">
        <v>2</v>
      </c>
      <c r="I178" s="215" t="s">
        <v>2</v>
      </c>
      <c r="J178" s="215" t="s">
        <v>2</v>
      </c>
      <c r="K178" s="214">
        <v>100</v>
      </c>
      <c r="L178" s="214" t="str">
        <f t="shared" si="16"/>
        <v xml:space="preserve"> </v>
      </c>
      <c r="M178" s="216" t="s">
        <v>2</v>
      </c>
      <c r="N178" s="217" t="str">
        <f t="shared" si="19"/>
        <v xml:space="preserve">0 </v>
      </c>
      <c r="O178" s="217" t="s">
        <v>546</v>
      </c>
      <c r="P178" s="219">
        <f t="array" ref="P178">IFERROR(SUM(N178*50%,N178,10,G178*50%+G178,O178),)</f>
        <v>0</v>
      </c>
      <c r="Q178" s="214" t="s">
        <v>2</v>
      </c>
      <c r="R178" s="217" t="s">
        <v>2</v>
      </c>
      <c r="S178" s="214" t="s">
        <v>2</v>
      </c>
      <c r="T178" s="220">
        <v>0</v>
      </c>
      <c r="U178" s="217">
        <v>0</v>
      </c>
      <c r="V178" s="221" t="s">
        <v>548</v>
      </c>
      <c r="W178" s="217">
        <v>0</v>
      </c>
      <c r="X178" s="217" t="s">
        <v>548</v>
      </c>
      <c r="Y178" s="217" t="s">
        <v>548</v>
      </c>
      <c r="Z178" s="222">
        <f t="shared" si="17"/>
        <v>0</v>
      </c>
      <c r="AB178" s="217">
        <v>0</v>
      </c>
      <c r="AD178" s="223">
        <f t="shared" si="18"/>
        <v>0</v>
      </c>
    </row>
    <row r="179" spans="1:30">
      <c r="A179" s="214" t="s">
        <v>2</v>
      </c>
      <c r="B179" s="215" t="s">
        <v>546</v>
      </c>
      <c r="C179" s="215" t="s">
        <v>546</v>
      </c>
      <c r="D179" s="214">
        <v>100</v>
      </c>
      <c r="E179" s="214" t="str">
        <f t="shared" si="14"/>
        <v xml:space="preserve"> </v>
      </c>
      <c r="F179" s="216" t="s">
        <v>2</v>
      </c>
      <c r="G179" s="217" t="str">
        <f t="shared" si="15"/>
        <v xml:space="preserve"> </v>
      </c>
      <c r="H179" s="214" t="s">
        <v>2</v>
      </c>
      <c r="I179" s="215" t="s">
        <v>2</v>
      </c>
      <c r="J179" s="215" t="s">
        <v>2</v>
      </c>
      <c r="K179" s="214">
        <v>100</v>
      </c>
      <c r="L179" s="214" t="str">
        <f t="shared" si="16"/>
        <v xml:space="preserve"> </v>
      </c>
      <c r="M179" s="216" t="s">
        <v>2</v>
      </c>
      <c r="N179" s="217" t="str">
        <f t="shared" si="19"/>
        <v xml:space="preserve">0 </v>
      </c>
      <c r="O179" s="217" t="s">
        <v>546</v>
      </c>
      <c r="P179" s="219">
        <f t="array" ref="P179">IFERROR(SUM(N179*50%,N179,10,G179*50%+G179,O179),)</f>
        <v>0</v>
      </c>
      <c r="Q179" s="214" t="s">
        <v>2</v>
      </c>
      <c r="R179" s="217" t="s">
        <v>2</v>
      </c>
      <c r="S179" s="214" t="s">
        <v>2</v>
      </c>
      <c r="T179" s="220">
        <v>0</v>
      </c>
      <c r="U179" s="217">
        <v>0</v>
      </c>
      <c r="V179" s="221" t="s">
        <v>548</v>
      </c>
      <c r="W179" s="217">
        <v>0</v>
      </c>
      <c r="X179" s="217" t="s">
        <v>548</v>
      </c>
      <c r="Y179" s="217" t="s">
        <v>548</v>
      </c>
      <c r="Z179" s="222">
        <f t="shared" si="17"/>
        <v>0</v>
      </c>
      <c r="AB179" s="217">
        <v>0</v>
      </c>
      <c r="AD179" s="223">
        <f t="shared" si="18"/>
        <v>0</v>
      </c>
    </row>
    <row r="180" spans="1:30">
      <c r="A180" s="214" t="s">
        <v>2</v>
      </c>
      <c r="B180" s="215" t="s">
        <v>546</v>
      </c>
      <c r="C180" s="215" t="s">
        <v>546</v>
      </c>
      <c r="D180" s="214">
        <v>100</v>
      </c>
      <c r="E180" s="214" t="str">
        <f t="shared" si="14"/>
        <v xml:space="preserve"> </v>
      </c>
      <c r="F180" s="216" t="s">
        <v>2</v>
      </c>
      <c r="G180" s="217" t="str">
        <f t="shared" si="15"/>
        <v xml:space="preserve"> </v>
      </c>
      <c r="H180" s="214" t="s">
        <v>2</v>
      </c>
      <c r="I180" s="215" t="s">
        <v>2</v>
      </c>
      <c r="J180" s="215" t="s">
        <v>2</v>
      </c>
      <c r="K180" s="214">
        <v>100</v>
      </c>
      <c r="L180" s="214" t="str">
        <f t="shared" si="16"/>
        <v xml:space="preserve"> </v>
      </c>
      <c r="M180" s="216" t="s">
        <v>2</v>
      </c>
      <c r="N180" s="217" t="str">
        <f t="shared" si="19"/>
        <v xml:space="preserve">0 </v>
      </c>
      <c r="O180" s="217" t="s">
        <v>546</v>
      </c>
      <c r="P180" s="219">
        <f t="array" ref="P180">IFERROR(SUM(N180*50%,N180,10,G180*50%+G180,O180),)</f>
        <v>0</v>
      </c>
      <c r="Q180" s="214" t="s">
        <v>2</v>
      </c>
      <c r="R180" s="217" t="s">
        <v>2</v>
      </c>
      <c r="S180" s="214" t="s">
        <v>2</v>
      </c>
      <c r="T180" s="220">
        <v>0</v>
      </c>
      <c r="U180" s="217">
        <v>0</v>
      </c>
      <c r="V180" s="221" t="s">
        <v>548</v>
      </c>
      <c r="W180" s="217">
        <v>0</v>
      </c>
      <c r="X180" s="217" t="s">
        <v>548</v>
      </c>
      <c r="Y180" s="217" t="s">
        <v>548</v>
      </c>
      <c r="Z180" s="222">
        <f t="shared" si="17"/>
        <v>0</v>
      </c>
      <c r="AB180" s="217">
        <v>0</v>
      </c>
      <c r="AD180" s="223">
        <f t="shared" si="18"/>
        <v>0</v>
      </c>
    </row>
    <row r="181" spans="1:30">
      <c r="A181" s="214" t="s">
        <v>2</v>
      </c>
      <c r="B181" s="215" t="s">
        <v>546</v>
      </c>
      <c r="C181" s="215" t="s">
        <v>546</v>
      </c>
      <c r="D181" s="214">
        <v>100</v>
      </c>
      <c r="E181" s="214" t="str">
        <f t="shared" si="14"/>
        <v xml:space="preserve"> </v>
      </c>
      <c r="F181" s="216" t="s">
        <v>2</v>
      </c>
      <c r="G181" s="217" t="str">
        <f t="shared" si="15"/>
        <v xml:space="preserve"> </v>
      </c>
      <c r="H181" s="214" t="s">
        <v>2</v>
      </c>
      <c r="I181" s="215" t="s">
        <v>2</v>
      </c>
      <c r="J181" s="215" t="s">
        <v>2</v>
      </c>
      <c r="K181" s="214">
        <v>100</v>
      </c>
      <c r="L181" s="214" t="str">
        <f t="shared" si="16"/>
        <v xml:space="preserve"> </v>
      </c>
      <c r="M181" s="216" t="s">
        <v>2</v>
      </c>
      <c r="N181" s="217" t="str">
        <f t="shared" si="19"/>
        <v xml:space="preserve">0 </v>
      </c>
      <c r="O181" s="217" t="s">
        <v>546</v>
      </c>
      <c r="P181" s="219">
        <f t="array" ref="P181">IFERROR(SUM(N181*50%,N181,10,G181*50%+G181,O181),)</f>
        <v>0</v>
      </c>
      <c r="Q181" s="214" t="s">
        <v>2</v>
      </c>
      <c r="R181" s="217" t="s">
        <v>2</v>
      </c>
      <c r="S181" s="214" t="s">
        <v>2</v>
      </c>
      <c r="T181" s="220">
        <v>0</v>
      </c>
      <c r="U181" s="217">
        <v>0</v>
      </c>
      <c r="V181" s="221" t="s">
        <v>548</v>
      </c>
      <c r="W181" s="217">
        <v>0</v>
      </c>
      <c r="X181" s="217" t="s">
        <v>548</v>
      </c>
      <c r="Y181" s="217" t="s">
        <v>548</v>
      </c>
      <c r="Z181" s="222">
        <f t="shared" si="17"/>
        <v>0</v>
      </c>
      <c r="AB181" s="217">
        <v>0</v>
      </c>
      <c r="AD181" s="223">
        <f t="shared" si="18"/>
        <v>0</v>
      </c>
    </row>
    <row r="182" spans="1:30">
      <c r="A182" s="214" t="s">
        <v>2</v>
      </c>
      <c r="B182" s="215" t="s">
        <v>546</v>
      </c>
      <c r="C182" s="215" t="s">
        <v>546</v>
      </c>
      <c r="D182" s="214">
        <v>100</v>
      </c>
      <c r="E182" s="214" t="str">
        <f t="shared" si="14"/>
        <v xml:space="preserve"> </v>
      </c>
      <c r="F182" s="216" t="s">
        <v>2</v>
      </c>
      <c r="G182" s="217" t="str">
        <f t="shared" si="15"/>
        <v xml:space="preserve"> </v>
      </c>
      <c r="H182" s="214" t="s">
        <v>2</v>
      </c>
      <c r="I182" s="215" t="s">
        <v>2</v>
      </c>
      <c r="J182" s="215" t="s">
        <v>2</v>
      </c>
      <c r="K182" s="214">
        <v>100</v>
      </c>
      <c r="L182" s="214" t="str">
        <f t="shared" si="16"/>
        <v xml:space="preserve"> </v>
      </c>
      <c r="M182" s="216" t="s">
        <v>2</v>
      </c>
      <c r="N182" s="217" t="str">
        <f t="shared" si="19"/>
        <v xml:space="preserve">0 </v>
      </c>
      <c r="O182" s="217" t="s">
        <v>546</v>
      </c>
      <c r="P182" s="219">
        <f t="array" ref="P182">IFERROR(SUM(N182*50%,N182,10,G182*50%+G182,O182),)</f>
        <v>0</v>
      </c>
      <c r="Q182" s="214" t="s">
        <v>2</v>
      </c>
      <c r="R182" s="217" t="s">
        <v>2</v>
      </c>
      <c r="S182" s="214" t="s">
        <v>2</v>
      </c>
      <c r="T182" s="220">
        <v>0</v>
      </c>
      <c r="U182" s="217">
        <v>0</v>
      </c>
      <c r="V182" s="221" t="s">
        <v>548</v>
      </c>
      <c r="W182" s="217">
        <v>0</v>
      </c>
      <c r="X182" s="217" t="s">
        <v>548</v>
      </c>
      <c r="Y182" s="217" t="s">
        <v>548</v>
      </c>
      <c r="Z182" s="222">
        <f t="shared" si="17"/>
        <v>0</v>
      </c>
      <c r="AB182" s="217">
        <v>0</v>
      </c>
      <c r="AD182" s="223">
        <f t="shared" si="18"/>
        <v>0</v>
      </c>
    </row>
    <row r="183" spans="1:30">
      <c r="A183" s="214" t="s">
        <v>2</v>
      </c>
      <c r="B183" s="215" t="s">
        <v>546</v>
      </c>
      <c r="C183" s="215" t="s">
        <v>546</v>
      </c>
      <c r="D183" s="214">
        <v>100</v>
      </c>
      <c r="E183" s="214" t="str">
        <f t="shared" si="14"/>
        <v xml:space="preserve"> </v>
      </c>
      <c r="F183" s="216" t="s">
        <v>2</v>
      </c>
      <c r="G183" s="217" t="str">
        <f t="shared" si="15"/>
        <v xml:space="preserve"> </v>
      </c>
      <c r="H183" s="214" t="s">
        <v>2</v>
      </c>
      <c r="I183" s="215" t="s">
        <v>2</v>
      </c>
      <c r="J183" s="215" t="s">
        <v>2</v>
      </c>
      <c r="K183" s="214">
        <v>100</v>
      </c>
      <c r="L183" s="214" t="str">
        <f t="shared" si="16"/>
        <v xml:space="preserve"> </v>
      </c>
      <c r="M183" s="216" t="s">
        <v>2</v>
      </c>
      <c r="N183" s="217" t="str">
        <f t="shared" si="19"/>
        <v xml:space="preserve">0 </v>
      </c>
      <c r="O183" s="217" t="s">
        <v>546</v>
      </c>
      <c r="P183" s="219">
        <f t="array" ref="P183">IFERROR(SUM(N183*50%,N183,10,G183*50%+G183,O183),)</f>
        <v>0</v>
      </c>
      <c r="Q183" s="214" t="s">
        <v>2</v>
      </c>
      <c r="R183" s="217" t="s">
        <v>2</v>
      </c>
      <c r="S183" s="214" t="s">
        <v>2</v>
      </c>
      <c r="T183" s="220">
        <v>0</v>
      </c>
      <c r="U183" s="217">
        <v>0</v>
      </c>
      <c r="V183" s="221" t="s">
        <v>548</v>
      </c>
      <c r="W183" s="217">
        <v>0</v>
      </c>
      <c r="X183" s="217" t="s">
        <v>548</v>
      </c>
      <c r="Y183" s="217" t="s">
        <v>548</v>
      </c>
      <c r="Z183" s="222">
        <f t="shared" si="17"/>
        <v>0</v>
      </c>
      <c r="AB183" s="217">
        <v>0</v>
      </c>
      <c r="AD183" s="223">
        <f t="shared" si="18"/>
        <v>0</v>
      </c>
    </row>
    <row r="184" spans="1:30">
      <c r="A184" s="214" t="s">
        <v>2</v>
      </c>
      <c r="B184" s="215" t="s">
        <v>546</v>
      </c>
      <c r="C184" s="215" t="s">
        <v>546</v>
      </c>
      <c r="D184" s="214">
        <v>100</v>
      </c>
      <c r="E184" s="214" t="str">
        <f t="shared" si="14"/>
        <v xml:space="preserve"> </v>
      </c>
      <c r="F184" s="216" t="s">
        <v>2</v>
      </c>
      <c r="G184" s="217" t="str">
        <f t="shared" si="15"/>
        <v xml:space="preserve"> </v>
      </c>
      <c r="H184" s="214" t="s">
        <v>2</v>
      </c>
      <c r="I184" s="215" t="s">
        <v>2</v>
      </c>
      <c r="J184" s="215" t="s">
        <v>2</v>
      </c>
      <c r="K184" s="214">
        <v>100</v>
      </c>
      <c r="L184" s="214" t="str">
        <f t="shared" si="16"/>
        <v xml:space="preserve"> </v>
      </c>
      <c r="M184" s="216" t="s">
        <v>2</v>
      </c>
      <c r="N184" s="217" t="str">
        <f t="shared" si="19"/>
        <v xml:space="preserve">0 </v>
      </c>
      <c r="O184" s="217" t="s">
        <v>546</v>
      </c>
      <c r="P184" s="219">
        <f t="array" ref="P184">IFERROR(SUM(N184*50%,N184,10,G184*50%+G184,O184),)</f>
        <v>0</v>
      </c>
      <c r="Q184" s="214" t="s">
        <v>2</v>
      </c>
      <c r="R184" s="217" t="s">
        <v>2</v>
      </c>
      <c r="S184" s="214" t="s">
        <v>2</v>
      </c>
      <c r="T184" s="220">
        <v>0</v>
      </c>
      <c r="U184" s="217">
        <v>0</v>
      </c>
      <c r="V184" s="221" t="s">
        <v>548</v>
      </c>
      <c r="W184" s="217">
        <v>0</v>
      </c>
      <c r="X184" s="217" t="s">
        <v>548</v>
      </c>
      <c r="Y184" s="217" t="s">
        <v>548</v>
      </c>
      <c r="Z184" s="222">
        <f t="shared" si="17"/>
        <v>0</v>
      </c>
      <c r="AB184" s="217">
        <v>0</v>
      </c>
      <c r="AD184" s="223">
        <f t="shared" si="18"/>
        <v>0</v>
      </c>
    </row>
    <row r="185" spans="1:30">
      <c r="A185" s="214" t="s">
        <v>2</v>
      </c>
      <c r="B185" s="215" t="s">
        <v>546</v>
      </c>
      <c r="C185" s="215" t="s">
        <v>546</v>
      </c>
      <c r="D185" s="214">
        <v>100</v>
      </c>
      <c r="E185" s="214" t="str">
        <f t="shared" si="14"/>
        <v xml:space="preserve"> </v>
      </c>
      <c r="F185" s="216" t="s">
        <v>2</v>
      </c>
      <c r="G185" s="217" t="str">
        <f t="shared" si="15"/>
        <v xml:space="preserve"> </v>
      </c>
      <c r="H185" s="214" t="s">
        <v>2</v>
      </c>
      <c r="I185" s="215" t="s">
        <v>2</v>
      </c>
      <c r="J185" s="215" t="s">
        <v>2</v>
      </c>
      <c r="K185" s="214">
        <v>100</v>
      </c>
      <c r="L185" s="214" t="str">
        <f t="shared" si="16"/>
        <v xml:space="preserve"> </v>
      </c>
      <c r="M185" s="216" t="s">
        <v>2</v>
      </c>
      <c r="N185" s="217" t="str">
        <f t="shared" si="19"/>
        <v xml:space="preserve">0 </v>
      </c>
      <c r="O185" s="217" t="s">
        <v>546</v>
      </c>
      <c r="P185" s="219">
        <f t="array" ref="P185">IFERROR(SUM(N185*50%,N185,10,G185*50%+G185,O185),)</f>
        <v>0</v>
      </c>
      <c r="Q185" s="214" t="s">
        <v>2</v>
      </c>
      <c r="R185" s="217" t="s">
        <v>2</v>
      </c>
      <c r="S185" s="214" t="s">
        <v>2</v>
      </c>
      <c r="T185" s="220">
        <v>0</v>
      </c>
      <c r="U185" s="217">
        <v>0</v>
      </c>
      <c r="V185" s="221" t="s">
        <v>548</v>
      </c>
      <c r="W185" s="217">
        <v>0</v>
      </c>
      <c r="X185" s="217" t="s">
        <v>548</v>
      </c>
      <c r="Y185" s="217" t="s">
        <v>548</v>
      </c>
      <c r="Z185" s="222">
        <f t="shared" si="17"/>
        <v>0</v>
      </c>
      <c r="AB185" s="217">
        <v>0</v>
      </c>
      <c r="AD185" s="223">
        <f t="shared" si="18"/>
        <v>0</v>
      </c>
    </row>
    <row r="186" spans="1:30">
      <c r="A186" s="214" t="s">
        <v>2</v>
      </c>
      <c r="B186" s="215" t="s">
        <v>546</v>
      </c>
      <c r="C186" s="215" t="s">
        <v>546</v>
      </c>
      <c r="D186" s="214">
        <v>100</v>
      </c>
      <c r="E186" s="214" t="str">
        <f t="shared" si="14"/>
        <v xml:space="preserve"> </v>
      </c>
      <c r="F186" s="216" t="s">
        <v>2</v>
      </c>
      <c r="G186" s="217" t="str">
        <f t="shared" si="15"/>
        <v xml:space="preserve"> </v>
      </c>
      <c r="H186" s="214" t="s">
        <v>2</v>
      </c>
      <c r="I186" s="215" t="s">
        <v>2</v>
      </c>
      <c r="J186" s="215" t="s">
        <v>2</v>
      </c>
      <c r="K186" s="214">
        <v>100</v>
      </c>
      <c r="L186" s="214" t="str">
        <f t="shared" si="16"/>
        <v xml:space="preserve"> </v>
      </c>
      <c r="M186" s="216" t="s">
        <v>2</v>
      </c>
      <c r="N186" s="217" t="str">
        <f t="shared" si="19"/>
        <v xml:space="preserve">0 </v>
      </c>
      <c r="O186" s="217" t="s">
        <v>546</v>
      </c>
      <c r="P186" s="219">
        <f t="array" ref="P186">IFERROR(SUM(N186*50%,N186,10,G186*50%+G186,O186),)</f>
        <v>0</v>
      </c>
      <c r="Q186" s="214" t="s">
        <v>2</v>
      </c>
      <c r="R186" s="217" t="s">
        <v>2</v>
      </c>
      <c r="S186" s="214" t="s">
        <v>2</v>
      </c>
      <c r="T186" s="220">
        <v>0</v>
      </c>
      <c r="U186" s="217">
        <v>0</v>
      </c>
      <c r="V186" s="221" t="s">
        <v>548</v>
      </c>
      <c r="W186" s="217">
        <v>0</v>
      </c>
      <c r="X186" s="217" t="s">
        <v>548</v>
      </c>
      <c r="Y186" s="217" t="s">
        <v>548</v>
      </c>
      <c r="Z186" s="222">
        <f t="shared" si="17"/>
        <v>0</v>
      </c>
      <c r="AB186" s="217">
        <v>0</v>
      </c>
      <c r="AD186" s="223">
        <f t="shared" si="18"/>
        <v>0</v>
      </c>
    </row>
    <row r="187" spans="1:30">
      <c r="A187" s="214" t="s">
        <v>2</v>
      </c>
      <c r="B187" s="215" t="s">
        <v>546</v>
      </c>
      <c r="C187" s="215" t="s">
        <v>546</v>
      </c>
      <c r="D187" s="214">
        <v>100</v>
      </c>
      <c r="E187" s="214" t="str">
        <f t="shared" si="14"/>
        <v xml:space="preserve"> </v>
      </c>
      <c r="F187" s="216" t="s">
        <v>2</v>
      </c>
      <c r="G187" s="217" t="str">
        <f t="shared" si="15"/>
        <v xml:space="preserve"> </v>
      </c>
      <c r="H187" s="214" t="s">
        <v>2</v>
      </c>
      <c r="I187" s="215" t="s">
        <v>2</v>
      </c>
      <c r="J187" s="215" t="s">
        <v>2</v>
      </c>
      <c r="K187" s="214">
        <v>100</v>
      </c>
      <c r="L187" s="214" t="str">
        <f t="shared" si="16"/>
        <v xml:space="preserve"> </v>
      </c>
      <c r="M187" s="216" t="s">
        <v>2</v>
      </c>
      <c r="N187" s="217" t="str">
        <f t="shared" si="19"/>
        <v xml:space="preserve">0 </v>
      </c>
      <c r="O187" s="217" t="s">
        <v>546</v>
      </c>
      <c r="P187" s="219">
        <f t="array" ref="P187">IFERROR(SUM(N187*50%,N187,10,G187*50%+G187,O187),)</f>
        <v>0</v>
      </c>
      <c r="Q187" s="214" t="s">
        <v>2</v>
      </c>
      <c r="R187" s="217" t="s">
        <v>2</v>
      </c>
      <c r="S187" s="214" t="s">
        <v>2</v>
      </c>
      <c r="T187" s="220">
        <v>0</v>
      </c>
      <c r="U187" s="217">
        <v>0</v>
      </c>
      <c r="V187" s="221" t="s">
        <v>548</v>
      </c>
      <c r="W187" s="217">
        <v>0</v>
      </c>
      <c r="X187" s="217" t="s">
        <v>548</v>
      </c>
      <c r="Y187" s="217" t="s">
        <v>548</v>
      </c>
      <c r="Z187" s="222">
        <f t="shared" si="17"/>
        <v>0</v>
      </c>
      <c r="AB187" s="217">
        <v>0</v>
      </c>
      <c r="AD187" s="223">
        <f t="shared" si="18"/>
        <v>0</v>
      </c>
    </row>
    <row r="188" spans="1:30">
      <c r="A188" s="214" t="s">
        <v>2</v>
      </c>
      <c r="B188" s="215" t="s">
        <v>546</v>
      </c>
      <c r="C188" s="215" t="s">
        <v>546</v>
      </c>
      <c r="D188" s="214">
        <v>100</v>
      </c>
      <c r="E188" s="214" t="str">
        <f t="shared" si="14"/>
        <v xml:space="preserve"> </v>
      </c>
      <c r="F188" s="216" t="s">
        <v>2</v>
      </c>
      <c r="G188" s="217" t="str">
        <f t="shared" si="15"/>
        <v xml:space="preserve"> </v>
      </c>
      <c r="H188" s="214" t="s">
        <v>2</v>
      </c>
      <c r="I188" s="215" t="s">
        <v>2</v>
      </c>
      <c r="J188" s="215" t="s">
        <v>2</v>
      </c>
      <c r="K188" s="214">
        <v>100</v>
      </c>
      <c r="L188" s="214" t="str">
        <f t="shared" si="16"/>
        <v xml:space="preserve"> </v>
      </c>
      <c r="M188" s="216" t="s">
        <v>2</v>
      </c>
      <c r="N188" s="217" t="str">
        <f t="shared" si="19"/>
        <v xml:space="preserve">0 </v>
      </c>
      <c r="O188" s="217" t="s">
        <v>546</v>
      </c>
      <c r="P188" s="219">
        <f t="array" ref="P188">IFERROR(SUM(N188*50%,N188,10,G188*50%+G188,O188),)</f>
        <v>0</v>
      </c>
      <c r="Q188" s="214" t="s">
        <v>2</v>
      </c>
      <c r="R188" s="217" t="s">
        <v>2</v>
      </c>
      <c r="S188" s="214" t="s">
        <v>2</v>
      </c>
      <c r="T188" s="220">
        <v>0</v>
      </c>
      <c r="U188" s="217">
        <v>0</v>
      </c>
      <c r="V188" s="221" t="s">
        <v>548</v>
      </c>
      <c r="W188" s="217">
        <v>0</v>
      </c>
      <c r="X188" s="217" t="s">
        <v>548</v>
      </c>
      <c r="Y188" s="217" t="s">
        <v>548</v>
      </c>
      <c r="Z188" s="222">
        <f t="shared" si="17"/>
        <v>0</v>
      </c>
      <c r="AB188" s="217">
        <v>0</v>
      </c>
      <c r="AD188" s="223">
        <f t="shared" si="18"/>
        <v>0</v>
      </c>
    </row>
    <row r="189" spans="1:30">
      <c r="A189" s="214" t="s">
        <v>2</v>
      </c>
      <c r="B189" s="215" t="s">
        <v>546</v>
      </c>
      <c r="C189" s="215" t="s">
        <v>546</v>
      </c>
      <c r="D189" s="214">
        <v>100</v>
      </c>
      <c r="E189" s="214" t="str">
        <f t="shared" si="14"/>
        <v xml:space="preserve"> </v>
      </c>
      <c r="F189" s="216" t="s">
        <v>2</v>
      </c>
      <c r="G189" s="217" t="str">
        <f t="shared" si="15"/>
        <v xml:space="preserve"> </v>
      </c>
      <c r="H189" s="214" t="s">
        <v>2</v>
      </c>
      <c r="I189" s="215" t="s">
        <v>2</v>
      </c>
      <c r="J189" s="215" t="s">
        <v>2</v>
      </c>
      <c r="K189" s="214">
        <v>100</v>
      </c>
      <c r="L189" s="214" t="str">
        <f t="shared" si="16"/>
        <v xml:space="preserve"> </v>
      </c>
      <c r="M189" s="216" t="s">
        <v>2</v>
      </c>
      <c r="N189" s="217" t="str">
        <f t="shared" si="19"/>
        <v xml:space="preserve">0 </v>
      </c>
      <c r="O189" s="217" t="s">
        <v>546</v>
      </c>
      <c r="P189" s="219">
        <f t="array" ref="P189">IFERROR(SUM(N189*50%,N189,10,G189*50%+G189,O189),)</f>
        <v>0</v>
      </c>
      <c r="Q189" s="214" t="s">
        <v>2</v>
      </c>
      <c r="R189" s="217" t="s">
        <v>2</v>
      </c>
      <c r="S189" s="214" t="s">
        <v>2</v>
      </c>
      <c r="T189" s="220">
        <v>0</v>
      </c>
      <c r="U189" s="217">
        <v>0</v>
      </c>
      <c r="V189" s="221" t="s">
        <v>548</v>
      </c>
      <c r="W189" s="217">
        <v>0</v>
      </c>
      <c r="X189" s="217" t="s">
        <v>548</v>
      </c>
      <c r="Y189" s="217" t="s">
        <v>548</v>
      </c>
      <c r="Z189" s="222">
        <f t="shared" si="17"/>
        <v>0</v>
      </c>
      <c r="AB189" s="217">
        <v>0</v>
      </c>
      <c r="AD189" s="223">
        <f t="shared" si="18"/>
        <v>0</v>
      </c>
    </row>
    <row r="190" spans="1:30">
      <c r="A190" s="214" t="s">
        <v>2</v>
      </c>
      <c r="B190" s="215" t="s">
        <v>546</v>
      </c>
      <c r="C190" s="215" t="s">
        <v>546</v>
      </c>
      <c r="D190" s="214">
        <v>100</v>
      </c>
      <c r="E190" s="214" t="str">
        <f t="shared" si="14"/>
        <v xml:space="preserve"> </v>
      </c>
      <c r="F190" s="216" t="s">
        <v>2</v>
      </c>
      <c r="G190" s="217" t="str">
        <f t="shared" si="15"/>
        <v xml:space="preserve"> </v>
      </c>
      <c r="H190" s="214" t="s">
        <v>2</v>
      </c>
      <c r="I190" s="215" t="s">
        <v>2</v>
      </c>
      <c r="J190" s="215" t="s">
        <v>2</v>
      </c>
      <c r="K190" s="214">
        <v>100</v>
      </c>
      <c r="L190" s="214" t="str">
        <f t="shared" si="16"/>
        <v xml:space="preserve"> </v>
      </c>
      <c r="M190" s="216" t="s">
        <v>2</v>
      </c>
      <c r="N190" s="217" t="str">
        <f t="shared" si="19"/>
        <v xml:space="preserve">0 </v>
      </c>
      <c r="O190" s="217" t="s">
        <v>546</v>
      </c>
      <c r="P190" s="219">
        <f t="array" ref="P190">IFERROR(SUM(N190*50%,N190,10,G190*50%+G190,O190),)</f>
        <v>0</v>
      </c>
      <c r="Q190" s="214" t="s">
        <v>2</v>
      </c>
      <c r="R190" s="217" t="s">
        <v>2</v>
      </c>
      <c r="S190" s="214" t="s">
        <v>2</v>
      </c>
      <c r="T190" s="220">
        <v>0</v>
      </c>
      <c r="U190" s="217">
        <v>0</v>
      </c>
      <c r="V190" s="221" t="s">
        <v>548</v>
      </c>
      <c r="W190" s="217">
        <v>0</v>
      </c>
      <c r="X190" s="217" t="s">
        <v>548</v>
      </c>
      <c r="Y190" s="217" t="s">
        <v>548</v>
      </c>
      <c r="Z190" s="222">
        <f t="shared" si="17"/>
        <v>0</v>
      </c>
      <c r="AB190" s="217">
        <v>0</v>
      </c>
      <c r="AD190" s="223">
        <f t="shared" si="18"/>
        <v>0</v>
      </c>
    </row>
    <row r="191" spans="1:30">
      <c r="A191" s="214" t="s">
        <v>2</v>
      </c>
      <c r="B191" s="215" t="s">
        <v>546</v>
      </c>
      <c r="C191" s="215" t="s">
        <v>546</v>
      </c>
      <c r="D191" s="214">
        <v>100</v>
      </c>
      <c r="E191" s="214" t="str">
        <f t="shared" si="14"/>
        <v xml:space="preserve"> </v>
      </c>
      <c r="F191" s="216" t="s">
        <v>2</v>
      </c>
      <c r="G191" s="217" t="str">
        <f t="shared" si="15"/>
        <v xml:space="preserve"> </v>
      </c>
      <c r="H191" s="214" t="s">
        <v>2</v>
      </c>
      <c r="I191" s="215" t="s">
        <v>2</v>
      </c>
      <c r="J191" s="215" t="s">
        <v>2</v>
      </c>
      <c r="K191" s="214">
        <v>100</v>
      </c>
      <c r="L191" s="214" t="str">
        <f t="shared" si="16"/>
        <v xml:space="preserve"> </v>
      </c>
      <c r="M191" s="216" t="s">
        <v>2</v>
      </c>
      <c r="N191" s="217" t="str">
        <f t="shared" si="19"/>
        <v xml:space="preserve">0 </v>
      </c>
      <c r="O191" s="217" t="s">
        <v>546</v>
      </c>
      <c r="P191" s="219">
        <f t="array" ref="P191">IFERROR(SUM(N191*50%,N191,10,G191*50%+G191,O191),)</f>
        <v>0</v>
      </c>
      <c r="Q191" s="214" t="s">
        <v>2</v>
      </c>
      <c r="R191" s="217" t="s">
        <v>2</v>
      </c>
      <c r="S191" s="214" t="s">
        <v>2</v>
      </c>
      <c r="T191" s="220">
        <v>0</v>
      </c>
      <c r="U191" s="217">
        <v>0</v>
      </c>
      <c r="V191" s="221" t="s">
        <v>548</v>
      </c>
      <c r="W191" s="217">
        <v>0</v>
      </c>
      <c r="X191" s="217" t="s">
        <v>548</v>
      </c>
      <c r="Y191" s="217" t="s">
        <v>548</v>
      </c>
      <c r="Z191" s="222">
        <f t="shared" si="17"/>
        <v>0</v>
      </c>
      <c r="AB191" s="217">
        <v>0</v>
      </c>
      <c r="AD191" s="223">
        <f t="shared" si="18"/>
        <v>0</v>
      </c>
    </row>
    <row r="192" spans="1:30">
      <c r="A192" s="214" t="s">
        <v>2</v>
      </c>
      <c r="B192" s="215" t="s">
        <v>546</v>
      </c>
      <c r="C192" s="215" t="s">
        <v>546</v>
      </c>
      <c r="D192" s="214">
        <v>100</v>
      </c>
      <c r="E192" s="214" t="str">
        <f t="shared" si="14"/>
        <v xml:space="preserve"> </v>
      </c>
      <c r="F192" s="216" t="s">
        <v>2</v>
      </c>
      <c r="G192" s="217" t="str">
        <f t="shared" si="15"/>
        <v xml:space="preserve"> </v>
      </c>
      <c r="H192" s="214" t="s">
        <v>2</v>
      </c>
      <c r="I192" s="215" t="s">
        <v>2</v>
      </c>
      <c r="J192" s="215" t="s">
        <v>2</v>
      </c>
      <c r="K192" s="214">
        <v>100</v>
      </c>
      <c r="L192" s="214" t="str">
        <f t="shared" si="16"/>
        <v xml:space="preserve"> </v>
      </c>
      <c r="M192" s="216" t="s">
        <v>2</v>
      </c>
      <c r="N192" s="217" t="str">
        <f t="shared" si="19"/>
        <v xml:space="preserve">0 </v>
      </c>
      <c r="O192" s="217" t="s">
        <v>546</v>
      </c>
      <c r="P192" s="219">
        <f t="array" ref="P192">IFERROR(SUM(N192*50%,N192,10,G192*50%+G192,O192),)</f>
        <v>0</v>
      </c>
      <c r="Q192" s="214" t="s">
        <v>2</v>
      </c>
      <c r="R192" s="217" t="s">
        <v>2</v>
      </c>
      <c r="S192" s="214" t="s">
        <v>2</v>
      </c>
      <c r="T192" s="220">
        <v>0</v>
      </c>
      <c r="U192" s="217">
        <v>0</v>
      </c>
      <c r="V192" s="221" t="s">
        <v>548</v>
      </c>
      <c r="W192" s="217">
        <v>0</v>
      </c>
      <c r="X192" s="217" t="s">
        <v>548</v>
      </c>
      <c r="Y192" s="217" t="s">
        <v>548</v>
      </c>
      <c r="Z192" s="222">
        <f t="shared" si="17"/>
        <v>0</v>
      </c>
      <c r="AB192" s="217">
        <v>0</v>
      </c>
      <c r="AD192" s="223">
        <f t="shared" si="18"/>
        <v>0</v>
      </c>
    </row>
    <row r="193" spans="1:30">
      <c r="A193" s="214" t="s">
        <v>2</v>
      </c>
      <c r="B193" s="215" t="s">
        <v>546</v>
      </c>
      <c r="C193" s="215" t="s">
        <v>546</v>
      </c>
      <c r="D193" s="214">
        <v>100</v>
      </c>
      <c r="E193" s="214" t="str">
        <f t="shared" si="14"/>
        <v xml:space="preserve"> </v>
      </c>
      <c r="F193" s="216" t="s">
        <v>2</v>
      </c>
      <c r="G193" s="217" t="str">
        <f t="shared" si="15"/>
        <v xml:space="preserve"> </v>
      </c>
      <c r="H193" s="214" t="s">
        <v>2</v>
      </c>
      <c r="I193" s="215" t="s">
        <v>2</v>
      </c>
      <c r="J193" s="215" t="s">
        <v>2</v>
      </c>
      <c r="K193" s="214">
        <v>100</v>
      </c>
      <c r="L193" s="214" t="str">
        <f t="shared" si="16"/>
        <v xml:space="preserve"> </v>
      </c>
      <c r="M193" s="216" t="s">
        <v>2</v>
      </c>
      <c r="N193" s="217" t="str">
        <f t="shared" si="19"/>
        <v xml:space="preserve">0 </v>
      </c>
      <c r="O193" s="217" t="s">
        <v>546</v>
      </c>
      <c r="P193" s="219">
        <f t="array" ref="P193">IFERROR(SUM(N193*50%,N193,10,G193*50%+G193,O193),)</f>
        <v>0</v>
      </c>
      <c r="Q193" s="214" t="s">
        <v>2</v>
      </c>
      <c r="R193" s="217" t="s">
        <v>2</v>
      </c>
      <c r="S193" s="214" t="s">
        <v>2</v>
      </c>
      <c r="T193" s="220">
        <v>0</v>
      </c>
      <c r="U193" s="217">
        <v>0</v>
      </c>
      <c r="V193" s="221" t="s">
        <v>548</v>
      </c>
      <c r="W193" s="217">
        <v>0</v>
      </c>
      <c r="X193" s="217" t="s">
        <v>548</v>
      </c>
      <c r="Y193" s="217" t="s">
        <v>548</v>
      </c>
      <c r="Z193" s="222">
        <f t="shared" si="17"/>
        <v>0</v>
      </c>
      <c r="AB193" s="217">
        <v>0</v>
      </c>
      <c r="AD193" s="223">
        <f t="shared" si="18"/>
        <v>0</v>
      </c>
    </row>
    <row r="194" spans="1:30">
      <c r="A194" s="214" t="s">
        <v>2</v>
      </c>
      <c r="B194" s="215" t="s">
        <v>546</v>
      </c>
      <c r="C194" s="215" t="s">
        <v>546</v>
      </c>
      <c r="D194" s="214">
        <v>100</v>
      </c>
      <c r="E194" s="214" t="str">
        <f t="shared" si="14"/>
        <v xml:space="preserve"> </v>
      </c>
      <c r="F194" s="216" t="s">
        <v>2</v>
      </c>
      <c r="G194" s="217" t="str">
        <f t="shared" si="15"/>
        <v xml:space="preserve"> </v>
      </c>
      <c r="H194" s="214" t="s">
        <v>2</v>
      </c>
      <c r="I194" s="215" t="s">
        <v>2</v>
      </c>
      <c r="J194" s="215" t="s">
        <v>2</v>
      </c>
      <c r="K194" s="214">
        <v>100</v>
      </c>
      <c r="L194" s="214" t="str">
        <f t="shared" si="16"/>
        <v xml:space="preserve"> </v>
      </c>
      <c r="M194" s="216" t="s">
        <v>2</v>
      </c>
      <c r="N194" s="217" t="str">
        <f t="shared" si="19"/>
        <v xml:space="preserve">0 </v>
      </c>
      <c r="O194" s="217" t="s">
        <v>546</v>
      </c>
      <c r="P194" s="219">
        <f t="array" ref="P194">IFERROR(SUM(N194*50%,N194,10,G194*50%+G194,O194),)</f>
        <v>0</v>
      </c>
      <c r="Q194" s="214" t="s">
        <v>2</v>
      </c>
      <c r="R194" s="217" t="s">
        <v>2</v>
      </c>
      <c r="S194" s="214" t="s">
        <v>2</v>
      </c>
      <c r="T194" s="220">
        <v>0</v>
      </c>
      <c r="U194" s="217">
        <v>0</v>
      </c>
      <c r="V194" s="221" t="s">
        <v>548</v>
      </c>
      <c r="W194" s="217">
        <v>0</v>
      </c>
      <c r="X194" s="217" t="s">
        <v>548</v>
      </c>
      <c r="Y194" s="217" t="s">
        <v>548</v>
      </c>
      <c r="Z194" s="222">
        <f t="shared" si="17"/>
        <v>0</v>
      </c>
      <c r="AB194" s="217">
        <v>0</v>
      </c>
      <c r="AD194" s="223">
        <f t="shared" si="18"/>
        <v>0</v>
      </c>
    </row>
    <row r="195" spans="1:30">
      <c r="A195" s="214" t="s">
        <v>2</v>
      </c>
      <c r="B195" s="215" t="s">
        <v>546</v>
      </c>
      <c r="C195" s="215" t="s">
        <v>546</v>
      </c>
      <c r="D195" s="214">
        <v>100</v>
      </c>
      <c r="E195" s="214" t="str">
        <f t="shared" ref="E195:E201" si="20">IFERROR(SUM(B195*C195*D195/1000000000)," ")</f>
        <v xml:space="preserve"> </v>
      </c>
      <c r="F195" s="216" t="s">
        <v>2</v>
      </c>
      <c r="G195" s="217" t="str">
        <f t="shared" ref="G195:G201" si="21">IFERROR(SUM(E195*F195)," ")</f>
        <v xml:space="preserve"> </v>
      </c>
      <c r="H195" s="214" t="s">
        <v>2</v>
      </c>
      <c r="I195" s="215" t="s">
        <v>2</v>
      </c>
      <c r="J195" s="215" t="s">
        <v>2</v>
      </c>
      <c r="K195" s="214">
        <v>100</v>
      </c>
      <c r="L195" s="214" t="str">
        <f t="shared" si="16"/>
        <v xml:space="preserve"> </v>
      </c>
      <c r="M195" s="216" t="s">
        <v>2</v>
      </c>
      <c r="N195" s="217" t="str">
        <f t="shared" si="19"/>
        <v xml:space="preserve">0 </v>
      </c>
      <c r="O195" s="217" t="s">
        <v>546</v>
      </c>
      <c r="P195" s="219">
        <f t="array" ref="P195">IFERROR(SUM(N195*50%,N195,10,G195*50%+G195,O195),)</f>
        <v>0</v>
      </c>
      <c r="Q195" s="214" t="s">
        <v>2</v>
      </c>
      <c r="R195" s="217" t="s">
        <v>2</v>
      </c>
      <c r="S195" s="214" t="s">
        <v>2</v>
      </c>
      <c r="T195" s="220">
        <v>0</v>
      </c>
      <c r="U195" s="217">
        <v>0</v>
      </c>
      <c r="V195" s="221" t="s">
        <v>548</v>
      </c>
      <c r="W195" s="217">
        <v>0</v>
      </c>
      <c r="X195" s="217" t="s">
        <v>548</v>
      </c>
      <c r="Y195" s="217" t="s">
        <v>548</v>
      </c>
      <c r="Z195" s="222">
        <f t="shared" si="17"/>
        <v>0</v>
      </c>
      <c r="AB195" s="217">
        <v>0</v>
      </c>
      <c r="AD195" s="223">
        <f t="shared" si="18"/>
        <v>0</v>
      </c>
    </row>
    <row r="196" spans="1:30">
      <c r="A196" s="214" t="s">
        <v>2</v>
      </c>
      <c r="B196" s="215" t="s">
        <v>546</v>
      </c>
      <c r="C196" s="215" t="s">
        <v>546</v>
      </c>
      <c r="D196" s="214">
        <v>100</v>
      </c>
      <c r="E196" s="214" t="str">
        <f t="shared" si="20"/>
        <v xml:space="preserve"> </v>
      </c>
      <c r="F196" s="216" t="s">
        <v>2</v>
      </c>
      <c r="G196" s="217" t="str">
        <f t="shared" si="21"/>
        <v xml:space="preserve"> </v>
      </c>
      <c r="H196" s="214" t="s">
        <v>2</v>
      </c>
      <c r="I196" s="215" t="s">
        <v>2</v>
      </c>
      <c r="J196" s="215" t="s">
        <v>2</v>
      </c>
      <c r="K196" s="214">
        <v>100</v>
      </c>
      <c r="L196" s="214" t="str">
        <f t="shared" ref="L196:L201" si="22">IFERROR(SUM(I196*J196*K196/1000000000)," ")</f>
        <v xml:space="preserve"> </v>
      </c>
      <c r="M196" s="216" t="s">
        <v>2</v>
      </c>
      <c r="N196" s="217" t="str">
        <f t="shared" si="19"/>
        <v xml:space="preserve">0 </v>
      </c>
      <c r="O196" s="217" t="s">
        <v>546</v>
      </c>
      <c r="P196" s="219">
        <f t="array" ref="P196">IFERROR(SUM(N196*50%,N196,10,G196*50%+G196,O196),)</f>
        <v>0</v>
      </c>
      <c r="Q196" s="214" t="s">
        <v>2</v>
      </c>
      <c r="R196" s="217" t="s">
        <v>2</v>
      </c>
      <c r="S196" s="214" t="s">
        <v>2</v>
      </c>
      <c r="T196" s="220">
        <v>0</v>
      </c>
      <c r="U196" s="217">
        <v>0</v>
      </c>
      <c r="V196" s="221" t="s">
        <v>548</v>
      </c>
      <c r="W196" s="217">
        <v>0</v>
      </c>
      <c r="X196" s="217" t="s">
        <v>548</v>
      </c>
      <c r="Y196" s="217" t="s">
        <v>548</v>
      </c>
      <c r="Z196" s="222">
        <f t="shared" ref="Z196:Z201" si="23">IFERROR(SUM(T196+W196+X196+Y196+U196+P196+R196),)</f>
        <v>0</v>
      </c>
      <c r="AB196" s="217">
        <v>0</v>
      </c>
      <c r="AD196" s="223">
        <f t="shared" si="18"/>
        <v>0</v>
      </c>
    </row>
    <row r="197" spans="1:30">
      <c r="A197" s="214" t="s">
        <v>2</v>
      </c>
      <c r="B197" s="215" t="s">
        <v>546</v>
      </c>
      <c r="C197" s="215" t="s">
        <v>546</v>
      </c>
      <c r="D197" s="214">
        <v>100</v>
      </c>
      <c r="E197" s="214" t="str">
        <f t="shared" si="20"/>
        <v xml:space="preserve"> </v>
      </c>
      <c r="F197" s="216" t="s">
        <v>2</v>
      </c>
      <c r="G197" s="217" t="str">
        <f t="shared" si="21"/>
        <v xml:space="preserve"> </v>
      </c>
      <c r="H197" s="214" t="s">
        <v>2</v>
      </c>
      <c r="I197" s="215" t="s">
        <v>2</v>
      </c>
      <c r="J197" s="215" t="s">
        <v>2</v>
      </c>
      <c r="K197" s="214">
        <v>100</v>
      </c>
      <c r="L197" s="214" t="str">
        <f t="shared" si="22"/>
        <v xml:space="preserve"> </v>
      </c>
      <c r="M197" s="216" t="s">
        <v>2</v>
      </c>
      <c r="N197" s="217" t="str">
        <f t="shared" si="19"/>
        <v xml:space="preserve">0 </v>
      </c>
      <c r="O197" s="217" t="s">
        <v>546</v>
      </c>
      <c r="P197" s="219">
        <f t="array" ref="P197">IFERROR(SUM(N197*50%,N197,10,G197*50%+G197,O197),)</f>
        <v>0</v>
      </c>
      <c r="Q197" s="214" t="s">
        <v>2</v>
      </c>
      <c r="R197" s="217" t="s">
        <v>2</v>
      </c>
      <c r="S197" s="214" t="s">
        <v>2</v>
      </c>
      <c r="T197" s="220">
        <v>0</v>
      </c>
      <c r="U197" s="217">
        <v>0</v>
      </c>
      <c r="V197" s="221" t="s">
        <v>548</v>
      </c>
      <c r="W197" s="217">
        <v>0</v>
      </c>
      <c r="X197" s="217" t="s">
        <v>548</v>
      </c>
      <c r="Y197" s="217" t="s">
        <v>548</v>
      </c>
      <c r="Z197" s="222">
        <f t="shared" si="23"/>
        <v>0</v>
      </c>
      <c r="AB197" s="217">
        <v>0</v>
      </c>
      <c r="AD197" s="223">
        <f t="shared" si="18"/>
        <v>0</v>
      </c>
    </row>
    <row r="198" spans="1:30">
      <c r="A198" s="214" t="s">
        <v>2</v>
      </c>
      <c r="B198" s="215" t="s">
        <v>546</v>
      </c>
      <c r="C198" s="215" t="s">
        <v>546</v>
      </c>
      <c r="D198" s="214">
        <v>100</v>
      </c>
      <c r="E198" s="214" t="str">
        <f t="shared" si="20"/>
        <v xml:space="preserve"> </v>
      </c>
      <c r="F198" s="216" t="s">
        <v>2</v>
      </c>
      <c r="G198" s="217" t="str">
        <f t="shared" si="21"/>
        <v xml:space="preserve"> </v>
      </c>
      <c r="H198" s="214" t="s">
        <v>2</v>
      </c>
      <c r="I198" s="215" t="s">
        <v>2</v>
      </c>
      <c r="J198" s="215" t="s">
        <v>2</v>
      </c>
      <c r="K198" s="214">
        <v>100</v>
      </c>
      <c r="L198" s="214" t="str">
        <f t="shared" si="22"/>
        <v xml:space="preserve"> </v>
      </c>
      <c r="M198" s="216" t="s">
        <v>2</v>
      </c>
      <c r="N198" s="217" t="str">
        <f t="shared" si="19"/>
        <v xml:space="preserve">0 </v>
      </c>
      <c r="O198" s="217" t="s">
        <v>546</v>
      </c>
      <c r="P198" s="219">
        <f t="array" ref="P198">IFERROR(SUM(N198*50%,N198,10,G198*50%+G198,O198),)</f>
        <v>0</v>
      </c>
      <c r="Q198" s="214" t="s">
        <v>2</v>
      </c>
      <c r="R198" s="217" t="s">
        <v>2</v>
      </c>
      <c r="S198" s="214" t="s">
        <v>2</v>
      </c>
      <c r="T198" s="220">
        <v>0</v>
      </c>
      <c r="U198" s="217">
        <v>0</v>
      </c>
      <c r="V198" s="221" t="s">
        <v>548</v>
      </c>
      <c r="W198" s="217">
        <v>0</v>
      </c>
      <c r="X198" s="217" t="s">
        <v>548</v>
      </c>
      <c r="Y198" s="217" t="s">
        <v>548</v>
      </c>
      <c r="Z198" s="222">
        <f t="shared" si="23"/>
        <v>0</v>
      </c>
      <c r="AB198" s="217">
        <v>0</v>
      </c>
      <c r="AD198" s="223">
        <f t="shared" si="18"/>
        <v>0</v>
      </c>
    </row>
    <row r="199" spans="1:30">
      <c r="A199" s="214" t="s">
        <v>2</v>
      </c>
      <c r="B199" s="215" t="s">
        <v>546</v>
      </c>
      <c r="C199" s="215" t="s">
        <v>546</v>
      </c>
      <c r="D199" s="214">
        <v>100</v>
      </c>
      <c r="E199" s="214" t="str">
        <f t="shared" si="20"/>
        <v xml:space="preserve"> </v>
      </c>
      <c r="F199" s="216" t="s">
        <v>2</v>
      </c>
      <c r="G199" s="217" t="str">
        <f t="shared" si="21"/>
        <v xml:space="preserve"> </v>
      </c>
      <c r="H199" s="214" t="s">
        <v>2</v>
      </c>
      <c r="I199" s="215" t="s">
        <v>2</v>
      </c>
      <c r="J199" s="215" t="s">
        <v>2</v>
      </c>
      <c r="K199" s="214">
        <v>100</v>
      </c>
      <c r="L199" s="214" t="str">
        <f t="shared" si="22"/>
        <v xml:space="preserve"> </v>
      </c>
      <c r="M199" s="216" t="s">
        <v>2</v>
      </c>
      <c r="N199" s="217" t="str">
        <f t="shared" si="19"/>
        <v xml:space="preserve">0 </v>
      </c>
      <c r="O199" s="217" t="s">
        <v>546</v>
      </c>
      <c r="P199" s="219">
        <f t="array" ref="P199">IFERROR(SUM(N199*50%,N199,10,G199*50%+G199,O199),)</f>
        <v>0</v>
      </c>
      <c r="Q199" s="214" t="s">
        <v>2</v>
      </c>
      <c r="R199" s="217" t="s">
        <v>2</v>
      </c>
      <c r="S199" s="214" t="s">
        <v>2</v>
      </c>
      <c r="T199" s="220">
        <v>0</v>
      </c>
      <c r="U199" s="217">
        <v>0</v>
      </c>
      <c r="V199" s="221" t="s">
        <v>548</v>
      </c>
      <c r="W199" s="217">
        <v>0</v>
      </c>
      <c r="X199" s="217" t="s">
        <v>548</v>
      </c>
      <c r="Y199" s="217" t="s">
        <v>548</v>
      </c>
      <c r="Z199" s="222">
        <f t="shared" si="23"/>
        <v>0</v>
      </c>
      <c r="AB199" s="217">
        <v>0</v>
      </c>
      <c r="AD199" s="223">
        <f t="shared" si="18"/>
        <v>0</v>
      </c>
    </row>
    <row r="200" spans="1:30">
      <c r="A200" s="214" t="s">
        <v>2</v>
      </c>
      <c r="B200" s="215" t="s">
        <v>546</v>
      </c>
      <c r="C200" s="215" t="s">
        <v>546</v>
      </c>
      <c r="D200" s="214">
        <v>100</v>
      </c>
      <c r="E200" s="214" t="str">
        <f t="shared" si="20"/>
        <v xml:space="preserve"> </v>
      </c>
      <c r="F200" s="216" t="s">
        <v>2</v>
      </c>
      <c r="G200" s="217" t="str">
        <f t="shared" si="21"/>
        <v xml:space="preserve"> </v>
      </c>
      <c r="H200" s="214" t="s">
        <v>2</v>
      </c>
      <c r="I200" s="215" t="s">
        <v>2</v>
      </c>
      <c r="J200" s="215" t="s">
        <v>2</v>
      </c>
      <c r="K200" s="214">
        <v>100</v>
      </c>
      <c r="L200" s="214" t="str">
        <f t="shared" si="22"/>
        <v xml:space="preserve"> </v>
      </c>
      <c r="M200" s="216" t="s">
        <v>2</v>
      </c>
      <c r="N200" s="217" t="str">
        <f t="shared" si="19"/>
        <v xml:space="preserve">0 </v>
      </c>
      <c r="O200" s="217" t="s">
        <v>546</v>
      </c>
      <c r="P200" s="219">
        <f t="array" ref="P200">IFERROR(SUM(N200*50%,N200,10,G200*50%+G200,O200),)</f>
        <v>0</v>
      </c>
      <c r="Q200" s="214" t="s">
        <v>2</v>
      </c>
      <c r="R200" s="217" t="s">
        <v>2</v>
      </c>
      <c r="S200" s="214" t="s">
        <v>2</v>
      </c>
      <c r="T200" s="220">
        <v>0</v>
      </c>
      <c r="U200" s="217">
        <v>0</v>
      </c>
      <c r="V200" s="221" t="s">
        <v>548</v>
      </c>
      <c r="W200" s="217">
        <v>0</v>
      </c>
      <c r="X200" s="217" t="s">
        <v>548</v>
      </c>
      <c r="Y200" s="217" t="s">
        <v>548</v>
      </c>
      <c r="Z200" s="222">
        <f t="shared" si="23"/>
        <v>0</v>
      </c>
      <c r="AB200" s="217">
        <v>0</v>
      </c>
      <c r="AD200" s="223">
        <f t="shared" si="18"/>
        <v>0</v>
      </c>
    </row>
    <row r="201" spans="1:30">
      <c r="A201" s="214" t="s">
        <v>2</v>
      </c>
      <c r="B201" s="215" t="s">
        <v>546</v>
      </c>
      <c r="C201" s="215" t="s">
        <v>546</v>
      </c>
      <c r="D201" s="214">
        <v>100</v>
      </c>
      <c r="E201" s="214" t="str">
        <f t="shared" si="20"/>
        <v xml:space="preserve"> </v>
      </c>
      <c r="F201" s="216" t="s">
        <v>2</v>
      </c>
      <c r="G201" s="217" t="str">
        <f t="shared" si="21"/>
        <v xml:space="preserve"> </v>
      </c>
      <c r="H201" s="214" t="s">
        <v>2</v>
      </c>
      <c r="I201" s="215" t="s">
        <v>2</v>
      </c>
      <c r="K201" s="214">
        <v>100</v>
      </c>
      <c r="L201" s="214" t="str">
        <f t="shared" si="22"/>
        <v xml:space="preserve"> </v>
      </c>
      <c r="M201" s="216" t="s">
        <v>2</v>
      </c>
      <c r="N201" s="217" t="str">
        <f t="shared" si="19"/>
        <v xml:space="preserve">0 </v>
      </c>
      <c r="O201" s="217" t="s">
        <v>546</v>
      </c>
      <c r="P201" s="219">
        <f t="array" ref="P201">IFERROR(SUM(N201*50%,N201,10,G201*50%+G201,O201),)</f>
        <v>0</v>
      </c>
      <c r="Q201" s="214" t="s">
        <v>2</v>
      </c>
      <c r="R201" s="217" t="s">
        <v>2</v>
      </c>
      <c r="S201" s="214" t="s">
        <v>2</v>
      </c>
      <c r="T201" s="220">
        <v>0</v>
      </c>
      <c r="U201" s="217">
        <v>0</v>
      </c>
      <c r="V201" s="221" t="s">
        <v>548</v>
      </c>
      <c r="W201" s="217">
        <v>0</v>
      </c>
      <c r="X201" s="217" t="s">
        <v>548</v>
      </c>
      <c r="Y201" s="217" t="s">
        <v>548</v>
      </c>
      <c r="Z201" s="222">
        <f t="shared" si="23"/>
        <v>0</v>
      </c>
      <c r="AB201" s="217">
        <v>0</v>
      </c>
      <c r="AD201" s="223">
        <f t="shared" si="18"/>
        <v>0</v>
      </c>
    </row>
    <row r="202" spans="1:30">
      <c r="B202" s="215" t="s">
        <v>546</v>
      </c>
      <c r="C202" s="215" t="s">
        <v>546</v>
      </c>
    </row>
    <row r="203" spans="1:30">
      <c r="C203" s="215" t="s">
        <v>546</v>
      </c>
    </row>
    <row r="204" spans="1:30">
      <c r="C204" s="215" t="s">
        <v>546</v>
      </c>
    </row>
    <row r="205" spans="1:30">
      <c r="C205" s="215" t="s">
        <v>546</v>
      </c>
    </row>
    <row r="206" spans="1:30">
      <c r="C206" s="215" t="s">
        <v>546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1"/>
      <c r="D1" s="41"/>
      <c r="E1" s="16"/>
    </row>
    <row r="2" spans="1:15" ht="32.1" customHeight="1">
      <c r="A2" s="3" t="s">
        <v>518</v>
      </c>
      <c r="C2" s="3"/>
      <c r="D2" s="3"/>
      <c r="E2" s="19"/>
    </row>
    <row r="3" spans="1:15" ht="30">
      <c r="A3" s="194" t="s">
        <v>35</v>
      </c>
      <c r="B3" s="195" t="s">
        <v>36</v>
      </c>
      <c r="C3" s="195" t="s">
        <v>30</v>
      </c>
      <c r="D3" s="195" t="s">
        <v>45</v>
      </c>
      <c r="E3" s="195" t="s">
        <v>28</v>
      </c>
      <c r="F3" s="195" t="s">
        <v>38</v>
      </c>
      <c r="G3" s="195" t="s">
        <v>40</v>
      </c>
      <c r="H3" s="195" t="s">
        <v>43</v>
      </c>
      <c r="I3" s="195" t="s">
        <v>41</v>
      </c>
      <c r="J3" s="195" t="s">
        <v>42</v>
      </c>
      <c r="K3" s="195" t="s">
        <v>44</v>
      </c>
      <c r="L3" s="195" t="s">
        <v>46</v>
      </c>
      <c r="M3" s="195" t="s">
        <v>31</v>
      </c>
      <c r="N3" s="195" t="s">
        <v>49</v>
      </c>
      <c r="O3" s="196" t="s">
        <v>519</v>
      </c>
    </row>
    <row r="4" spans="1:15">
      <c r="B4" s="44"/>
    </row>
    <row r="5" spans="1:15">
      <c r="B5" s="44"/>
    </row>
    <row r="6" spans="1:15">
      <c r="B6" s="44"/>
    </row>
    <row r="7" spans="1:15">
      <c r="B7" s="44"/>
    </row>
    <row r="8" spans="1:15">
      <c r="B8" s="44"/>
    </row>
    <row r="9" spans="1:15">
      <c r="B9" s="44"/>
    </row>
    <row r="10" spans="1:15">
      <c r="B10" s="44"/>
    </row>
    <row r="11" spans="1:15">
      <c r="B11" s="44"/>
    </row>
    <row r="12" spans="1:15">
      <c r="B12" s="44"/>
    </row>
    <row r="13" spans="1:15">
      <c r="B13" s="44"/>
    </row>
    <row r="14" spans="1:15">
      <c r="B14" s="44"/>
    </row>
    <row r="15" spans="1:15">
      <c r="B15" s="44"/>
    </row>
    <row r="16" spans="1: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3" t="s">
        <v>503</v>
      </c>
      <c r="D1" s="243"/>
      <c r="E1" s="243"/>
      <c r="F1" s="243"/>
      <c r="G1" s="243"/>
      <c r="H1" s="243"/>
      <c r="I1" s="243"/>
      <c r="J1" s="243"/>
    </row>
    <row r="2" spans="1:23" ht="32.1" customHeight="1">
      <c r="A2" s="3" t="s">
        <v>428</v>
      </c>
      <c r="C2" s="3"/>
      <c r="D2" s="3"/>
      <c r="E2" s="19"/>
    </row>
    <row r="3" spans="1:23" ht="12" customHeight="1">
      <c r="A3" s="14" t="s">
        <v>429</v>
      </c>
      <c r="B3" s="185" t="s">
        <v>430</v>
      </c>
      <c r="C3" s="14"/>
      <c r="D3"/>
      <c r="E3" t="s">
        <v>440</v>
      </c>
      <c r="F3" t="s">
        <v>441</v>
      </c>
      <c r="G3" t="s">
        <v>442</v>
      </c>
      <c r="H3" s="165"/>
      <c r="J3" s="197" t="s">
        <v>520</v>
      </c>
      <c r="K3" s="197" t="s">
        <v>522</v>
      </c>
      <c r="L3" s="197" t="s">
        <v>521</v>
      </c>
      <c r="N3" s="197" t="s">
        <v>525</v>
      </c>
      <c r="O3" s="197" t="s">
        <v>522</v>
      </c>
      <c r="P3" s="197" t="s">
        <v>521</v>
      </c>
    </row>
    <row r="4" spans="1:23" ht="12" customHeight="1">
      <c r="A4" s="14" t="s">
        <v>431</v>
      </c>
      <c r="B4" s="193">
        <v>2</v>
      </c>
      <c r="C4" s="191"/>
      <c r="D4"/>
      <c r="E4" s="185" t="s">
        <v>443</v>
      </c>
      <c r="F4">
        <v>300</v>
      </c>
      <c r="G4">
        <v>2000</v>
      </c>
      <c r="H4" s="185"/>
      <c r="I4" s="43"/>
      <c r="J4" s="198">
        <v>100</v>
      </c>
      <c r="K4" s="198">
        <v>51</v>
      </c>
      <c r="L4" s="198">
        <v>97</v>
      </c>
      <c r="N4" s="198">
        <v>38</v>
      </c>
      <c r="O4" s="198">
        <v>25</v>
      </c>
      <c r="P4" s="198">
        <v>34</v>
      </c>
      <c r="R4" s="189"/>
      <c r="T4" s="189"/>
      <c r="V4" s="5"/>
    </row>
    <row r="5" spans="1:23" ht="12" customHeight="1">
      <c r="A5" s="14" t="s">
        <v>432</v>
      </c>
      <c r="B5" s="193">
        <v>6</v>
      </c>
      <c r="C5" s="191"/>
      <c r="D5"/>
      <c r="E5" s="14" t="s">
        <v>444</v>
      </c>
      <c r="F5">
        <v>400</v>
      </c>
      <c r="G5">
        <v>2500</v>
      </c>
      <c r="H5" s="14"/>
      <c r="I5" s="43"/>
      <c r="J5" s="198">
        <v>125</v>
      </c>
      <c r="K5" s="198">
        <v>98</v>
      </c>
      <c r="L5" s="198">
        <v>122</v>
      </c>
      <c r="N5" s="198">
        <v>50</v>
      </c>
      <c r="O5" s="198">
        <v>34</v>
      </c>
      <c r="P5" s="198">
        <v>49</v>
      </c>
      <c r="R5" s="189"/>
      <c r="T5" s="189"/>
      <c r="V5" s="5"/>
    </row>
    <row r="6" spans="1:23" ht="12" customHeight="1">
      <c r="A6" s="14" t="s">
        <v>433</v>
      </c>
      <c r="B6" s="193">
        <v>3</v>
      </c>
      <c r="C6" s="191"/>
      <c r="D6"/>
      <c r="E6" s="185" t="s">
        <v>445</v>
      </c>
      <c r="F6">
        <v>1500</v>
      </c>
      <c r="G6">
        <v>3000</v>
      </c>
      <c r="H6" s="43"/>
      <c r="I6" s="43"/>
      <c r="J6" s="198">
        <v>150</v>
      </c>
      <c r="K6" s="198">
        <v>123</v>
      </c>
      <c r="L6" s="198">
        <v>148</v>
      </c>
      <c r="N6" s="198">
        <v>200</v>
      </c>
      <c r="O6" s="198">
        <v>174</v>
      </c>
      <c r="P6" s="198">
        <v>197</v>
      </c>
      <c r="R6" s="189"/>
      <c r="T6" s="189"/>
      <c r="V6" s="5"/>
    </row>
    <row r="7" spans="1:23" ht="12" customHeight="1">
      <c r="A7" s="185" t="s">
        <v>434</v>
      </c>
      <c r="B7" s="193">
        <v>3</v>
      </c>
      <c r="C7" s="185"/>
      <c r="D7"/>
      <c r="E7" s="14" t="s">
        <v>446</v>
      </c>
      <c r="F7">
        <v>20</v>
      </c>
      <c r="G7">
        <v>60</v>
      </c>
      <c r="H7" s="43"/>
      <c r="I7" s="43"/>
      <c r="J7" s="199">
        <v>175</v>
      </c>
      <c r="K7" s="198">
        <v>149</v>
      </c>
      <c r="L7" s="198">
        <v>173</v>
      </c>
      <c r="N7" s="15"/>
      <c r="O7" s="190"/>
      <c r="P7" s="43"/>
      <c r="R7" s="189"/>
      <c r="T7" s="189"/>
      <c r="V7" s="5"/>
    </row>
    <row r="8" spans="1:23" ht="12" customHeight="1">
      <c r="A8" s="185" t="s">
        <v>435</v>
      </c>
      <c r="B8" s="193">
        <v>8</v>
      </c>
      <c r="C8"/>
      <c r="D8"/>
      <c r="E8" s="185" t="s">
        <v>461</v>
      </c>
      <c r="F8">
        <v>5</v>
      </c>
      <c r="G8">
        <v>30</v>
      </c>
      <c r="H8" s="43"/>
      <c r="J8" s="200">
        <v>200</v>
      </c>
      <c r="K8" s="198">
        <v>174</v>
      </c>
      <c r="L8" s="198">
        <v>197</v>
      </c>
      <c r="N8" s="15"/>
      <c r="O8" s="190"/>
      <c r="P8" s="43"/>
      <c r="R8" s="189"/>
      <c r="T8" s="189"/>
      <c r="V8" s="5"/>
    </row>
    <row r="9" spans="1:23" ht="12" customHeight="1">
      <c r="A9" s="185" t="s">
        <v>436</v>
      </c>
      <c r="B9" s="193">
        <v>38</v>
      </c>
      <c r="C9"/>
      <c r="D9"/>
      <c r="E9" s="185" t="s">
        <v>460</v>
      </c>
      <c r="F9">
        <v>50</v>
      </c>
      <c r="G9">
        <v>150</v>
      </c>
      <c r="H9" s="43"/>
      <c r="I9" s="43"/>
      <c r="J9" s="200">
        <v>250</v>
      </c>
      <c r="K9" s="198">
        <v>198</v>
      </c>
      <c r="L9" s="198">
        <v>245</v>
      </c>
      <c r="N9" s="15"/>
      <c r="O9" s="190"/>
      <c r="P9" s="43"/>
      <c r="R9" s="189"/>
      <c r="T9" s="189"/>
      <c r="V9" s="5"/>
    </row>
    <row r="10" spans="1:23" ht="12" customHeight="1">
      <c r="A10" s="185" t="s">
        <v>437</v>
      </c>
      <c r="B10" s="193">
        <v>22</v>
      </c>
      <c r="C10"/>
      <c r="D10"/>
      <c r="E10" s="185" t="s">
        <v>459</v>
      </c>
      <c r="F10">
        <v>20</v>
      </c>
      <c r="G10">
        <v>60</v>
      </c>
      <c r="H10" s="43"/>
      <c r="I10" s="43"/>
      <c r="J10" s="43"/>
      <c r="K10" s="189"/>
      <c r="L10" s="43"/>
      <c r="M10" s="43"/>
      <c r="N10" s="15"/>
      <c r="O10" s="190"/>
      <c r="P10" s="43"/>
      <c r="Q10" s="43"/>
      <c r="S10" s="190"/>
      <c r="U10" s="190"/>
      <c r="W10" s="5"/>
    </row>
    <row r="11" spans="1:23">
      <c r="A11" s="185" t="s">
        <v>438</v>
      </c>
      <c r="B11" s="193">
        <v>2</v>
      </c>
      <c r="C11"/>
      <c r="D11"/>
      <c r="E11" s="185" t="s">
        <v>463</v>
      </c>
      <c r="F11">
        <v>25</v>
      </c>
      <c r="G11">
        <v>70</v>
      </c>
      <c r="H11" s="43"/>
      <c r="I11" s="43"/>
      <c r="J11" s="43"/>
      <c r="K11" s="190"/>
      <c r="L11" s="43"/>
      <c r="M11" s="43"/>
      <c r="N11" s="15"/>
      <c r="O11" s="190"/>
      <c r="P11" s="43"/>
      <c r="Q11" s="43"/>
      <c r="S11" s="190"/>
      <c r="U11" s="190"/>
    </row>
    <row r="12" spans="1:23">
      <c r="A12" s="185" t="s">
        <v>439</v>
      </c>
      <c r="B12" s="193">
        <v>4</v>
      </c>
      <c r="C12"/>
      <c r="D12"/>
      <c r="E12" s="185" t="s">
        <v>457</v>
      </c>
      <c r="F12">
        <v>50</v>
      </c>
      <c r="G12">
        <v>150</v>
      </c>
      <c r="H12" s="43"/>
      <c r="I12" s="43"/>
      <c r="J12" s="43"/>
      <c r="K12" s="190"/>
      <c r="L12" s="43"/>
      <c r="M12" s="43"/>
      <c r="N12" s="15"/>
      <c r="Q12" s="43"/>
      <c r="S12" s="190"/>
      <c r="U12" s="190"/>
      <c r="W12" s="43"/>
    </row>
    <row r="13" spans="1:23">
      <c r="A13" s="185" t="s">
        <v>452</v>
      </c>
      <c r="B13" s="193">
        <v>1</v>
      </c>
      <c r="C13"/>
      <c r="D13"/>
      <c r="E13" s="185" t="s">
        <v>469</v>
      </c>
      <c r="F13">
        <v>0</v>
      </c>
      <c r="G13">
        <v>10</v>
      </c>
      <c r="H13" s="43"/>
      <c r="I13" s="43"/>
      <c r="J13" s="43"/>
      <c r="K13" s="190"/>
      <c r="L13" s="43"/>
      <c r="M13" s="43"/>
      <c r="N13" s="15"/>
      <c r="Q13" s="43"/>
      <c r="S13" s="190"/>
      <c r="U13" s="190"/>
      <c r="W13" s="43"/>
    </row>
    <row r="14" spans="1:23">
      <c r="A14" s="185" t="s">
        <v>562</v>
      </c>
      <c r="B14" s="193">
        <v>5</v>
      </c>
      <c r="C14"/>
      <c r="D14"/>
      <c r="E14" s="185" t="s">
        <v>456</v>
      </c>
      <c r="F14">
        <v>1</v>
      </c>
      <c r="G14">
        <v>11</v>
      </c>
      <c r="H14" s="43"/>
      <c r="I14" s="43"/>
      <c r="J14" s="43"/>
      <c r="K14" s="190"/>
      <c r="L14" s="43"/>
      <c r="M14" s="43"/>
      <c r="N14" s="15"/>
      <c r="O14" s="43"/>
      <c r="P14" s="43"/>
      <c r="Q14" s="43"/>
      <c r="S14" s="190"/>
      <c r="U14" s="190"/>
      <c r="W14" s="43"/>
    </row>
    <row r="15" spans="1:23">
      <c r="A15" s="43"/>
      <c r="D15"/>
      <c r="E15" s="185" t="s">
        <v>455</v>
      </c>
      <c r="F15">
        <v>2</v>
      </c>
      <c r="G15">
        <v>12</v>
      </c>
      <c r="I15" s="43"/>
      <c r="J15" s="43"/>
      <c r="K15" s="43"/>
      <c r="L15" s="43"/>
      <c r="M15" s="43"/>
      <c r="Q15" s="43"/>
      <c r="W15" s="43"/>
    </row>
    <row r="16" spans="1:23" s="43" customFormat="1">
      <c r="E16" s="185" t="s">
        <v>470</v>
      </c>
      <c r="F16">
        <v>100</v>
      </c>
      <c r="G16">
        <v>500</v>
      </c>
      <c r="H16"/>
      <c r="N16" s="15"/>
    </row>
    <row r="17" spans="1:14" s="43" customFormat="1">
      <c r="E17" s="185" t="s">
        <v>471</v>
      </c>
      <c r="F17">
        <v>200</v>
      </c>
      <c r="G17">
        <v>600</v>
      </c>
      <c r="N17" s="15"/>
    </row>
    <row r="18" spans="1:14" s="43" customFormat="1" ht="132" customHeight="1">
      <c r="E18" s="185" t="s">
        <v>472</v>
      </c>
      <c r="F18">
        <v>300</v>
      </c>
      <c r="G18">
        <v>700</v>
      </c>
      <c r="N18" s="15"/>
    </row>
    <row r="19" spans="1:14" s="43" customFormat="1">
      <c r="E19" s="185" t="s">
        <v>466</v>
      </c>
      <c r="F19">
        <v>400</v>
      </c>
      <c r="G19">
        <v>800</v>
      </c>
    </row>
    <row r="20" spans="1:14" s="43" customFormat="1">
      <c r="A20" s="14"/>
      <c r="E20" s="185" t="s">
        <v>449</v>
      </c>
      <c r="F20">
        <v>500</v>
      </c>
      <c r="G20">
        <v>900</v>
      </c>
    </row>
    <row r="21" spans="1:14" s="43" customFormat="1">
      <c r="A21" s="14"/>
      <c r="E21" s="185" t="s">
        <v>450</v>
      </c>
      <c r="F21">
        <v>600</v>
      </c>
      <c r="G21">
        <v>1000</v>
      </c>
      <c r="I21" s="43" t="s">
        <v>473</v>
      </c>
    </row>
    <row r="22" spans="1:14" s="43" customFormat="1">
      <c r="A22" s="14"/>
      <c r="E22" s="14"/>
      <c r="F22"/>
      <c r="G22"/>
    </row>
    <row r="23" spans="1:14" s="43" customFormat="1">
      <c r="A23" s="14"/>
      <c r="E23" s="14"/>
      <c r="F23"/>
      <c r="G23"/>
    </row>
    <row r="24" spans="1:14" s="43" customFormat="1">
      <c r="A24" s="14"/>
      <c r="E24" s="14"/>
      <c r="F24"/>
      <c r="G24"/>
    </row>
    <row r="25" spans="1:14" s="43" customFormat="1">
      <c r="A25" s="14"/>
      <c r="E25" s="15"/>
      <c r="F25"/>
      <c r="G25"/>
    </row>
    <row r="26" spans="1:14" s="43" customFormat="1">
      <c r="A26" s="14"/>
      <c r="E26" s="15"/>
      <c r="F26"/>
      <c r="G26"/>
    </row>
    <row r="27" spans="1:14" s="43" customFormat="1">
      <c r="A27" s="14"/>
      <c r="F27"/>
      <c r="G27"/>
    </row>
    <row r="28" spans="1:14" s="43" customFormat="1">
      <c r="A28" s="14"/>
      <c r="F28"/>
      <c r="G28"/>
    </row>
    <row r="29" spans="1:14" s="43" customFormat="1">
      <c r="A29" s="14"/>
      <c r="F29"/>
      <c r="G29"/>
    </row>
    <row r="30" spans="1:14" s="43" customFormat="1">
      <c r="A30" s="14"/>
      <c r="F30"/>
      <c r="G30"/>
    </row>
    <row r="31" spans="1:14" s="43" customFormat="1">
      <c r="A31" s="14"/>
      <c r="F31"/>
      <c r="G31"/>
    </row>
    <row r="32" spans="1:14" s="43" customFormat="1">
      <c r="A32" s="14"/>
      <c r="F32"/>
      <c r="G32"/>
    </row>
    <row r="33" spans="1:7" s="43" customFormat="1">
      <c r="A33" s="14"/>
      <c r="F33"/>
      <c r="G33"/>
    </row>
    <row r="34" spans="1:7" s="43" customFormat="1">
      <c r="A34" s="14"/>
      <c r="F34"/>
      <c r="G34"/>
    </row>
    <row r="35" spans="1:7" s="43" customFormat="1">
      <c r="A35" s="14"/>
      <c r="F35"/>
      <c r="G35"/>
    </row>
    <row r="36" spans="1:7" s="43" customFormat="1">
      <c r="A36" s="14"/>
      <c r="F36"/>
      <c r="G36"/>
    </row>
    <row r="37" spans="1:7" s="43" customFormat="1">
      <c r="A37" s="14"/>
      <c r="F37"/>
      <c r="G37"/>
    </row>
    <row r="38" spans="1:7" s="43" customFormat="1">
      <c r="A38" s="14"/>
      <c r="F38"/>
      <c r="G38"/>
    </row>
    <row r="39" spans="1:7" s="43" customFormat="1">
      <c r="A39" s="14"/>
    </row>
    <row r="40" spans="1:7" s="43" customFormat="1">
      <c r="A40" s="14"/>
    </row>
    <row r="41" spans="1:7" s="43" customFormat="1">
      <c r="A41" s="14"/>
    </row>
    <row r="42" spans="1:7" s="43" customFormat="1">
      <c r="A42" s="14"/>
    </row>
    <row r="43" spans="1:7" s="43" customFormat="1">
      <c r="A43" s="14"/>
      <c r="B43" s="44"/>
    </row>
    <row r="44" spans="1:7" s="43" customFormat="1">
      <c r="A44" s="14"/>
      <c r="B44" s="44"/>
    </row>
    <row r="45" spans="1:7" s="43" customFormat="1">
      <c r="A45" s="14"/>
      <c r="B45" s="44"/>
    </row>
    <row r="46" spans="1:7" s="43" customFormat="1">
      <c r="A46" s="14"/>
      <c r="B46" s="44"/>
    </row>
    <row r="47" spans="1:7" s="43" customFormat="1">
      <c r="A47" s="14"/>
      <c r="B47" s="44"/>
    </row>
    <row r="48" spans="1:7" s="43" customFormat="1">
      <c r="A48" s="14"/>
      <c r="B48" s="44"/>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7" s="43" customFormat="1">
      <c r="A81" s="14"/>
      <c r="B81" s="44"/>
      <c r="E81" s="15"/>
    </row>
    <row r="82" spans="1:17" s="43" customFormat="1">
      <c r="A82" s="14"/>
      <c r="B82" s="44"/>
      <c r="E82" s="15"/>
    </row>
    <row r="83" spans="1:17" s="43" customFormat="1">
      <c r="A83" s="14"/>
      <c r="B83" s="44"/>
      <c r="E83" s="15"/>
    </row>
    <row r="84" spans="1:17" s="43" customFormat="1">
      <c r="A84" s="14"/>
      <c r="B84" s="44"/>
      <c r="E84" s="15"/>
    </row>
    <row r="85" spans="1:17" s="43" customFormat="1">
      <c r="A85" s="14"/>
      <c r="B85" s="44"/>
      <c r="E85" s="15"/>
    </row>
    <row r="86" spans="1:17" s="43" customFormat="1">
      <c r="A86" s="14"/>
      <c r="B86" s="44"/>
      <c r="E86" s="15"/>
    </row>
    <row r="87" spans="1:17" s="43" customFormat="1">
      <c r="A87" s="14"/>
      <c r="B87" s="44"/>
      <c r="E87" s="15"/>
    </row>
    <row r="88" spans="1:17" s="43" customFormat="1">
      <c r="A88" s="14"/>
      <c r="B88" s="44"/>
      <c r="E88" s="15"/>
    </row>
    <row r="89" spans="1:17" s="43" customFormat="1">
      <c r="A89" s="14"/>
      <c r="B89" s="44"/>
      <c r="E89" s="15"/>
    </row>
    <row r="90" spans="1:17" s="43" customFormat="1">
      <c r="A90" s="14"/>
      <c r="B90" s="44"/>
      <c r="E90" s="15"/>
    </row>
    <row r="91" spans="1:17" s="43" customFormat="1">
      <c r="A91" s="14"/>
      <c r="B91" s="44"/>
      <c r="E91" s="15"/>
    </row>
    <row r="92" spans="1:17" s="43" customFormat="1">
      <c r="A92" s="14"/>
      <c r="B92" s="44"/>
      <c r="E92" s="15"/>
    </row>
    <row r="93" spans="1:17" s="43" customFormat="1">
      <c r="A93" s="14"/>
      <c r="B93" s="44"/>
      <c r="E93" s="15"/>
      <c r="M93"/>
    </row>
    <row r="94" spans="1:17" s="43" customFormat="1">
      <c r="A94" s="14"/>
      <c r="B94" s="44"/>
      <c r="E94" s="15"/>
      <c r="M94"/>
    </row>
    <row r="95" spans="1:17" s="43" customFormat="1">
      <c r="A95" s="14"/>
      <c r="B95" s="44"/>
      <c r="E95" s="15"/>
      <c r="M95"/>
    </row>
    <row r="96" spans="1:17" s="43" customFormat="1">
      <c r="A96" s="14"/>
      <c r="B96" s="44"/>
      <c r="E96" s="15"/>
      <c r="M96"/>
      <c r="Q96"/>
    </row>
    <row r="97" spans="1:23" s="43" customFormat="1">
      <c r="A97" s="14"/>
      <c r="B97" s="44"/>
      <c r="E97" s="15"/>
      <c r="M97"/>
      <c r="Q97"/>
    </row>
    <row r="98" spans="1:23" s="43" customFormat="1">
      <c r="A98" s="14"/>
      <c r="B98" s="44"/>
      <c r="E98" s="15"/>
      <c r="M98"/>
      <c r="Q98"/>
    </row>
    <row r="99" spans="1:23" s="43" customFormat="1">
      <c r="A99" s="14"/>
      <c r="B99" s="44"/>
      <c r="E99" s="15"/>
      <c r="K99"/>
      <c r="M99"/>
      <c r="Q99"/>
      <c r="W99"/>
    </row>
    <row r="100" spans="1:23" s="43" customFormat="1">
      <c r="A100" s="14"/>
      <c r="B100" s="44"/>
      <c r="E100" s="15"/>
      <c r="K100"/>
      <c r="M100"/>
      <c r="N100"/>
      <c r="Q100"/>
      <c r="W100"/>
    </row>
    <row r="101" spans="1:23" s="43" customFormat="1">
      <c r="A101" s="14"/>
      <c r="B101" s="44"/>
      <c r="E101" s="15"/>
      <c r="H101"/>
      <c r="I101"/>
      <c r="K101"/>
      <c r="M101"/>
      <c r="N101"/>
      <c r="O101"/>
      <c r="P101"/>
      <c r="Q101"/>
      <c r="W101"/>
    </row>
    <row r="102" spans="1:23" s="43" customFormat="1">
      <c r="A102" s="14"/>
      <c r="B102" s="44"/>
      <c r="E102" s="15"/>
      <c r="H102"/>
      <c r="I102"/>
      <c r="K102"/>
      <c r="L102"/>
      <c r="M102"/>
      <c r="N102"/>
      <c r="O102"/>
      <c r="P102"/>
      <c r="Q102"/>
      <c r="W102"/>
    </row>
    <row r="103" spans="1:23">
      <c r="F103" s="43"/>
      <c r="G103" s="43"/>
      <c r="J103" s="43"/>
    </row>
    <row r="104" spans="1:23">
      <c r="F104" s="43"/>
      <c r="G104" s="43"/>
      <c r="J104" s="43"/>
    </row>
    <row r="105" spans="1:23">
      <c r="F105" s="43"/>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3"/>
      <c r="D199" s="43"/>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tabSelected="1" zoomScale="160" zoomScaleNormal="160" workbookViewId="0">
      <pane xSplit="5" ySplit="1" topLeftCell="F2" activePane="bottomRight" state="frozen"/>
      <selection pane="topRight" activeCell="F1" sqref="F1"/>
      <selection pane="bottomLeft" activeCell="A2" sqref="A2"/>
      <selection pane="bottomRight" activeCell="A2" sqref="A2"/>
    </sheetView>
  </sheetViews>
  <sheetFormatPr defaultColWidth="9" defaultRowHeight="1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c r="A1" t="s">
        <v>2</v>
      </c>
      <c r="F1" t="s">
        <v>2</v>
      </c>
    </row>
    <row r="2" spans="1:15" ht="30.95" customHeight="1">
      <c r="A2" s="8" t="s">
        <v>1</v>
      </c>
    </row>
    <row r="3" spans="1:15" ht="30.95" customHeight="1">
      <c r="A3" s="8" t="s">
        <v>5</v>
      </c>
      <c r="C3" s="8" t="s">
        <v>336</v>
      </c>
      <c r="D3" s="22"/>
      <c r="E3" s="47"/>
      <c r="F3" s="20"/>
      <c r="G3" s="13"/>
      <c r="O3" t="s">
        <v>2</v>
      </c>
    </row>
    <row r="4" spans="1:15" ht="30.95" customHeight="1">
      <c r="A4" s="21"/>
      <c r="C4" s="58">
        <v>44026.634062500001</v>
      </c>
      <c r="D4" s="59"/>
      <c r="E4" s="60"/>
      <c r="F4" s="20"/>
      <c r="G4" s="13"/>
    </row>
    <row r="5" spans="1:15" ht="30.95" customHeight="1">
      <c r="A5" s="21"/>
      <c r="C5" s="61"/>
      <c r="D5" s="62"/>
      <c r="E5" s="63"/>
      <c r="F5" s="20"/>
      <c r="G5" s="13"/>
    </row>
    <row r="6" spans="1:15" ht="30.95" customHeight="1">
      <c r="C6" s="45"/>
      <c r="E6" s="48"/>
    </row>
    <row r="7" spans="1:15" ht="30.95" customHeight="1">
      <c r="C7" s="23"/>
    </row>
    <row r="8" spans="1:15" ht="30.95" customHeight="1">
      <c r="A8" s="8" t="s">
        <v>12</v>
      </c>
      <c r="D8" s="33"/>
      <c r="E8" s="49"/>
      <c r="F8" s="34"/>
    </row>
    <row r="9" spans="1:15" s="5" customFormat="1">
      <c r="A9" s="5" t="s">
        <v>8</v>
      </c>
      <c r="B9" s="5" t="s">
        <v>16</v>
      </c>
      <c r="C9" s="40"/>
      <c r="D9" s="35"/>
      <c r="E9" s="50"/>
      <c r="F9" s="36"/>
      <c r="I9" s="5" t="s">
        <v>2</v>
      </c>
    </row>
    <row r="10" spans="1:15" s="5" customFormat="1">
      <c r="A10" s="5" t="s">
        <v>9</v>
      </c>
      <c r="B10" s="5" t="s">
        <v>17</v>
      </c>
      <c r="C10" s="27"/>
      <c r="D10" s="37"/>
      <c r="E10" s="51"/>
      <c r="F10" s="36"/>
    </row>
    <row r="11" spans="1:15">
      <c r="A11" s="5" t="s">
        <v>11</v>
      </c>
      <c r="B11" t="s">
        <v>18</v>
      </c>
      <c r="C11" s="27"/>
      <c r="D11" s="37"/>
      <c r="E11" s="51"/>
      <c r="F11" s="36"/>
    </row>
    <row r="12" spans="1:15">
      <c r="C12" s="27"/>
      <c r="D12" s="35"/>
      <c r="E12" s="50"/>
      <c r="F12" s="36"/>
    </row>
    <row r="13" spans="1:15">
      <c r="C13" s="27"/>
      <c r="D13" s="35"/>
      <c r="E13" s="50"/>
      <c r="F13" s="35"/>
    </row>
    <row r="14" spans="1:15">
      <c r="C14" s="29"/>
      <c r="D14" s="38"/>
      <c r="E14" s="52"/>
      <c r="F14" s="38"/>
    </row>
    <row r="15" spans="1:15">
      <c r="C15" s="29"/>
      <c r="D15" s="39"/>
      <c r="E15" s="53"/>
      <c r="F15" s="39"/>
    </row>
    <row r="16" spans="1:15">
      <c r="C16" s="29"/>
      <c r="D16" s="244"/>
      <c r="E16" s="54"/>
      <c r="F16" s="31"/>
    </row>
    <row r="17" spans="1:6">
      <c r="C17" s="29"/>
      <c r="D17" s="244"/>
      <c r="E17" s="54"/>
      <c r="F17" s="31"/>
    </row>
    <row r="18" spans="1:6">
      <c r="C18" s="29"/>
      <c r="D18" s="244"/>
      <c r="E18" s="54"/>
      <c r="F18" s="31"/>
    </row>
    <row r="19" spans="1:6">
      <c r="C19" s="29"/>
      <c r="D19" s="244"/>
      <c r="E19" s="54"/>
      <c r="F19" s="31"/>
    </row>
    <row r="20" spans="1:6">
      <c r="C20" s="29"/>
      <c r="D20" s="244"/>
      <c r="E20" s="54"/>
      <c r="F20" s="31"/>
    </row>
    <row r="21" spans="1:6">
      <c r="A21" s="20"/>
      <c r="B21" s="20"/>
      <c r="C21" s="29"/>
      <c r="D21" s="244"/>
      <c r="E21" s="54"/>
      <c r="F21" s="31"/>
    </row>
    <row r="22" spans="1:6">
      <c r="A22" s="20"/>
      <c r="B22" s="20"/>
      <c r="C22" s="29"/>
      <c r="D22" s="244"/>
      <c r="E22" s="54"/>
      <c r="F22" s="31"/>
    </row>
    <row r="23" spans="1:6">
      <c r="A23" s="20"/>
      <c r="B23" s="20"/>
      <c r="C23" s="29"/>
      <c r="D23" s="244"/>
      <c r="E23" s="54"/>
      <c r="F23" s="31"/>
    </row>
    <row r="24" spans="1:6">
      <c r="A24" s="20"/>
      <c r="B24" s="20"/>
      <c r="C24" s="29"/>
      <c r="D24" s="244"/>
      <c r="E24" s="54"/>
      <c r="F24" s="31"/>
    </row>
    <row r="25" spans="1:6">
      <c r="A25" s="20"/>
      <c r="B25" s="20"/>
      <c r="C25" s="29"/>
      <c r="D25" s="244"/>
      <c r="E25" s="54"/>
      <c r="F25" s="31"/>
    </row>
    <row r="26" spans="1:6">
      <c r="A26" s="20"/>
      <c r="B26" s="20"/>
      <c r="C26" s="29"/>
      <c r="D26" s="244"/>
      <c r="E26" s="54"/>
      <c r="F26" s="31"/>
    </row>
    <row r="27" spans="1:6">
      <c r="A27" s="20"/>
      <c r="B27" s="20"/>
      <c r="C27" s="29"/>
      <c r="D27" s="244"/>
      <c r="E27" s="54"/>
      <c r="F27" s="31"/>
    </row>
    <row r="28" spans="1:6">
      <c r="A28" s="20"/>
      <c r="B28" s="20"/>
      <c r="C28" s="29"/>
      <c r="D28" s="244"/>
      <c r="E28" s="54"/>
      <c r="F28" s="31"/>
    </row>
    <row r="29" spans="1:6">
      <c r="A29" s="20"/>
      <c r="B29" s="20"/>
      <c r="C29" s="29"/>
      <c r="D29" s="32"/>
      <c r="E29" s="55"/>
      <c r="F29" s="31"/>
    </row>
    <row r="30" spans="1:6">
      <c r="A30" s="25"/>
      <c r="B30" s="20"/>
      <c r="C30" s="29"/>
      <c r="D30" s="32"/>
      <c r="E30" s="55"/>
      <c r="F30" s="31"/>
    </row>
    <row r="31" spans="1:6">
      <c r="A31" s="20"/>
      <c r="B31" s="20"/>
      <c r="C31" s="29"/>
      <c r="D31" s="244"/>
      <c r="E31" s="54"/>
      <c r="F31" s="31"/>
    </row>
    <row r="32" spans="1:6" ht="15.75">
      <c r="A32" s="26"/>
      <c r="B32" s="20"/>
      <c r="C32" s="29"/>
      <c r="D32" s="244"/>
      <c r="E32" s="54"/>
      <c r="F32" s="31"/>
    </row>
    <row r="33" spans="1:6" ht="223.5" customHeight="1">
      <c r="A33" s="20"/>
      <c r="B33" s="20"/>
      <c r="C33" s="29"/>
      <c r="D33" s="29"/>
      <c r="E33" s="56"/>
      <c r="F33" s="30"/>
    </row>
    <row r="34" spans="1:6" ht="15.75">
      <c r="A34" s="26"/>
      <c r="B34" s="20"/>
      <c r="F34" s="20"/>
    </row>
    <row r="35" spans="1:6">
      <c r="A35" s="20"/>
      <c r="B35" s="20"/>
      <c r="C35" s="20"/>
      <c r="D35" s="20"/>
      <c r="E35" s="57"/>
      <c r="F35" s="20"/>
    </row>
    <row r="36" spans="1:6">
      <c r="A36" s="20"/>
      <c r="B36" s="20"/>
      <c r="C36" s="20"/>
      <c r="D36" s="20"/>
      <c r="E36" s="57"/>
      <c r="F36" s="20"/>
    </row>
    <row r="37" spans="1:6">
      <c r="A37" s="20"/>
      <c r="B37" s="20"/>
      <c r="C37" s="20"/>
      <c r="D37" s="20"/>
      <c r="E37" s="57"/>
      <c r="F37" s="20"/>
    </row>
    <row r="38" spans="1:6">
      <c r="A38" s="20"/>
      <c r="B38" s="20"/>
      <c r="C38" s="20"/>
      <c r="D38" s="20"/>
      <c r="E38" s="57"/>
      <c r="F38" s="20"/>
    </row>
    <row r="39" spans="1:6">
      <c r="A39" s="20"/>
      <c r="B39" s="20"/>
      <c r="C39" s="20"/>
      <c r="D39" s="20"/>
      <c r="E39" s="57"/>
      <c r="F39" s="20"/>
    </row>
    <row r="40" spans="1:6">
      <c r="A40" s="20"/>
      <c r="B40" s="20"/>
      <c r="C40" s="20"/>
      <c r="D40" s="20"/>
      <c r="E40" s="57"/>
      <c r="F40" s="20"/>
    </row>
    <row r="41" spans="1:6">
      <c r="A41" s="20"/>
      <c r="B41" s="20"/>
      <c r="C41" s="20"/>
      <c r="D41" s="20"/>
      <c r="E41" s="57"/>
      <c r="F41" s="20"/>
    </row>
    <row r="42" spans="1:6">
      <c r="A42" s="20"/>
      <c r="B42" s="20"/>
      <c r="C42" s="20"/>
      <c r="D42" s="20"/>
      <c r="E42" s="57"/>
      <c r="F42" s="20"/>
    </row>
    <row r="43" spans="1:6">
      <c r="A43" s="20"/>
      <c r="B43" s="20"/>
      <c r="C43" s="20"/>
      <c r="D43" s="20"/>
      <c r="E43" s="57"/>
      <c r="F43" s="20"/>
    </row>
    <row r="44" spans="1:6">
      <c r="A44" s="20"/>
      <c r="B44" s="20"/>
      <c r="C44" s="20"/>
      <c r="D44" s="20"/>
      <c r="E44" s="57"/>
      <c r="F44" s="20"/>
    </row>
    <row r="45" spans="1:6">
      <c r="A45" s="20"/>
      <c r="B45" s="20"/>
      <c r="C45" s="20"/>
      <c r="D45" s="20"/>
      <c r="E45" s="57"/>
      <c r="F45" s="20"/>
    </row>
    <row r="46" spans="1:6">
      <c r="A46" s="20"/>
      <c r="B46" s="20"/>
      <c r="C46" s="20"/>
      <c r="D46" s="20"/>
      <c r="E46" s="57"/>
      <c r="F46" s="20"/>
    </row>
    <row r="47" spans="1:6">
      <c r="A47" s="20"/>
      <c r="B47" s="20"/>
      <c r="C47" s="20"/>
      <c r="D47" s="20"/>
      <c r="E47" s="57"/>
      <c r="F47" s="20"/>
    </row>
    <row r="48" spans="1:6">
      <c r="A48" s="20"/>
      <c r="B48" s="20"/>
      <c r="C48" s="20"/>
      <c r="D48" s="20"/>
      <c r="E48" s="57"/>
      <c r="F48" s="20"/>
    </row>
    <row r="49" spans="1:6">
      <c r="A49" s="20"/>
      <c r="B49" s="20"/>
      <c r="C49" s="20"/>
      <c r="D49" s="20"/>
      <c r="E49" s="57"/>
      <c r="F49" s="20"/>
    </row>
    <row r="50" spans="1:6">
      <c r="A50" s="20"/>
      <c r="B50" s="20"/>
      <c r="C50" s="20"/>
      <c r="D50" s="20"/>
      <c r="E50" s="57"/>
      <c r="F50" s="20"/>
    </row>
    <row r="51" spans="1:6">
      <c r="A51" s="20"/>
      <c r="B51" s="20"/>
      <c r="C51" s="20"/>
      <c r="D51" s="20"/>
      <c r="E51" s="57"/>
      <c r="F51" s="20"/>
    </row>
    <row r="52" spans="1:6">
      <c r="A52" s="20"/>
      <c r="B52" s="20"/>
      <c r="C52" s="20"/>
      <c r="D52" s="20"/>
      <c r="E52" s="57"/>
      <c r="F52" s="20"/>
    </row>
    <row r="53" spans="1:6">
      <c r="A53" s="20"/>
      <c r="B53" s="20"/>
      <c r="C53" s="20"/>
      <c r="D53" s="20"/>
      <c r="E53" s="57"/>
      <c r="F53" s="20"/>
    </row>
    <row r="54" spans="1:6">
      <c r="A54" s="20"/>
      <c r="B54" s="20"/>
      <c r="C54" s="20"/>
      <c r="D54" s="20"/>
      <c r="E54" s="57"/>
      <c r="F54" s="20"/>
    </row>
    <row r="55" spans="1:6">
      <c r="A55" s="20"/>
      <c r="B55" s="20"/>
      <c r="C55" s="20"/>
      <c r="D55" s="20"/>
      <c r="E55" s="57"/>
      <c r="F55" s="20"/>
    </row>
    <row r="56" spans="1:6">
      <c r="A56" s="20"/>
      <c r="B56" s="20"/>
      <c r="C56" s="20"/>
      <c r="D56" s="20"/>
      <c r="E56" s="57"/>
      <c r="F56" s="20"/>
    </row>
    <row r="57" spans="1:6">
      <c r="A57" s="20"/>
      <c r="B57" s="20"/>
      <c r="C57" s="20"/>
      <c r="D57" s="20"/>
      <c r="E57" s="57"/>
      <c r="F57" s="20"/>
    </row>
    <row r="58" spans="1:6">
      <c r="A58" s="20"/>
      <c r="B58" s="20"/>
      <c r="C58" s="20"/>
      <c r="D58" s="20"/>
      <c r="E58" s="57"/>
      <c r="F58" s="20"/>
    </row>
    <row r="59" spans="1:6">
      <c r="A59" s="20"/>
      <c r="B59" s="20"/>
      <c r="C59" s="20"/>
      <c r="D59" s="20"/>
      <c r="E59" s="57"/>
      <c r="F59" s="20"/>
    </row>
    <row r="60" spans="1:6">
      <c r="A60" s="20"/>
      <c r="B60" s="20"/>
      <c r="C60" s="20"/>
      <c r="D60" s="20"/>
      <c r="E60" s="57"/>
      <c r="F60" s="20"/>
    </row>
    <row r="61" spans="1:6">
      <c r="A61" s="20"/>
      <c r="B61" s="20"/>
      <c r="C61" s="20"/>
      <c r="D61" s="20"/>
      <c r="E61" s="57"/>
      <c r="F61" s="20"/>
    </row>
    <row r="62" spans="1:6">
      <c r="A62" s="20"/>
      <c r="B62" s="20"/>
      <c r="C62" s="20"/>
      <c r="D62" s="20"/>
      <c r="E62" s="57"/>
      <c r="F62" s="20"/>
    </row>
    <row r="63" spans="1:6">
      <c r="A63" s="20"/>
      <c r="B63" s="20"/>
      <c r="C63" s="20"/>
      <c r="D63" s="20"/>
      <c r="E63" s="57"/>
      <c r="F63" s="20"/>
    </row>
    <row r="64" spans="1:6">
      <c r="A64" s="20"/>
      <c r="B64" s="20"/>
      <c r="C64" s="20"/>
      <c r="D64" s="20"/>
      <c r="E64" s="57"/>
      <c r="F64" s="20"/>
    </row>
    <row r="65" spans="1:6">
      <c r="A65" s="20"/>
      <c r="B65" s="20"/>
      <c r="C65" s="20"/>
      <c r="D65" s="20"/>
      <c r="E65" s="57"/>
      <c r="F65" s="20"/>
    </row>
    <row r="66" spans="1:6">
      <c r="A66" s="20"/>
      <c r="B66" s="20"/>
      <c r="C66" s="20"/>
      <c r="D66" s="20"/>
      <c r="E66" s="57"/>
      <c r="F66" s="20"/>
    </row>
    <row r="67" spans="1:6">
      <c r="A67" s="20"/>
      <c r="B67" s="20"/>
      <c r="C67" s="20"/>
      <c r="D67" s="20"/>
      <c r="E67" s="57"/>
      <c r="F67" s="20"/>
    </row>
    <row r="68" spans="1:6">
      <c r="A68" s="20"/>
      <c r="B68" s="20"/>
      <c r="C68" s="20"/>
      <c r="D68" s="20"/>
      <c r="E68" s="57"/>
      <c r="F68" s="20"/>
    </row>
    <row r="69" spans="1:6">
      <c r="A69" s="20"/>
      <c r="B69" s="20"/>
      <c r="C69" s="20"/>
      <c r="D69" s="20"/>
      <c r="E69" s="57"/>
      <c r="F69" s="20"/>
    </row>
    <row r="70" spans="1:6">
      <c r="A70" s="20"/>
      <c r="B70" s="20"/>
      <c r="C70" s="20"/>
      <c r="D70" s="20"/>
      <c r="E70" s="57"/>
      <c r="F70" s="20"/>
    </row>
    <row r="71" spans="1:6">
      <c r="A71" s="20"/>
      <c r="B71" s="20"/>
      <c r="C71" s="20"/>
      <c r="D71" s="20"/>
      <c r="E71" s="57"/>
      <c r="F71" s="20"/>
    </row>
    <row r="72" spans="1:6">
      <c r="A72" s="20"/>
      <c r="B72" s="20"/>
      <c r="C72" s="20"/>
      <c r="D72" s="20"/>
      <c r="E72" s="57"/>
      <c r="F72" s="20"/>
    </row>
    <row r="73" spans="1:6">
      <c r="A73" s="20"/>
      <c r="B73" s="20"/>
      <c r="C73" s="20"/>
      <c r="D73" s="20"/>
      <c r="E73" s="57"/>
      <c r="F73" s="20"/>
    </row>
    <row r="74" spans="1:6">
      <c r="A74" s="20"/>
      <c r="B74" s="20"/>
      <c r="C74" s="20"/>
      <c r="D74" s="20"/>
      <c r="E74" s="57"/>
      <c r="F74" s="20"/>
    </row>
    <row r="75" spans="1:6">
      <c r="A75" s="20"/>
      <c r="B75" s="20"/>
      <c r="C75" s="20"/>
      <c r="D75" s="20"/>
      <c r="E75" s="57"/>
      <c r="F75" s="20"/>
    </row>
    <row r="76" spans="1:6">
      <c r="A76" s="20"/>
      <c r="B76" s="20"/>
      <c r="C76" s="20"/>
      <c r="D76" s="20"/>
      <c r="E76" s="57"/>
      <c r="F76" s="20"/>
    </row>
  </sheetData>
  <mergeCells count="4">
    <mergeCell ref="D25:D28"/>
    <mergeCell ref="D31:D32"/>
    <mergeCell ref="D16:D19"/>
    <mergeCell ref="D20:D24"/>
  </mergeCells>
  <conditionalFormatting sqref="E4:E5">
    <cfRule type="cellIs" dxfId="79"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4"/>
    <col min="4" max="4" width="15.5" style="144" customWidth="1"/>
    <col min="5" max="8" width="11.5" style="144"/>
    <col min="9" max="9" width="13.6640625" style="144" customWidth="1"/>
    <col min="10" max="16384" width="11.5" style="144"/>
  </cols>
  <sheetData>
    <row r="3" spans="1:13" ht="23.25">
      <c r="G3" s="145"/>
      <c r="H3" s="146" t="s">
        <v>111</v>
      </c>
      <c r="I3" s="146"/>
      <c r="J3" s="146"/>
      <c r="K3" s="145"/>
      <c r="L3" s="145"/>
      <c r="M3" s="145"/>
    </row>
    <row r="4" spans="1:13">
      <c r="J4" s="147"/>
    </row>
    <row r="5" spans="1:13">
      <c r="J5" s="147"/>
    </row>
    <row r="6" spans="1:13" ht="19.5">
      <c r="G6" s="148" t="s">
        <v>112</v>
      </c>
      <c r="H6" s="148"/>
      <c r="I6" s="148"/>
      <c r="J6" s="149">
        <v>1234</v>
      </c>
      <c r="L6" s="182" t="s">
        <v>347</v>
      </c>
    </row>
    <row r="7" spans="1:13" ht="19.5">
      <c r="G7" s="148" t="s">
        <v>113</v>
      </c>
      <c r="H7" s="148"/>
      <c r="I7" s="148"/>
      <c r="J7" s="149"/>
    </row>
    <row r="8" spans="1:13" ht="19.5">
      <c r="A8" s="150" t="s">
        <v>114</v>
      </c>
      <c r="B8" s="150"/>
      <c r="C8" s="150"/>
      <c r="G8" s="148" t="s">
        <v>115</v>
      </c>
      <c r="H8" s="148"/>
      <c r="I8" s="148"/>
      <c r="J8" s="149"/>
      <c r="K8" s="150"/>
      <c r="L8" s="182" t="s">
        <v>343</v>
      </c>
    </row>
    <row r="9" spans="1:13" ht="19.5">
      <c r="A9" s="150" t="s">
        <v>116</v>
      </c>
      <c r="B9" s="150"/>
      <c r="C9" s="150"/>
      <c r="J9" s="151"/>
    </row>
    <row r="10" spans="1:13" ht="19.5">
      <c r="A10" s="150" t="s">
        <v>117</v>
      </c>
      <c r="B10" s="150"/>
      <c r="C10" s="150"/>
      <c r="G10" s="67" t="s">
        <v>23</v>
      </c>
      <c r="H10" s="67"/>
      <c r="I10" s="67"/>
      <c r="J10" s="67"/>
      <c r="L10" s="182" t="s">
        <v>344</v>
      </c>
    </row>
    <row r="11" spans="1:13" ht="19.5">
      <c r="A11" s="150" t="s">
        <v>118</v>
      </c>
      <c r="B11" s="150"/>
      <c r="C11" s="150"/>
      <c r="G11" s="67" t="s">
        <v>25</v>
      </c>
      <c r="H11" s="67"/>
      <c r="I11" s="67"/>
      <c r="J11" s="67"/>
      <c r="K11" s="150"/>
      <c r="L11" s="182" t="s">
        <v>345</v>
      </c>
    </row>
    <row r="12" spans="1:13" ht="19.5">
      <c r="A12" s="150" t="s">
        <v>119</v>
      </c>
      <c r="B12" s="150"/>
      <c r="C12" s="150"/>
      <c r="G12" s="67" t="s">
        <v>26</v>
      </c>
      <c r="H12" s="67"/>
      <c r="I12" s="67"/>
      <c r="J12" s="67"/>
      <c r="K12" s="150"/>
      <c r="L12" s="182" t="s">
        <v>346</v>
      </c>
    </row>
    <row r="13" spans="1:13" ht="19.5">
      <c r="A13" s="150" t="s">
        <v>120</v>
      </c>
      <c r="B13" s="150"/>
      <c r="C13" s="150"/>
      <c r="G13" s="150"/>
      <c r="H13" s="150"/>
      <c r="I13" s="150"/>
      <c r="J13" s="149"/>
      <c r="K13" s="152"/>
    </row>
    <row r="14" spans="1:13">
      <c r="A14" s="153"/>
      <c r="B14" s="153"/>
      <c r="C14" s="153"/>
      <c r="J14" s="147"/>
    </row>
    <row r="15" spans="1:13">
      <c r="J15" s="147"/>
    </row>
    <row r="16" spans="1:13" ht="19.5">
      <c r="A16" s="154"/>
      <c r="B16" s="154"/>
      <c r="C16" s="154"/>
      <c r="D16" s="154"/>
      <c r="G16" s="150" t="s">
        <v>10</v>
      </c>
      <c r="H16" s="150"/>
      <c r="I16" s="150"/>
      <c r="J16" s="155">
        <f ca="1">TODAY()</f>
        <v>44095</v>
      </c>
      <c r="K16" s="150"/>
    </row>
    <row r="17" spans="1:12" ht="19.5">
      <c r="A17" s="154"/>
      <c r="B17" s="156"/>
      <c r="C17" s="154"/>
      <c r="D17" s="154"/>
      <c r="G17" s="150" t="s">
        <v>121</v>
      </c>
      <c r="H17" s="150"/>
      <c r="I17" s="150"/>
      <c r="J17" s="157"/>
      <c r="K17" s="150"/>
      <c r="L17" s="181" t="s">
        <v>348</v>
      </c>
    </row>
    <row r="18" spans="1:12">
      <c r="A18" s="154"/>
      <c r="B18" s="158"/>
      <c r="C18" s="154"/>
      <c r="D18" s="154"/>
      <c r="J18" s="147"/>
    </row>
    <row r="22" spans="1:12">
      <c r="A22" s="154"/>
      <c r="B22" s="154"/>
      <c r="C22" s="154"/>
      <c r="D22" s="154"/>
    </row>
  </sheetData>
  <printOptions gridLines="1"/>
  <pageMargins left="0.75" right="0.75" top="1" bottom="1" header="0.5" footer="0.5"/>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87"/>
  <sheetViews>
    <sheetView showGridLines="0" topLeftCell="AN1" zoomScale="80" zoomScaleNormal="80" workbookViewId="0">
      <selection activeCell="AS6" sqref="AS6"/>
    </sheetView>
  </sheetViews>
  <sheetFormatPr defaultColWidth="9.33203125" defaultRowHeight="1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3" width="25.6640625" style="162" customWidth="1"/>
    <col min="44" max="44" width="25.6640625" customWidth="1"/>
    <col min="45" max="45" width="12" style="162" bestFit="1" customWidth="1"/>
    <col min="46" max="46" width="22" style="162" bestFit="1" customWidth="1"/>
    <col min="47" max="47" width="15" style="162" bestFit="1" customWidth="1"/>
    <col min="48" max="48" width="10.6640625" style="162" bestFit="1" customWidth="1"/>
    <col min="49" max="49" width="19.6640625" style="162" bestFit="1" customWidth="1"/>
    <col min="50" max="50" width="17.83203125" style="162" bestFit="1" customWidth="1"/>
    <col min="51" max="51" width="25.33203125" style="162" bestFit="1" customWidth="1"/>
    <col min="52" max="52" width="10.1640625" style="162" bestFit="1" customWidth="1"/>
    <col min="53" max="53" width="10.6640625" style="162" bestFit="1" customWidth="1"/>
    <col min="54" max="55" width="12.33203125" style="162" bestFit="1" customWidth="1"/>
    <col min="56" max="56" width="27" style="162" bestFit="1" customWidth="1"/>
    <col min="57" max="57" width="22.83203125" style="162" bestFit="1" customWidth="1"/>
    <col min="58" max="58" width="23.33203125" style="162" bestFit="1" customWidth="1"/>
    <col min="59" max="59" width="31.1640625" style="162" bestFit="1" customWidth="1"/>
    <col min="60" max="60" width="27" style="162" bestFit="1" customWidth="1"/>
    <col min="61" max="61" width="28.6640625" style="162" bestFit="1" customWidth="1"/>
    <col min="62" max="62" width="31.1640625" style="162" bestFit="1" customWidth="1"/>
    <col min="63" max="63" width="19.5" style="162" bestFit="1" customWidth="1"/>
    <col min="64" max="64" width="19" style="162" bestFit="1" customWidth="1"/>
    <col min="65" max="65" width="20.5" style="162" bestFit="1" customWidth="1"/>
    <col min="66" max="66" width="19" style="162" bestFit="1" customWidth="1"/>
    <col min="67" max="67" width="17.5" style="162" bestFit="1" customWidth="1"/>
    <col min="68" max="68" width="11" style="162" bestFit="1" customWidth="1"/>
    <col min="69" max="16384" width="9.33203125" style="162"/>
  </cols>
  <sheetData>
    <row r="1" spans="1:69" s="159" customFormat="1" ht="63.95" customHeight="1">
      <c r="A1" s="169"/>
      <c r="B1" s="177"/>
      <c r="J1" s="160"/>
      <c r="O1" s="160"/>
      <c r="AR1"/>
    </row>
    <row r="2" spans="1:69" s="159" customFormat="1" ht="32.1" customHeight="1">
      <c r="A2" s="170" t="s">
        <v>27</v>
      </c>
      <c r="B2" s="177"/>
      <c r="F2" s="159" t="s">
        <v>28</v>
      </c>
      <c r="H2" s="159" t="s">
        <v>29</v>
      </c>
      <c r="O2" s="159" t="s">
        <v>30</v>
      </c>
      <c r="Q2" s="160" t="s">
        <v>31</v>
      </c>
      <c r="U2" s="159" t="s">
        <v>32</v>
      </c>
      <c r="AD2" s="159" t="s">
        <v>33</v>
      </c>
      <c r="AR2"/>
      <c r="BK2" s="159" t="s">
        <v>34</v>
      </c>
    </row>
    <row r="3" spans="1:69" s="161" customFormat="1">
      <c r="A3" s="171" t="s">
        <v>318</v>
      </c>
      <c r="B3" s="178" t="s">
        <v>401</v>
      </c>
      <c r="C3" s="168" t="s">
        <v>388</v>
      </c>
      <c r="D3" s="168" t="s">
        <v>4</v>
      </c>
      <c r="E3" s="168" t="s">
        <v>402</v>
      </c>
      <c r="F3" s="168" t="s">
        <v>28</v>
      </c>
      <c r="G3" s="168" t="s">
        <v>400</v>
      </c>
      <c r="H3" s="168" t="s">
        <v>397</v>
      </c>
      <c r="I3" s="168" t="s">
        <v>403</v>
      </c>
      <c r="J3" s="168" t="s">
        <v>46</v>
      </c>
      <c r="K3" s="168" t="s">
        <v>443</v>
      </c>
      <c r="L3" s="168" t="s">
        <v>444</v>
      </c>
      <c r="M3" s="168" t="s">
        <v>445</v>
      </c>
      <c r="N3" s="168" t="s">
        <v>446</v>
      </c>
      <c r="O3" s="168" t="s">
        <v>406</v>
      </c>
      <c r="P3" s="168" t="s">
        <v>407</v>
      </c>
      <c r="Q3" s="168" t="s">
        <v>414</v>
      </c>
      <c r="R3" s="168" t="s">
        <v>410</v>
      </c>
      <c r="S3" s="168" t="s">
        <v>31</v>
      </c>
      <c r="T3" s="168" t="s">
        <v>415</v>
      </c>
      <c r="U3" s="168" t="s">
        <v>413</v>
      </c>
      <c r="V3" s="168" t="s">
        <v>462</v>
      </c>
      <c r="W3" s="168" t="s">
        <v>461</v>
      </c>
      <c r="X3" s="168" t="s">
        <v>460</v>
      </c>
      <c r="Y3" s="168" t="s">
        <v>459</v>
      </c>
      <c r="Z3" s="168" t="s">
        <v>458</v>
      </c>
      <c r="AA3" s="168" t="s">
        <v>463</v>
      </c>
      <c r="AB3" s="168" t="s">
        <v>457</v>
      </c>
      <c r="AC3" s="168" t="s">
        <v>58</v>
      </c>
      <c r="AD3" s="168" t="s">
        <v>585</v>
      </c>
      <c r="AE3" s="168" t="s">
        <v>464</v>
      </c>
      <c r="AF3" s="168" t="s">
        <v>456</v>
      </c>
      <c r="AG3" s="168" t="s">
        <v>455</v>
      </c>
      <c r="AH3" s="168" t="s">
        <v>465</v>
      </c>
      <c r="AI3" s="168" t="s">
        <v>454</v>
      </c>
      <c r="AJ3" s="168" t="s">
        <v>447</v>
      </c>
      <c r="AK3" s="168" t="s">
        <v>453</v>
      </c>
      <c r="AL3" s="168" t="s">
        <v>448</v>
      </c>
      <c r="AM3" s="168" t="s">
        <v>466</v>
      </c>
      <c r="AN3" s="168" t="s">
        <v>449</v>
      </c>
      <c r="AO3" s="168" t="s">
        <v>450</v>
      </c>
      <c r="AP3" s="168" t="s">
        <v>468</v>
      </c>
      <c r="AQ3" s="168" t="s">
        <v>582</v>
      </c>
      <c r="AR3" s="168" t="s">
        <v>87</v>
      </c>
      <c r="AS3"/>
      <c r="AT3" s="168" t="s">
        <v>424</v>
      </c>
      <c r="AU3" s="168" t="s">
        <v>451</v>
      </c>
      <c r="AV3" s="168" t="s">
        <v>59</v>
      </c>
      <c r="AW3" s="168" t="s">
        <v>60</v>
      </c>
      <c r="AX3" s="168" t="s">
        <v>61</v>
      </c>
      <c r="AY3" s="168" t="s">
        <v>62</v>
      </c>
      <c r="AZ3" s="168" t="s">
        <v>63</v>
      </c>
      <c r="BA3" s="168" t="s">
        <v>64</v>
      </c>
      <c r="BB3" s="168" t="s">
        <v>65</v>
      </c>
      <c r="BC3" s="168" t="s">
        <v>66</v>
      </c>
      <c r="BD3" s="168" t="s">
        <v>67</v>
      </c>
      <c r="BE3" s="168" t="s">
        <v>71</v>
      </c>
      <c r="BF3" s="168" t="s">
        <v>72</v>
      </c>
      <c r="BG3" s="168" t="s">
        <v>73</v>
      </c>
      <c r="BH3" s="168" t="s">
        <v>74</v>
      </c>
      <c r="BI3" s="168" t="s">
        <v>75</v>
      </c>
      <c r="BJ3" s="168" t="s">
        <v>76</v>
      </c>
      <c r="BK3" s="168" t="s">
        <v>77</v>
      </c>
      <c r="BL3" s="168" t="s">
        <v>78</v>
      </c>
      <c r="BM3" s="168" t="s">
        <v>79</v>
      </c>
      <c r="BN3" s="168" t="s">
        <v>80</v>
      </c>
      <c r="BO3" s="168" t="s">
        <v>81</v>
      </c>
      <c r="BP3" s="168" t="s">
        <v>82</v>
      </c>
      <c r="BQ3" s="168" t="s">
        <v>87</v>
      </c>
    </row>
    <row r="4" spans="1:69" s="176" customFormat="1">
      <c r="A4" s="173">
        <v>1</v>
      </c>
      <c r="B4" s="179" t="s">
        <v>476</v>
      </c>
      <c r="C4" s="174" t="s">
        <v>390</v>
      </c>
      <c r="D4" s="174" t="s">
        <v>477</v>
      </c>
      <c r="E4" s="174" t="s">
        <v>475</v>
      </c>
      <c r="F4" s="188" t="s">
        <v>94</v>
      </c>
      <c r="G4" s="174" t="s">
        <v>393</v>
      </c>
      <c r="H4" s="174" t="s">
        <v>418</v>
      </c>
      <c r="I4" s="174" t="s">
        <v>96</v>
      </c>
      <c r="J4" s="186" t="s">
        <v>315</v>
      </c>
      <c r="K4" s="174">
        <v>600</v>
      </c>
      <c r="L4" s="174">
        <v>899</v>
      </c>
      <c r="M4" s="174">
        <v>1600</v>
      </c>
      <c r="N4" s="174">
        <v>34</v>
      </c>
      <c r="O4" s="174" t="s">
        <v>398</v>
      </c>
      <c r="P4" s="192">
        <v>2</v>
      </c>
      <c r="Q4" s="175" t="s">
        <v>408</v>
      </c>
      <c r="R4" s="192">
        <v>3</v>
      </c>
      <c r="S4" s="174" t="s">
        <v>104</v>
      </c>
      <c r="T4" s="174">
        <v>4</v>
      </c>
      <c r="U4" s="174">
        <v>0</v>
      </c>
      <c r="V4" s="174" t="s">
        <v>107</v>
      </c>
      <c r="W4" s="174">
        <v>30</v>
      </c>
      <c r="X4" s="174">
        <v>50</v>
      </c>
      <c r="Y4" s="174">
        <v>24</v>
      </c>
      <c r="Z4" s="187" t="s">
        <v>419</v>
      </c>
      <c r="AA4" s="192">
        <v>36</v>
      </c>
      <c r="AB4" s="192">
        <v>55</v>
      </c>
      <c r="AC4" s="174">
        <v>0</v>
      </c>
      <c r="AD4" s="174" t="b">
        <v>1</v>
      </c>
      <c r="AE4" s="174" t="s">
        <v>421</v>
      </c>
      <c r="AF4" s="174"/>
      <c r="AG4" s="174"/>
      <c r="AH4" s="174"/>
      <c r="AI4" s="174"/>
      <c r="AJ4" s="174"/>
      <c r="AK4" s="174"/>
      <c r="AL4" s="174"/>
      <c r="AM4" s="174"/>
      <c r="AN4" s="174"/>
      <c r="AO4" s="174"/>
      <c r="AP4" s="186" t="s">
        <v>474</v>
      </c>
      <c r="AQ4" s="186">
        <v>0</v>
      </c>
      <c r="AR4" s="186">
        <v>1</v>
      </c>
      <c r="AS4"/>
      <c r="AT4" s="186"/>
      <c r="AU4" s="174"/>
      <c r="AV4" s="187"/>
      <c r="AW4" s="174"/>
      <c r="AX4" s="174"/>
      <c r="AY4" s="174"/>
      <c r="AZ4" s="174"/>
      <c r="BA4" s="174"/>
      <c r="BB4" s="174"/>
      <c r="BC4" s="174"/>
      <c r="BD4" s="174"/>
      <c r="BE4" s="174"/>
      <c r="BF4" s="174"/>
      <c r="BG4" s="174"/>
      <c r="BH4" s="174"/>
      <c r="BI4" s="174"/>
      <c r="BJ4" s="174"/>
      <c r="BK4" s="174"/>
      <c r="BL4" s="174"/>
      <c r="BM4" s="174"/>
      <c r="BN4" s="174"/>
      <c r="BO4" s="174"/>
      <c r="BP4" s="174"/>
      <c r="BQ4" s="174"/>
    </row>
    <row r="5" spans="1:69" s="176" customFormat="1">
      <c r="A5" s="173">
        <v>2</v>
      </c>
      <c r="B5" s="179" t="s">
        <v>476</v>
      </c>
      <c r="C5" s="174" t="s">
        <v>390</v>
      </c>
      <c r="D5" s="174" t="s">
        <v>478</v>
      </c>
      <c r="E5" s="174" t="s">
        <v>475</v>
      </c>
      <c r="F5" s="188" t="s">
        <v>97</v>
      </c>
      <c r="G5" s="174" t="s">
        <v>393</v>
      </c>
      <c r="H5" s="174" t="s">
        <v>418</v>
      </c>
      <c r="I5" s="174" t="s">
        <v>99</v>
      </c>
      <c r="J5" s="186" t="s">
        <v>315</v>
      </c>
      <c r="K5" s="174">
        <v>400</v>
      </c>
      <c r="L5" s="174">
        <v>600</v>
      </c>
      <c r="M5" s="174">
        <v>1600</v>
      </c>
      <c r="N5" s="174">
        <v>34</v>
      </c>
      <c r="O5" s="174" t="s">
        <v>398</v>
      </c>
      <c r="P5" s="192">
        <v>2</v>
      </c>
      <c r="Q5" s="175" t="s">
        <v>408</v>
      </c>
      <c r="R5" s="192">
        <v>3</v>
      </c>
      <c r="S5" s="174" t="s">
        <v>104</v>
      </c>
      <c r="T5" s="174">
        <v>4</v>
      </c>
      <c r="U5" s="174">
        <v>0</v>
      </c>
      <c r="V5" s="174" t="s">
        <v>107</v>
      </c>
      <c r="W5" s="174">
        <v>30</v>
      </c>
      <c r="X5" s="174">
        <v>50</v>
      </c>
      <c r="Y5" s="174">
        <v>24</v>
      </c>
      <c r="Z5" s="187" t="s">
        <v>419</v>
      </c>
      <c r="AA5" s="192">
        <v>36</v>
      </c>
      <c r="AB5" s="192">
        <v>55</v>
      </c>
      <c r="AC5" s="174">
        <v>0</v>
      </c>
      <c r="AD5" s="174" t="b">
        <v>0</v>
      </c>
      <c r="AE5" s="174"/>
      <c r="AF5" s="174"/>
      <c r="AG5" s="174"/>
      <c r="AH5" s="174"/>
      <c r="AI5" s="174"/>
      <c r="AJ5" s="174"/>
      <c r="AK5" s="174"/>
      <c r="AL5" s="174"/>
      <c r="AM5" s="174"/>
      <c r="AN5" s="174"/>
      <c r="AO5" s="174"/>
      <c r="AP5" s="186" t="s">
        <v>589</v>
      </c>
      <c r="AQ5" s="186">
        <v>0</v>
      </c>
      <c r="AR5" s="186">
        <v>1</v>
      </c>
      <c r="AS5"/>
      <c r="AT5" s="186"/>
      <c r="AU5" s="174"/>
      <c r="AV5" s="187"/>
      <c r="AW5" s="174"/>
      <c r="AX5" s="174"/>
      <c r="AY5" s="174"/>
      <c r="AZ5" s="174"/>
      <c r="BA5" s="174"/>
      <c r="BB5" s="174"/>
      <c r="BC5" s="174"/>
      <c r="BD5" s="174"/>
      <c r="BE5" s="174"/>
      <c r="BF5" s="174"/>
      <c r="BG5" s="174"/>
      <c r="BH5" s="174"/>
      <c r="BI5" s="174"/>
      <c r="BJ5" s="174"/>
      <c r="BK5" s="174"/>
      <c r="BL5" s="174"/>
      <c r="BM5" s="174"/>
      <c r="BN5" s="174"/>
      <c r="BO5" s="174"/>
      <c r="BP5" s="174"/>
      <c r="BQ5" s="174"/>
    </row>
    <row r="6" spans="1:69" s="176" customFormat="1">
      <c r="A6" s="173">
        <v>3</v>
      </c>
      <c r="B6" s="179" t="s">
        <v>476</v>
      </c>
      <c r="C6" s="174" t="s">
        <v>390</v>
      </c>
      <c r="D6" s="174" t="s">
        <v>482</v>
      </c>
      <c r="E6" s="174" t="s">
        <v>475</v>
      </c>
      <c r="F6" s="188" t="s">
        <v>97</v>
      </c>
      <c r="G6" s="174" t="s">
        <v>393</v>
      </c>
      <c r="H6" s="174" t="s">
        <v>418</v>
      </c>
      <c r="I6" s="174" t="s">
        <v>99</v>
      </c>
      <c r="J6" s="186" t="s">
        <v>315</v>
      </c>
      <c r="K6" s="174">
        <v>400</v>
      </c>
      <c r="L6" s="174">
        <v>600</v>
      </c>
      <c r="M6" s="174">
        <v>1600</v>
      </c>
      <c r="N6" s="174">
        <v>34</v>
      </c>
      <c r="O6" s="174" t="s">
        <v>398</v>
      </c>
      <c r="P6" s="192">
        <v>2</v>
      </c>
      <c r="Q6" s="175" t="s">
        <v>408</v>
      </c>
      <c r="R6" s="192">
        <v>3</v>
      </c>
      <c r="S6" s="174" t="s">
        <v>104</v>
      </c>
      <c r="T6" s="174">
        <v>4</v>
      </c>
      <c r="U6" s="174">
        <v>0</v>
      </c>
      <c r="V6" s="174" t="s">
        <v>107</v>
      </c>
      <c r="W6" s="174">
        <v>30</v>
      </c>
      <c r="X6" s="174">
        <v>50</v>
      </c>
      <c r="Y6" s="174">
        <v>24</v>
      </c>
      <c r="Z6" s="187" t="s">
        <v>419</v>
      </c>
      <c r="AA6" s="192">
        <v>36</v>
      </c>
      <c r="AB6" s="192">
        <v>55</v>
      </c>
      <c r="AC6" s="174">
        <v>0</v>
      </c>
      <c r="AD6" s="174" t="b">
        <v>0</v>
      </c>
      <c r="AE6" s="174"/>
      <c r="AF6" s="174"/>
      <c r="AG6" s="174"/>
      <c r="AH6" s="174"/>
      <c r="AI6" s="174"/>
      <c r="AJ6" s="174"/>
      <c r="AK6" s="174"/>
      <c r="AL6" s="174"/>
      <c r="AM6" s="174"/>
      <c r="AN6" s="174"/>
      <c r="AO6" s="174"/>
      <c r="AP6" s="186" t="s">
        <v>589</v>
      </c>
      <c r="AQ6" s="186">
        <v>0</v>
      </c>
      <c r="AR6" s="186">
        <v>0</v>
      </c>
      <c r="AS6"/>
      <c r="AT6" s="186"/>
      <c r="AU6" s="174"/>
      <c r="AV6" s="187"/>
      <c r="AW6" s="174"/>
      <c r="AX6" s="174"/>
      <c r="AY6" s="174"/>
      <c r="AZ6" s="174"/>
      <c r="BA6" s="174"/>
      <c r="BB6" s="174"/>
      <c r="BC6" s="174"/>
      <c r="BD6" s="174"/>
      <c r="BE6" s="174"/>
      <c r="BF6" s="174"/>
      <c r="BG6" s="174"/>
      <c r="BH6" s="174"/>
      <c r="BI6" s="174"/>
      <c r="BJ6" s="174"/>
      <c r="BK6" s="174"/>
      <c r="BL6" s="174"/>
      <c r="BM6" s="174"/>
      <c r="BN6" s="174"/>
      <c r="BO6" s="174"/>
      <c r="BP6" s="174"/>
      <c r="BQ6" s="174"/>
    </row>
    <row r="7" spans="1:69">
      <c r="A7" s="173">
        <v>4</v>
      </c>
      <c r="B7" s="179" t="s">
        <v>476</v>
      </c>
      <c r="C7" s="174" t="s">
        <v>390</v>
      </c>
      <c r="D7" s="174" t="s">
        <v>479</v>
      </c>
      <c r="E7" s="174" t="s">
        <v>475</v>
      </c>
      <c r="F7" s="188" t="s">
        <v>94</v>
      </c>
      <c r="G7" s="174" t="s">
        <v>393</v>
      </c>
      <c r="H7" s="174" t="s">
        <v>418</v>
      </c>
      <c r="I7" s="174" t="s">
        <v>96</v>
      </c>
      <c r="J7" s="186" t="s">
        <v>315</v>
      </c>
      <c r="K7" s="174">
        <v>400</v>
      </c>
      <c r="L7" s="174">
        <v>600</v>
      </c>
      <c r="M7" s="174">
        <v>1600</v>
      </c>
      <c r="N7" s="174">
        <v>34</v>
      </c>
      <c r="O7" s="174" t="s">
        <v>398</v>
      </c>
      <c r="P7" s="192">
        <v>2</v>
      </c>
      <c r="Q7" s="175" t="s">
        <v>408</v>
      </c>
      <c r="R7" s="192">
        <v>3</v>
      </c>
      <c r="S7" s="174" t="s">
        <v>104</v>
      </c>
      <c r="T7" s="174">
        <v>4</v>
      </c>
      <c r="U7" s="174">
        <v>0</v>
      </c>
      <c r="V7" s="174" t="s">
        <v>107</v>
      </c>
      <c r="W7" s="174">
        <v>30</v>
      </c>
      <c r="X7" s="174">
        <v>50</v>
      </c>
      <c r="Y7" s="174">
        <v>24</v>
      </c>
      <c r="Z7" s="187" t="s">
        <v>419</v>
      </c>
      <c r="AA7" s="192">
        <v>36</v>
      </c>
      <c r="AB7" s="192">
        <v>55</v>
      </c>
      <c r="AC7" s="174">
        <v>0</v>
      </c>
      <c r="AD7" s="174" t="b">
        <v>1</v>
      </c>
      <c r="AE7" s="174" t="s">
        <v>421</v>
      </c>
      <c r="AF7" s="174"/>
      <c r="AG7" s="174"/>
      <c r="AH7" s="174"/>
      <c r="AI7" s="174"/>
      <c r="AJ7" s="174"/>
      <c r="AK7" s="174"/>
      <c r="AL7" s="174"/>
      <c r="AM7" s="174"/>
      <c r="AN7" s="174"/>
      <c r="AO7" s="174"/>
      <c r="AP7" s="186" t="s">
        <v>474</v>
      </c>
      <c r="AQ7" s="186">
        <v>0</v>
      </c>
      <c r="AR7" s="186">
        <v>1</v>
      </c>
      <c r="AS7"/>
      <c r="AT7" s="186"/>
      <c r="AU7" s="174"/>
    </row>
    <row r="8" spans="1:69">
      <c r="A8" s="173">
        <v>5</v>
      </c>
      <c r="B8" s="179" t="s">
        <v>476</v>
      </c>
      <c r="C8" s="174" t="s">
        <v>391</v>
      </c>
      <c r="D8" s="174" t="s">
        <v>482</v>
      </c>
      <c r="E8" s="174" t="s">
        <v>475</v>
      </c>
      <c r="F8" s="188" t="s">
        <v>94</v>
      </c>
      <c r="G8" s="174" t="s">
        <v>393</v>
      </c>
      <c r="H8" s="174" t="s">
        <v>418</v>
      </c>
      <c r="I8" s="174" t="s">
        <v>96</v>
      </c>
      <c r="J8" s="186" t="s">
        <v>315</v>
      </c>
      <c r="K8" s="174">
        <v>400</v>
      </c>
      <c r="L8" s="174">
        <v>600</v>
      </c>
      <c r="M8" s="174">
        <v>1600</v>
      </c>
      <c r="N8" s="174">
        <v>34</v>
      </c>
      <c r="O8" s="174" t="s">
        <v>398</v>
      </c>
      <c r="P8" s="192">
        <v>2</v>
      </c>
      <c r="Q8" s="175" t="s">
        <v>408</v>
      </c>
      <c r="R8" s="192">
        <v>3</v>
      </c>
      <c r="S8" s="174" t="s">
        <v>104</v>
      </c>
      <c r="T8" s="174">
        <v>4</v>
      </c>
      <c r="U8" s="174">
        <v>0</v>
      </c>
      <c r="V8" s="174" t="s">
        <v>107</v>
      </c>
      <c r="W8" s="174">
        <v>30</v>
      </c>
      <c r="X8" s="174">
        <v>50</v>
      </c>
      <c r="Y8" s="174">
        <v>24</v>
      </c>
      <c r="Z8" s="187" t="s">
        <v>419</v>
      </c>
      <c r="AA8" s="192">
        <v>36</v>
      </c>
      <c r="AB8" s="192">
        <v>55</v>
      </c>
      <c r="AC8" s="174">
        <v>0</v>
      </c>
      <c r="AD8" s="174" t="b">
        <v>1</v>
      </c>
      <c r="AE8" s="174" t="s">
        <v>421</v>
      </c>
      <c r="AF8" s="174"/>
      <c r="AG8" s="174"/>
      <c r="AH8" s="174"/>
      <c r="AI8" s="174"/>
      <c r="AJ8" s="174"/>
      <c r="AK8" s="174"/>
      <c r="AL8" s="174"/>
      <c r="AM8" s="174"/>
      <c r="AN8" s="174"/>
      <c r="AO8" s="174"/>
      <c r="AP8" s="186" t="s">
        <v>474</v>
      </c>
      <c r="AQ8" s="186">
        <v>0</v>
      </c>
      <c r="AR8" s="186">
        <v>1</v>
      </c>
      <c r="AS8"/>
      <c r="AT8" s="186"/>
      <c r="AU8" s="174"/>
    </row>
    <row r="9" spans="1:69">
      <c r="A9" s="173">
        <v>6</v>
      </c>
      <c r="B9" s="179" t="s">
        <v>476</v>
      </c>
      <c r="C9" s="174" t="s">
        <v>390</v>
      </c>
      <c r="D9" s="174" t="s">
        <v>477</v>
      </c>
      <c r="E9" s="174" t="s">
        <v>475</v>
      </c>
      <c r="F9" s="188" t="s">
        <v>94</v>
      </c>
      <c r="G9" s="174" t="s">
        <v>393</v>
      </c>
      <c r="H9" s="174" t="s">
        <v>418</v>
      </c>
      <c r="I9" s="174" t="s">
        <v>96</v>
      </c>
      <c r="J9" s="186" t="s">
        <v>315</v>
      </c>
      <c r="K9" s="174">
        <v>400</v>
      </c>
      <c r="L9" s="174">
        <v>600</v>
      </c>
      <c r="M9" s="174">
        <v>1600</v>
      </c>
      <c r="N9" s="174">
        <v>34</v>
      </c>
      <c r="O9" s="174" t="s">
        <v>398</v>
      </c>
      <c r="P9" s="192">
        <v>2</v>
      </c>
      <c r="Q9" s="175" t="s">
        <v>408</v>
      </c>
      <c r="R9" s="192">
        <v>3</v>
      </c>
      <c r="S9" s="174" t="s">
        <v>104</v>
      </c>
      <c r="T9" s="174">
        <v>4</v>
      </c>
      <c r="U9" s="174">
        <v>0</v>
      </c>
      <c r="V9" s="174" t="s">
        <v>107</v>
      </c>
      <c r="W9" s="174">
        <v>30</v>
      </c>
      <c r="X9" s="174">
        <v>50</v>
      </c>
      <c r="Y9" s="174">
        <v>24</v>
      </c>
      <c r="Z9" s="187" t="s">
        <v>419</v>
      </c>
      <c r="AA9" s="192">
        <v>36</v>
      </c>
      <c r="AB9" s="192">
        <v>55</v>
      </c>
      <c r="AC9" s="174">
        <v>0</v>
      </c>
      <c r="AD9" s="174" t="b">
        <v>1</v>
      </c>
      <c r="AE9" s="174" t="s">
        <v>421</v>
      </c>
      <c r="AF9" s="174"/>
      <c r="AG9" s="174"/>
      <c r="AH9" s="174"/>
      <c r="AI9" s="174"/>
      <c r="AJ9" s="174"/>
      <c r="AK9" s="174"/>
      <c r="AL9" s="174"/>
      <c r="AM9" s="174"/>
      <c r="AN9" s="174"/>
      <c r="AO9" s="174"/>
      <c r="AP9" s="186" t="s">
        <v>474</v>
      </c>
      <c r="AQ9" s="186">
        <v>0</v>
      </c>
      <c r="AR9" s="186">
        <v>1</v>
      </c>
      <c r="AS9"/>
      <c r="AT9" s="186"/>
      <c r="AU9" s="174"/>
    </row>
    <row r="10" spans="1:69">
      <c r="A10" s="173">
        <v>7</v>
      </c>
      <c r="B10" s="179" t="s">
        <v>476</v>
      </c>
      <c r="C10" s="174" t="s">
        <v>391</v>
      </c>
      <c r="D10" s="174" t="s">
        <v>482</v>
      </c>
      <c r="E10" s="174" t="s">
        <v>475</v>
      </c>
      <c r="F10" s="188" t="s">
        <v>94</v>
      </c>
      <c r="G10" s="174" t="s">
        <v>393</v>
      </c>
      <c r="H10" s="174" t="s">
        <v>418</v>
      </c>
      <c r="I10" s="174" t="s">
        <v>96</v>
      </c>
      <c r="J10" s="186" t="s">
        <v>315</v>
      </c>
      <c r="K10" s="174">
        <v>400</v>
      </c>
      <c r="L10" s="174">
        <v>600</v>
      </c>
      <c r="M10" s="174">
        <v>1600</v>
      </c>
      <c r="N10" s="174">
        <v>34</v>
      </c>
      <c r="O10" s="174" t="s">
        <v>398</v>
      </c>
      <c r="P10" s="192">
        <v>2</v>
      </c>
      <c r="Q10" s="175" t="s">
        <v>408</v>
      </c>
      <c r="R10" s="192">
        <v>3</v>
      </c>
      <c r="S10" s="174" t="s">
        <v>104</v>
      </c>
      <c r="T10" s="174">
        <v>4</v>
      </c>
      <c r="U10" s="174">
        <v>0</v>
      </c>
      <c r="V10" s="174" t="s">
        <v>107</v>
      </c>
      <c r="W10" s="174">
        <v>30</v>
      </c>
      <c r="X10" s="174">
        <v>50</v>
      </c>
      <c r="Y10" s="174">
        <v>24</v>
      </c>
      <c r="Z10" s="187" t="s">
        <v>419</v>
      </c>
      <c r="AA10" s="192">
        <v>36</v>
      </c>
      <c r="AB10" s="192">
        <v>55</v>
      </c>
      <c r="AC10" s="174">
        <v>0</v>
      </c>
      <c r="AD10" s="174" t="b">
        <v>1</v>
      </c>
      <c r="AE10" s="174" t="s">
        <v>421</v>
      </c>
      <c r="AF10" s="174"/>
      <c r="AG10" s="174"/>
      <c r="AH10" s="174"/>
      <c r="AI10" s="174"/>
      <c r="AJ10" s="174"/>
      <c r="AK10" s="174"/>
      <c r="AL10" s="174"/>
      <c r="AM10" s="174"/>
      <c r="AN10" s="174"/>
      <c r="AO10" s="174"/>
      <c r="AP10" s="186" t="s">
        <v>474</v>
      </c>
      <c r="AQ10" s="186">
        <v>0</v>
      </c>
      <c r="AR10" s="186">
        <v>2</v>
      </c>
      <c r="AS10"/>
      <c r="AT10" s="186"/>
      <c r="AU10" s="174"/>
    </row>
    <row r="11" spans="1:69">
      <c r="A11" s="237">
        <v>8</v>
      </c>
      <c r="B11" s="238" t="s">
        <v>476</v>
      </c>
      <c r="C11" s="186" t="s">
        <v>391</v>
      </c>
      <c r="D11" s="186" t="s">
        <v>583</v>
      </c>
      <c r="E11" s="186" t="s">
        <v>475</v>
      </c>
      <c r="F11" s="239" t="s">
        <v>94</v>
      </c>
      <c r="G11" s="186" t="s">
        <v>393</v>
      </c>
      <c r="H11" s="186" t="s">
        <v>418</v>
      </c>
      <c r="I11" s="186" t="s">
        <v>96</v>
      </c>
      <c r="J11" s="186" t="s">
        <v>315</v>
      </c>
      <c r="K11" s="186">
        <v>400</v>
      </c>
      <c r="L11" s="186">
        <v>600</v>
      </c>
      <c r="M11" s="186">
        <v>1600</v>
      </c>
      <c r="N11" s="186">
        <v>34</v>
      </c>
      <c r="O11" s="186" t="s">
        <v>398</v>
      </c>
      <c r="P11" s="240">
        <v>2</v>
      </c>
      <c r="Q11" s="241" t="s">
        <v>408</v>
      </c>
      <c r="R11" s="240">
        <v>3</v>
      </c>
      <c r="S11" s="186" t="s">
        <v>104</v>
      </c>
      <c r="T11" s="186">
        <v>4</v>
      </c>
      <c r="U11" s="186">
        <v>0</v>
      </c>
      <c r="V11" s="186" t="s">
        <v>107</v>
      </c>
      <c r="W11" s="186">
        <v>30</v>
      </c>
      <c r="X11" s="186">
        <v>50</v>
      </c>
      <c r="Y11" s="186">
        <v>24</v>
      </c>
      <c r="Z11" s="242" t="s">
        <v>419</v>
      </c>
      <c r="AA11" s="240">
        <v>36</v>
      </c>
      <c r="AB11" s="240">
        <v>55</v>
      </c>
      <c r="AC11" s="186">
        <v>0</v>
      </c>
      <c r="AD11" s="174" t="b">
        <v>1</v>
      </c>
      <c r="AE11" s="174"/>
      <c r="AF11" s="186"/>
      <c r="AG11" s="186"/>
      <c r="AH11" s="186"/>
      <c r="AI11" s="186"/>
      <c r="AJ11" s="186"/>
      <c r="AK11" s="186"/>
      <c r="AL11" s="186"/>
      <c r="AM11" s="186"/>
      <c r="AN11" s="186"/>
      <c r="AO11" s="186"/>
      <c r="AP11" s="186" t="s">
        <v>474</v>
      </c>
      <c r="AQ11" s="186">
        <v>0</v>
      </c>
      <c r="AR11" s="186">
        <v>1</v>
      </c>
      <c r="AS11"/>
      <c r="AT11" s="186"/>
      <c r="AU11" s="174"/>
    </row>
    <row r="12" spans="1:69">
      <c r="A12" s="237">
        <v>9</v>
      </c>
      <c r="B12" s="238" t="s">
        <v>476</v>
      </c>
      <c r="C12" s="186" t="s">
        <v>391</v>
      </c>
      <c r="D12" s="186" t="s">
        <v>583</v>
      </c>
      <c r="E12" s="186" t="s">
        <v>475</v>
      </c>
      <c r="F12" s="239" t="s">
        <v>94</v>
      </c>
      <c r="G12" s="186" t="s">
        <v>393</v>
      </c>
      <c r="H12" s="186" t="s">
        <v>418</v>
      </c>
      <c r="I12" s="186" t="s">
        <v>96</v>
      </c>
      <c r="J12" s="186" t="s">
        <v>315</v>
      </c>
      <c r="K12" s="186">
        <v>400</v>
      </c>
      <c r="L12" s="186">
        <v>600</v>
      </c>
      <c r="M12" s="186">
        <v>1600</v>
      </c>
      <c r="N12" s="186">
        <v>34</v>
      </c>
      <c r="O12" s="186" t="s">
        <v>398</v>
      </c>
      <c r="P12" s="240">
        <v>2</v>
      </c>
      <c r="Q12" s="241" t="s">
        <v>408</v>
      </c>
      <c r="R12" s="240">
        <v>3</v>
      </c>
      <c r="S12" s="186" t="s">
        <v>104</v>
      </c>
      <c r="T12" s="186">
        <v>4</v>
      </c>
      <c r="U12" s="186">
        <v>0</v>
      </c>
      <c r="V12" s="186" t="s">
        <v>107</v>
      </c>
      <c r="W12" s="186">
        <v>30</v>
      </c>
      <c r="X12" s="186">
        <v>50</v>
      </c>
      <c r="Y12" s="186">
        <v>24</v>
      </c>
      <c r="Z12" s="242" t="s">
        <v>419</v>
      </c>
      <c r="AA12" s="240">
        <v>36</v>
      </c>
      <c r="AB12" s="240">
        <v>55</v>
      </c>
      <c r="AC12" s="186">
        <v>0</v>
      </c>
      <c r="AD12" s="174" t="b">
        <v>1</v>
      </c>
      <c r="AE12" s="174" t="s">
        <v>421</v>
      </c>
      <c r="AF12" s="186"/>
      <c r="AG12" s="186"/>
      <c r="AH12" s="186"/>
      <c r="AI12" s="186"/>
      <c r="AJ12" s="186"/>
      <c r="AK12" s="186"/>
      <c r="AL12" s="186"/>
      <c r="AM12" s="186"/>
      <c r="AN12" s="186"/>
      <c r="AO12" s="186"/>
      <c r="AP12" s="186" t="s">
        <v>474</v>
      </c>
      <c r="AQ12" s="186">
        <v>0</v>
      </c>
      <c r="AR12" s="186">
        <v>1</v>
      </c>
      <c r="AS12"/>
      <c r="AT12" s="186"/>
      <c r="AU12" s="174"/>
    </row>
    <row r="13" spans="1:69">
      <c r="A13" s="237">
        <v>10</v>
      </c>
      <c r="B13" s="238" t="s">
        <v>476</v>
      </c>
      <c r="C13" s="186" t="s">
        <v>391</v>
      </c>
      <c r="D13" s="186" t="s">
        <v>584</v>
      </c>
      <c r="E13" s="186" t="s">
        <v>475</v>
      </c>
      <c r="F13" s="239" t="s">
        <v>94</v>
      </c>
      <c r="G13" s="186" t="s">
        <v>393</v>
      </c>
      <c r="H13" s="186" t="s">
        <v>418</v>
      </c>
      <c r="I13" s="186" t="s">
        <v>96</v>
      </c>
      <c r="J13" s="186" t="s">
        <v>315</v>
      </c>
      <c r="K13" s="186">
        <v>400</v>
      </c>
      <c r="L13" s="186">
        <v>600</v>
      </c>
      <c r="M13" s="186">
        <v>1600</v>
      </c>
      <c r="N13" s="186">
        <v>34</v>
      </c>
      <c r="O13" s="186" t="s">
        <v>398</v>
      </c>
      <c r="P13" s="240">
        <v>2</v>
      </c>
      <c r="Q13" s="241" t="s">
        <v>408</v>
      </c>
      <c r="R13" s="240">
        <v>3</v>
      </c>
      <c r="S13" s="186" t="s">
        <v>104</v>
      </c>
      <c r="T13" s="186">
        <v>4</v>
      </c>
      <c r="U13" s="186">
        <v>0</v>
      </c>
      <c r="V13" s="186" t="s">
        <v>107</v>
      </c>
      <c r="W13" s="186">
        <v>30</v>
      </c>
      <c r="X13" s="186">
        <v>50</v>
      </c>
      <c r="Y13" s="186">
        <v>24</v>
      </c>
      <c r="Z13" s="242" t="s">
        <v>419</v>
      </c>
      <c r="AA13" s="240">
        <v>36</v>
      </c>
      <c r="AB13" s="240">
        <v>55</v>
      </c>
      <c r="AC13" s="186">
        <v>0</v>
      </c>
      <c r="AD13" s="174" t="b">
        <v>1</v>
      </c>
      <c r="AE13" s="174" t="s">
        <v>421</v>
      </c>
      <c r="AF13" s="186"/>
      <c r="AG13" s="186"/>
      <c r="AH13" s="186"/>
      <c r="AI13" s="186"/>
      <c r="AJ13" s="186"/>
      <c r="AK13" s="186"/>
      <c r="AL13" s="186"/>
      <c r="AM13" s="186"/>
      <c r="AN13" s="186"/>
      <c r="AO13" s="186"/>
      <c r="AP13" s="186" t="s">
        <v>474</v>
      </c>
      <c r="AQ13" s="186">
        <v>7</v>
      </c>
      <c r="AR13" s="186">
        <v>1</v>
      </c>
      <c r="AS13"/>
      <c r="AT13" s="186"/>
      <c r="AU13" s="174"/>
    </row>
    <row r="17" spans="25:29">
      <c r="Y17" s="164"/>
      <c r="Z17" s="164"/>
      <c r="AA17" s="164"/>
      <c r="AC17" s="164"/>
    </row>
    <row r="18" spans="25:29">
      <c r="Y18" s="164"/>
      <c r="Z18" s="164"/>
      <c r="AA18" s="164"/>
      <c r="AC18" s="164"/>
    </row>
    <row r="19" spans="25:29">
      <c r="Y19" s="164"/>
      <c r="Z19" s="164"/>
      <c r="AA19" s="164"/>
      <c r="AC19" s="164"/>
    </row>
    <row r="20" spans="25:29">
      <c r="Y20" s="164"/>
      <c r="Z20" s="164"/>
      <c r="AA20" s="164"/>
      <c r="AC20" s="164"/>
    </row>
    <row r="21" spans="25:29">
      <c r="Y21" s="164"/>
      <c r="Z21" s="164"/>
      <c r="AA21" s="164"/>
      <c r="AC21" s="164"/>
    </row>
    <row r="22" spans="25:29">
      <c r="Y22" s="164"/>
      <c r="Z22" s="164"/>
      <c r="AA22" s="164"/>
      <c r="AC22" s="164"/>
    </row>
    <row r="23" spans="25:29">
      <c r="Y23" s="164"/>
      <c r="Z23" s="164"/>
      <c r="AA23" s="164"/>
      <c r="AC23" s="164"/>
    </row>
    <row r="24" spans="25:29">
      <c r="Y24" s="164"/>
      <c r="Z24" s="164"/>
      <c r="AA24" s="164"/>
      <c r="AC24" s="164"/>
    </row>
    <row r="25" spans="25:29">
      <c r="Y25" s="164"/>
      <c r="Z25" s="164"/>
      <c r="AA25" s="164"/>
      <c r="AC25" s="164"/>
    </row>
    <row r="34" spans="1:68">
      <c r="Y34" s="164"/>
      <c r="Z34" s="164"/>
      <c r="AA34" s="164"/>
      <c r="AC34" s="164"/>
    </row>
    <row r="35" spans="1:68">
      <c r="Y35" s="164"/>
      <c r="Z35" s="164"/>
      <c r="AA35" s="164"/>
      <c r="AC35" s="164"/>
    </row>
    <row r="36" spans="1:68">
      <c r="Y36" s="164"/>
      <c r="Z36" s="164"/>
      <c r="AA36" s="164"/>
      <c r="AC36" s="164"/>
    </row>
    <row r="37" spans="1:68">
      <c r="Y37" s="164"/>
      <c r="Z37" s="164"/>
      <c r="AA37" s="164"/>
      <c r="AC37" s="164"/>
    </row>
    <row r="38" spans="1:68">
      <c r="Y38" s="164"/>
      <c r="Z38" s="164"/>
      <c r="AA38" s="164"/>
      <c r="AC38" s="164"/>
    </row>
    <row r="39" spans="1:68">
      <c r="Y39" s="164"/>
      <c r="Z39" s="164"/>
      <c r="AA39" s="164"/>
      <c r="AC39" s="164"/>
    </row>
    <row r="40" spans="1:68">
      <c r="Y40" s="164"/>
      <c r="Z40" s="164"/>
      <c r="AA40" s="164"/>
      <c r="AC40" s="164"/>
    </row>
    <row r="41" spans="1:68">
      <c r="Y41" s="164"/>
      <c r="Z41" s="164"/>
      <c r="AA41" s="164"/>
      <c r="AC41" s="164"/>
    </row>
    <row r="42" spans="1:68">
      <c r="Y42" s="164"/>
      <c r="Z42" s="164"/>
      <c r="AA42" s="164"/>
      <c r="AC42" s="164"/>
    </row>
    <row r="43" spans="1:68">
      <c r="Y43" s="164"/>
      <c r="Z43" s="164"/>
      <c r="AA43" s="164"/>
      <c r="AC43" s="164"/>
    </row>
    <row r="44" spans="1:68" s="159" customFormat="1" ht="204">
      <c r="A44" s="170"/>
      <c r="B44" s="184" t="s">
        <v>349</v>
      </c>
      <c r="C44" s="183" t="s">
        <v>350</v>
      </c>
      <c r="D44" s="183" t="s">
        <v>392</v>
      </c>
      <c r="E44" s="184" t="s">
        <v>349</v>
      </c>
      <c r="F44" s="184" t="s">
        <v>351</v>
      </c>
      <c r="G44" s="184" t="s">
        <v>353</v>
      </c>
      <c r="H44" s="183" t="s">
        <v>352</v>
      </c>
      <c r="I44" s="183" t="s">
        <v>372</v>
      </c>
      <c r="J44" s="183" t="s">
        <v>358</v>
      </c>
      <c r="K44" s="183" t="s">
        <v>355</v>
      </c>
      <c r="L44" s="183" t="s">
        <v>354</v>
      </c>
      <c r="M44" s="183" t="s">
        <v>355</v>
      </c>
      <c r="N44" s="183" t="s">
        <v>355</v>
      </c>
      <c r="O44" s="183" t="s">
        <v>356</v>
      </c>
      <c r="P44" s="183" t="s">
        <v>357</v>
      </c>
      <c r="Q44" s="183" t="s">
        <v>359</v>
      </c>
      <c r="R44" s="183" t="s">
        <v>360</v>
      </c>
      <c r="S44" s="183" t="s">
        <v>387</v>
      </c>
      <c r="T44" s="183" t="s">
        <v>361</v>
      </c>
      <c r="U44" s="183" t="s">
        <v>362</v>
      </c>
      <c r="V44" s="183" t="s">
        <v>363</v>
      </c>
      <c r="W44" s="183" t="s">
        <v>355</v>
      </c>
      <c r="X44" s="183" t="s">
        <v>355</v>
      </c>
      <c r="Y44" s="183" t="s">
        <v>381</v>
      </c>
      <c r="Z44" s="183" t="s">
        <v>364</v>
      </c>
      <c r="AA44" s="183" t="s">
        <v>355</v>
      </c>
      <c r="AB44" s="183" t="s">
        <v>355</v>
      </c>
      <c r="AC44" s="183" t="s">
        <v>355</v>
      </c>
      <c r="AD44" s="183" t="s">
        <v>369</v>
      </c>
      <c r="AE44" s="183" t="s">
        <v>355</v>
      </c>
      <c r="AF44" s="183" t="s">
        <v>355</v>
      </c>
      <c r="AG44" s="183" t="s">
        <v>373</v>
      </c>
      <c r="AH44" s="183" t="s">
        <v>374</v>
      </c>
      <c r="AI44" s="183" t="s">
        <v>375</v>
      </c>
      <c r="AJ44" s="183" t="s">
        <v>376</v>
      </c>
      <c r="AK44" s="183" t="s">
        <v>373</v>
      </c>
      <c r="AL44" s="183" t="s">
        <v>378</v>
      </c>
      <c r="AM44" s="183" t="s">
        <v>379</v>
      </c>
      <c r="AN44" s="183" t="s">
        <v>380</v>
      </c>
      <c r="AO44" s="183" t="s">
        <v>467</v>
      </c>
      <c r="AP44" s="183"/>
      <c r="AQ44" s="183"/>
      <c r="AR44"/>
      <c r="AS44" s="183"/>
      <c r="AT44" s="183" t="s">
        <v>377</v>
      </c>
      <c r="AV44" s="183" t="s">
        <v>382</v>
      </c>
      <c r="AW44" s="183" t="s">
        <v>366</v>
      </c>
      <c r="AX44" s="183" t="s">
        <v>367</v>
      </c>
      <c r="AY44" s="183" t="s">
        <v>368</v>
      </c>
      <c r="AZ44" s="183" t="s">
        <v>365</v>
      </c>
      <c r="BA44" s="183" t="s">
        <v>365</v>
      </c>
      <c r="BB44" s="183" t="s">
        <v>365</v>
      </c>
      <c r="BC44" s="183" t="s">
        <v>365</v>
      </c>
      <c r="BD44" s="159" t="s">
        <v>371</v>
      </c>
      <c r="BE44" s="183" t="s">
        <v>370</v>
      </c>
      <c r="BF44" s="183" t="s">
        <v>370</v>
      </c>
      <c r="BG44" s="183" t="s">
        <v>370</v>
      </c>
      <c r="BH44" s="183" t="s">
        <v>370</v>
      </c>
      <c r="BI44" s="183" t="s">
        <v>370</v>
      </c>
      <c r="BJ44" s="183" t="s">
        <v>370</v>
      </c>
      <c r="BL44" s="183" t="s">
        <v>383</v>
      </c>
      <c r="BM44" s="183" t="s">
        <v>384</v>
      </c>
      <c r="BN44" s="183" t="s">
        <v>385</v>
      </c>
      <c r="BO44" s="183" t="s">
        <v>386</v>
      </c>
      <c r="BP44" s="183" t="s">
        <v>377</v>
      </c>
    </row>
    <row r="45" spans="1:68">
      <c r="Y45" s="164"/>
      <c r="Z45" s="164"/>
      <c r="AA45" s="164"/>
      <c r="AC45" s="164"/>
    </row>
    <row r="46" spans="1:68">
      <c r="Y46" s="164"/>
      <c r="Z46" s="164"/>
      <c r="AA46" s="164"/>
      <c r="AC46" s="164"/>
    </row>
    <row r="47" spans="1:68">
      <c r="Y47" s="164"/>
      <c r="Z47" s="164"/>
      <c r="AA47" s="164"/>
      <c r="AC47" s="164"/>
    </row>
    <row r="48" spans="1:68">
      <c r="Y48" s="164"/>
      <c r="Z48" s="164"/>
      <c r="AA48" s="164"/>
      <c r="AC48" s="164"/>
    </row>
    <row r="49" spans="25:29">
      <c r="Y49" s="164"/>
      <c r="Z49" s="164"/>
      <c r="AA49" s="164"/>
      <c r="AC49" s="164"/>
    </row>
    <row r="50" spans="25:29">
      <c r="Y50" s="164"/>
      <c r="Z50" s="164"/>
      <c r="AA50" s="164"/>
      <c r="AC50" s="164"/>
    </row>
    <row r="51" spans="25:29">
      <c r="Y51" s="164"/>
      <c r="Z51" s="164"/>
      <c r="AA51" s="164"/>
      <c r="AC51" s="164"/>
    </row>
    <row r="52" spans="25:29">
      <c r="Y52" s="164"/>
      <c r="Z52" s="164"/>
      <c r="AA52" s="164"/>
      <c r="AC52" s="164"/>
    </row>
    <row r="53" spans="25:29">
      <c r="Y53" s="164"/>
      <c r="Z53" s="164"/>
      <c r="AA53" s="164"/>
      <c r="AC53" s="164"/>
    </row>
    <row r="54" spans="25:29">
      <c r="Y54" s="164"/>
      <c r="Z54" s="164"/>
      <c r="AA54" s="164"/>
      <c r="AC54" s="164"/>
    </row>
    <row r="55" spans="25:29">
      <c r="Y55" s="164"/>
      <c r="Z55" s="164"/>
      <c r="AA55" s="164"/>
      <c r="AC55" s="164"/>
    </row>
    <row r="56" spans="25:29">
      <c r="Y56" s="164"/>
      <c r="Z56" s="164"/>
      <c r="AA56" s="164"/>
      <c r="AC56" s="164"/>
    </row>
    <row r="57" spans="25:29">
      <c r="Y57" s="164"/>
      <c r="Z57" s="164"/>
      <c r="AA57" s="164"/>
      <c r="AC57" s="164"/>
    </row>
    <row r="58" spans="25:29">
      <c r="Y58" s="164"/>
      <c r="Z58" s="164"/>
      <c r="AA58" s="164"/>
      <c r="AC58" s="164"/>
    </row>
    <row r="59" spans="25:29">
      <c r="Y59" s="164"/>
      <c r="Z59" s="164"/>
      <c r="AA59" s="164"/>
      <c r="AC59" s="164"/>
    </row>
    <row r="60" spans="25:29">
      <c r="Y60" s="164"/>
      <c r="Z60" s="164"/>
      <c r="AA60" s="164"/>
      <c r="AC60" s="164"/>
    </row>
    <row r="61" spans="25:29">
      <c r="Y61" s="164"/>
      <c r="Z61" s="164"/>
      <c r="AA61" s="164"/>
      <c r="AC61" s="164"/>
    </row>
    <row r="62" spans="25:29">
      <c r="Y62" s="164"/>
      <c r="Z62" s="164"/>
      <c r="AA62" s="164"/>
      <c r="AC62" s="164"/>
    </row>
    <row r="63" spans="25:29">
      <c r="Y63" s="164"/>
      <c r="Z63" s="164"/>
      <c r="AA63" s="164"/>
      <c r="AC63" s="164"/>
    </row>
    <row r="64" spans="25:29">
      <c r="Y64" s="164"/>
      <c r="Z64" s="164"/>
      <c r="AA64" s="164"/>
      <c r="AC64" s="164"/>
    </row>
    <row r="65" spans="25:29">
      <c r="Y65" s="164"/>
      <c r="Z65" s="164"/>
      <c r="AA65" s="164"/>
      <c r="AC65" s="164"/>
    </row>
    <row r="66" spans="25:29">
      <c r="Y66" s="164"/>
      <c r="Z66" s="164"/>
      <c r="AA66" s="164"/>
      <c r="AC66" s="164"/>
    </row>
    <row r="67" spans="25:29">
      <c r="Y67" s="164"/>
      <c r="Z67" s="164"/>
      <c r="AA67" s="164"/>
      <c r="AC67" s="164"/>
    </row>
    <row r="68" spans="25:29">
      <c r="Y68" s="164"/>
      <c r="Z68" s="164"/>
      <c r="AA68" s="164"/>
      <c r="AC68" s="164"/>
    </row>
    <row r="69" spans="25:29">
      <c r="Y69" s="164"/>
      <c r="Z69" s="164"/>
      <c r="AA69" s="164"/>
      <c r="AC69" s="164"/>
    </row>
    <row r="70" spans="25:29">
      <c r="Y70" s="164"/>
      <c r="Z70" s="164"/>
      <c r="AA70" s="164"/>
      <c r="AC70" s="164"/>
    </row>
    <row r="71" spans="25:29">
      <c r="Y71" s="164"/>
      <c r="Z71" s="164"/>
      <c r="AA71" s="164"/>
      <c r="AC71" s="164"/>
    </row>
    <row r="72" spans="25:29">
      <c r="Y72" s="164"/>
      <c r="Z72" s="164"/>
      <c r="AA72" s="164"/>
      <c r="AC72" s="164"/>
    </row>
    <row r="73" spans="25:29">
      <c r="Y73" s="164"/>
      <c r="Z73" s="164"/>
      <c r="AA73" s="164"/>
      <c r="AC73" s="164"/>
    </row>
    <row r="74" spans="25:29">
      <c r="Y74" s="164"/>
      <c r="Z74" s="164"/>
      <c r="AA74" s="164"/>
      <c r="AC74" s="164"/>
    </row>
    <row r="75" spans="25:29">
      <c r="Y75" s="164"/>
      <c r="Z75" s="164"/>
      <c r="AA75" s="164"/>
      <c r="AC75" s="164"/>
    </row>
    <row r="76" spans="25:29">
      <c r="Y76" s="164"/>
      <c r="Z76" s="164"/>
      <c r="AA76" s="164"/>
      <c r="AC76" s="164"/>
    </row>
    <row r="77" spans="25:29">
      <c r="Y77" s="164"/>
      <c r="Z77" s="164"/>
      <c r="AA77" s="164"/>
      <c r="AC77" s="164"/>
    </row>
    <row r="78" spans="25:29">
      <c r="Y78" s="164"/>
      <c r="Z78" s="164"/>
      <c r="AA78" s="164"/>
      <c r="AC78" s="164"/>
    </row>
    <row r="79" spans="25:29">
      <c r="Y79" s="164"/>
      <c r="Z79" s="164"/>
      <c r="AA79" s="164"/>
      <c r="AC79" s="164"/>
    </row>
    <row r="80" spans="25:29">
      <c r="Y80" s="164"/>
      <c r="Z80" s="164"/>
      <c r="AA80" s="164"/>
      <c r="AC80" s="164"/>
    </row>
    <row r="81" spans="25:29">
      <c r="Y81" s="164"/>
      <c r="Z81" s="164"/>
      <c r="AA81" s="164"/>
      <c r="AC81" s="164"/>
    </row>
    <row r="82" spans="25:29">
      <c r="Y82" s="164"/>
      <c r="Z82" s="164"/>
      <c r="AA82" s="164"/>
      <c r="AC82" s="164"/>
    </row>
    <row r="83" spans="25:29">
      <c r="Y83" s="164"/>
      <c r="Z83" s="164"/>
      <c r="AA83" s="164"/>
      <c r="AC83" s="164"/>
    </row>
    <row r="84" spans="25:29">
      <c r="Y84" s="164"/>
      <c r="Z84" s="164"/>
      <c r="AA84" s="164"/>
      <c r="AC84" s="164"/>
    </row>
    <row r="85" spans="25:29">
      <c r="Y85" s="164"/>
      <c r="Z85" s="164"/>
      <c r="AA85" s="164"/>
      <c r="AC85" s="164"/>
    </row>
    <row r="86" spans="25:29">
      <c r="Y86" s="164"/>
      <c r="Z86" s="164"/>
      <c r="AA86" s="164"/>
      <c r="AC86" s="164"/>
    </row>
    <row r="87" spans="25:29">
      <c r="Y87" s="164"/>
      <c r="Z87" s="164"/>
      <c r="AA87" s="164"/>
      <c r="AC87" s="164"/>
    </row>
    <row r="88" spans="25:29">
      <c r="Y88" s="164"/>
      <c r="Z88" s="164"/>
      <c r="AA88" s="164"/>
      <c r="AC88" s="164"/>
    </row>
    <row r="89" spans="25:29">
      <c r="Y89" s="164"/>
      <c r="Z89" s="164"/>
      <c r="AA89" s="164"/>
      <c r="AC89" s="164"/>
    </row>
    <row r="90" spans="25:29">
      <c r="Y90" s="164"/>
      <c r="Z90" s="164"/>
      <c r="AA90" s="164"/>
      <c r="AC90" s="164"/>
    </row>
    <row r="91" spans="25:29">
      <c r="Y91" s="164"/>
      <c r="Z91" s="164"/>
      <c r="AA91" s="164"/>
      <c r="AC91" s="164"/>
    </row>
    <row r="92" spans="25:29">
      <c r="Y92" s="164"/>
      <c r="Z92" s="164"/>
      <c r="AA92" s="164"/>
      <c r="AC92" s="164"/>
    </row>
    <row r="93" spans="25:29">
      <c r="Y93" s="164"/>
      <c r="Z93" s="164"/>
      <c r="AA93" s="164"/>
      <c r="AC93" s="164"/>
    </row>
    <row r="94" spans="25:29">
      <c r="Y94" s="164"/>
      <c r="Z94" s="164"/>
      <c r="AA94" s="164"/>
      <c r="AC94" s="164"/>
    </row>
    <row r="95" spans="25:29">
      <c r="Y95" s="164"/>
      <c r="Z95" s="164"/>
      <c r="AA95" s="164"/>
      <c r="AC95" s="164"/>
    </row>
    <row r="96" spans="25:29">
      <c r="Y96" s="164"/>
      <c r="Z96" s="164"/>
      <c r="AA96" s="164"/>
      <c r="AC96" s="164"/>
    </row>
    <row r="97" spans="25:29">
      <c r="Y97" s="164"/>
      <c r="Z97" s="164"/>
      <c r="AA97" s="164"/>
      <c r="AC97" s="164"/>
    </row>
    <row r="98" spans="25:29">
      <c r="Y98" s="164"/>
      <c r="Z98" s="164"/>
      <c r="AA98" s="164"/>
      <c r="AC98" s="164"/>
    </row>
    <row r="99" spans="25:29">
      <c r="Y99" s="164"/>
      <c r="Z99" s="164"/>
      <c r="AA99" s="164"/>
      <c r="AC99" s="164"/>
    </row>
    <row r="100" spans="25:29">
      <c r="Y100" s="164"/>
      <c r="Z100" s="164"/>
      <c r="AA100" s="164"/>
      <c r="AC100" s="164"/>
    </row>
    <row r="101" spans="25:29">
      <c r="Y101" s="164"/>
      <c r="Z101" s="164"/>
      <c r="AA101" s="164"/>
      <c r="AC101" s="164"/>
    </row>
    <row r="102" spans="25:29">
      <c r="Y102" s="164"/>
      <c r="Z102" s="164"/>
      <c r="AA102" s="164"/>
      <c r="AC102" s="164"/>
    </row>
    <row r="103" spans="25:29">
      <c r="Y103" s="164"/>
      <c r="Z103" s="164"/>
      <c r="AA103" s="164"/>
      <c r="AC103" s="164"/>
    </row>
    <row r="104" spans="25:29">
      <c r="Y104" s="164"/>
      <c r="Z104" s="164"/>
      <c r="AA104" s="164"/>
      <c r="AC104" s="164"/>
    </row>
    <row r="105" spans="25:29">
      <c r="Y105" s="164"/>
      <c r="Z105" s="164"/>
      <c r="AA105" s="164"/>
      <c r="AC105" s="164"/>
    </row>
    <row r="106" spans="25:29">
      <c r="Y106" s="164"/>
      <c r="Z106" s="164"/>
      <c r="AA106" s="164"/>
      <c r="AC106" s="164"/>
    </row>
    <row r="107" spans="25:29">
      <c r="Y107" s="164"/>
      <c r="Z107" s="164"/>
      <c r="AA107" s="164"/>
      <c r="AC107" s="164"/>
    </row>
    <row r="108" spans="25:29">
      <c r="Y108" s="164"/>
      <c r="Z108" s="164"/>
      <c r="AA108" s="164"/>
      <c r="AC108" s="164"/>
    </row>
    <row r="109" spans="25:29">
      <c r="Y109" s="164"/>
      <c r="Z109" s="164"/>
      <c r="AA109" s="164"/>
      <c r="AC109" s="164"/>
    </row>
    <row r="110" spans="25:29">
      <c r="Y110" s="164"/>
      <c r="Z110" s="164"/>
      <c r="AA110" s="164"/>
      <c r="AC110" s="164"/>
    </row>
    <row r="111" spans="25:29">
      <c r="Y111" s="164"/>
      <c r="Z111" s="164"/>
      <c r="AA111" s="164"/>
      <c r="AC111" s="164"/>
    </row>
    <row r="112" spans="25:29">
      <c r="Y112" s="164"/>
      <c r="Z112" s="164"/>
      <c r="AA112" s="164"/>
      <c r="AC112" s="164"/>
    </row>
    <row r="113" spans="25:29">
      <c r="Y113" s="164"/>
      <c r="Z113" s="164"/>
      <c r="AA113" s="164"/>
      <c r="AC113" s="164"/>
    </row>
    <row r="114" spans="25:29">
      <c r="Y114" s="164"/>
      <c r="Z114" s="164"/>
      <c r="AA114" s="164"/>
      <c r="AC114" s="164"/>
    </row>
    <row r="115" spans="25:29">
      <c r="Y115" s="164"/>
      <c r="Z115" s="164"/>
      <c r="AA115" s="164"/>
      <c r="AC115" s="164"/>
    </row>
    <row r="116" spans="25:29">
      <c r="Y116" s="164"/>
      <c r="Z116" s="164"/>
      <c r="AA116" s="164"/>
      <c r="AC116" s="164"/>
    </row>
    <row r="117" spans="25:29">
      <c r="Y117" s="164"/>
      <c r="Z117" s="164"/>
      <c r="AA117" s="164"/>
      <c r="AC117" s="164"/>
    </row>
    <row r="118" spans="25:29">
      <c r="Y118" s="164"/>
      <c r="Z118" s="164"/>
      <c r="AA118" s="164"/>
      <c r="AC118" s="164"/>
    </row>
    <row r="119" spans="25:29">
      <c r="Y119" s="164"/>
      <c r="Z119" s="164"/>
      <c r="AA119" s="164"/>
      <c r="AC119" s="164"/>
    </row>
    <row r="120" spans="25:29">
      <c r="Y120" s="164"/>
      <c r="Z120" s="164"/>
      <c r="AA120" s="164"/>
      <c r="AC120" s="164"/>
    </row>
    <row r="121" spans="25:29">
      <c r="Y121" s="164"/>
      <c r="Z121" s="164"/>
      <c r="AA121" s="164"/>
      <c r="AC121" s="164"/>
    </row>
    <row r="122" spans="25:29">
      <c r="Y122" s="164"/>
      <c r="Z122" s="164"/>
      <c r="AA122" s="164"/>
      <c r="AC122" s="164"/>
    </row>
    <row r="123" spans="25:29">
      <c r="Y123" s="164"/>
      <c r="Z123" s="164"/>
      <c r="AA123" s="164"/>
      <c r="AC123" s="164"/>
    </row>
    <row r="124" spans="25:29">
      <c r="Y124" s="164"/>
      <c r="Z124" s="164"/>
      <c r="AA124" s="164"/>
      <c r="AC124" s="164"/>
    </row>
    <row r="125" spans="25:29">
      <c r="Y125" s="164"/>
      <c r="Z125" s="164"/>
      <c r="AA125" s="164"/>
      <c r="AC125" s="164"/>
    </row>
    <row r="126" spans="25:29">
      <c r="Y126" s="164"/>
      <c r="Z126" s="164"/>
      <c r="AA126" s="164"/>
      <c r="AC126" s="164"/>
    </row>
    <row r="127" spans="25:29">
      <c r="Y127" s="164"/>
      <c r="Z127" s="164"/>
      <c r="AA127" s="164"/>
      <c r="AC127" s="164"/>
    </row>
    <row r="128" spans="25:29">
      <c r="Y128" s="164"/>
      <c r="Z128" s="164"/>
      <c r="AA128" s="164"/>
      <c r="AC128" s="164"/>
    </row>
    <row r="129" spans="25:29">
      <c r="Y129" s="164"/>
      <c r="Z129" s="164"/>
      <c r="AA129" s="164"/>
      <c r="AC129" s="164"/>
    </row>
    <row r="130" spans="25:29">
      <c r="Y130" s="164"/>
      <c r="Z130" s="164"/>
      <c r="AA130" s="164"/>
      <c r="AC130" s="164"/>
    </row>
    <row r="131" spans="25:29">
      <c r="Y131" s="164"/>
      <c r="Z131" s="164"/>
      <c r="AA131" s="164"/>
    </row>
    <row r="132" spans="25:29">
      <c r="Y132" s="164"/>
      <c r="Z132" s="164"/>
      <c r="AA132" s="164"/>
      <c r="AC132" s="164"/>
    </row>
    <row r="133" spans="25:29">
      <c r="Y133" s="164"/>
      <c r="Z133" s="164"/>
      <c r="AA133" s="164"/>
      <c r="AC133" s="164"/>
    </row>
    <row r="134" spans="25:29">
      <c r="Y134" s="164"/>
      <c r="Z134" s="164"/>
      <c r="AA134" s="164"/>
      <c r="AC134" s="164"/>
    </row>
    <row r="135" spans="25:29">
      <c r="Y135" s="164"/>
      <c r="Z135" s="164"/>
      <c r="AA135" s="164"/>
      <c r="AC135" s="164"/>
    </row>
    <row r="136" spans="25:29">
      <c r="Y136" s="164"/>
      <c r="Z136" s="164"/>
      <c r="AA136" s="164"/>
      <c r="AC136" s="164"/>
    </row>
    <row r="137" spans="25:29">
      <c r="Y137" s="164"/>
      <c r="Z137" s="164"/>
      <c r="AA137" s="164"/>
      <c r="AC137" s="164"/>
    </row>
    <row r="138" spans="25:29">
      <c r="Y138" s="164"/>
      <c r="Z138" s="164"/>
      <c r="AA138" s="164"/>
      <c r="AC138" s="164"/>
    </row>
    <row r="139" spans="25:29">
      <c r="Y139" s="164"/>
      <c r="Z139" s="164"/>
      <c r="AA139" s="164"/>
      <c r="AC139" s="164"/>
    </row>
    <row r="140" spans="25:29">
      <c r="Y140" s="164"/>
      <c r="Z140" s="164"/>
      <c r="AA140" s="164"/>
      <c r="AC140" s="164"/>
    </row>
    <row r="141" spans="25:29">
      <c r="Y141" s="164"/>
      <c r="Z141" s="164"/>
      <c r="AA141" s="164"/>
      <c r="AC141" s="164"/>
    </row>
    <row r="142" spans="25:29">
      <c r="Y142" s="164"/>
      <c r="Z142" s="164"/>
      <c r="AA142" s="164"/>
      <c r="AC142" s="164"/>
    </row>
    <row r="143" spans="25:29">
      <c r="Y143" s="164"/>
      <c r="Z143" s="164"/>
      <c r="AA143" s="164"/>
      <c r="AC143" s="164"/>
    </row>
    <row r="144" spans="25:29">
      <c r="Y144" s="164"/>
      <c r="Z144" s="164"/>
      <c r="AA144" s="164"/>
      <c r="AC144" s="164"/>
    </row>
    <row r="145" spans="25:29">
      <c r="Y145" s="164"/>
      <c r="Z145" s="164"/>
      <c r="AA145" s="164"/>
      <c r="AC145" s="164"/>
    </row>
    <row r="146" spans="25:29">
      <c r="Y146" s="164"/>
      <c r="Z146" s="164"/>
      <c r="AA146" s="164"/>
      <c r="AC146" s="164"/>
    </row>
    <row r="147" spans="25:29">
      <c r="Y147" s="164"/>
      <c r="Z147" s="164"/>
      <c r="AA147" s="164"/>
      <c r="AC147" s="164"/>
    </row>
    <row r="148" spans="25:29">
      <c r="Y148" s="164"/>
      <c r="Z148" s="164"/>
      <c r="AA148" s="164"/>
      <c r="AC148" s="164"/>
    </row>
    <row r="149" spans="25:29">
      <c r="Y149" s="164"/>
      <c r="Z149" s="164"/>
      <c r="AA149" s="164"/>
      <c r="AC149" s="164"/>
    </row>
    <row r="150" spans="25:29">
      <c r="Y150" s="164"/>
      <c r="Z150" s="164"/>
      <c r="AA150" s="164"/>
      <c r="AC150" s="164"/>
    </row>
    <row r="151" spans="25:29">
      <c r="Y151" s="164"/>
      <c r="Z151" s="164"/>
      <c r="AA151" s="164"/>
      <c r="AC151" s="164"/>
    </row>
    <row r="152" spans="25:29">
      <c r="Y152" s="164"/>
      <c r="Z152" s="164"/>
      <c r="AA152" s="164"/>
      <c r="AC152" s="164"/>
    </row>
    <row r="153" spans="25:29">
      <c r="Y153" s="164"/>
      <c r="Z153" s="164"/>
      <c r="AA153" s="164"/>
      <c r="AC153" s="164"/>
    </row>
    <row r="154" spans="25:29">
      <c r="Y154" s="164"/>
      <c r="Z154" s="164"/>
      <c r="AA154" s="164"/>
      <c r="AC154" s="164"/>
    </row>
    <row r="155" spans="25:29">
      <c r="Y155" s="164"/>
      <c r="Z155" s="164"/>
      <c r="AA155" s="164"/>
      <c r="AC155" s="164"/>
    </row>
    <row r="156" spans="25:29">
      <c r="Y156" s="164"/>
      <c r="Z156" s="164"/>
      <c r="AA156" s="164"/>
      <c r="AC156" s="164"/>
    </row>
    <row r="157" spans="25:29">
      <c r="Y157" s="164"/>
      <c r="Z157" s="164"/>
      <c r="AA157" s="164"/>
      <c r="AC157" s="164"/>
    </row>
    <row r="158" spans="25:29">
      <c r="Y158" s="164"/>
      <c r="Z158" s="164"/>
      <c r="AA158" s="164"/>
      <c r="AC158" s="164"/>
    </row>
    <row r="159" spans="25:29">
      <c r="Y159" s="164"/>
      <c r="Z159" s="164"/>
      <c r="AA159" s="164"/>
      <c r="AC159" s="164"/>
    </row>
    <row r="160" spans="25:29">
      <c r="Y160" s="164"/>
      <c r="Z160" s="164"/>
      <c r="AA160" s="164"/>
      <c r="AC160" s="164"/>
    </row>
    <row r="161" spans="25:29">
      <c r="Y161" s="164"/>
      <c r="Z161" s="164"/>
      <c r="AA161" s="164"/>
      <c r="AC161" s="164"/>
    </row>
    <row r="162" spans="25:29">
      <c r="Y162" s="164"/>
      <c r="Z162" s="164"/>
      <c r="AA162" s="164"/>
      <c r="AC162" s="164"/>
    </row>
    <row r="163" spans="25:29">
      <c r="Y163" s="164"/>
      <c r="Z163" s="164"/>
      <c r="AA163" s="164"/>
      <c r="AC163" s="164"/>
    </row>
    <row r="164" spans="25:29">
      <c r="Y164" s="164"/>
      <c r="Z164" s="164"/>
      <c r="AA164" s="164"/>
      <c r="AC164" s="164"/>
    </row>
    <row r="165" spans="25:29">
      <c r="Y165" s="164"/>
      <c r="Z165" s="164"/>
      <c r="AA165" s="164"/>
      <c r="AC165" s="164"/>
    </row>
    <row r="166" spans="25:29">
      <c r="Y166" s="164"/>
      <c r="Z166" s="164"/>
      <c r="AA166" s="164"/>
      <c r="AC166" s="164"/>
    </row>
    <row r="167" spans="25:29">
      <c r="Y167" s="164"/>
      <c r="Z167" s="164"/>
      <c r="AA167" s="164"/>
      <c r="AC167" s="164"/>
    </row>
    <row r="168" spans="25:29">
      <c r="Y168" s="164"/>
      <c r="Z168" s="164"/>
      <c r="AA168" s="164"/>
      <c r="AC168" s="164"/>
    </row>
    <row r="169" spans="25:29">
      <c r="Y169" s="164"/>
      <c r="Z169" s="164"/>
      <c r="AA169" s="164"/>
      <c r="AC169" s="164"/>
    </row>
    <row r="170" spans="25:29">
      <c r="Y170" s="164"/>
      <c r="Z170" s="164"/>
      <c r="AA170" s="164"/>
      <c r="AC170" s="164"/>
    </row>
    <row r="171" spans="25:29">
      <c r="Y171" s="164"/>
      <c r="Z171" s="164"/>
      <c r="AA171" s="164"/>
      <c r="AC171" s="164"/>
    </row>
    <row r="172" spans="25:29">
      <c r="Y172" s="164"/>
      <c r="Z172" s="164"/>
      <c r="AA172" s="164"/>
      <c r="AC172" s="164"/>
    </row>
    <row r="173" spans="25:29">
      <c r="Y173" s="164"/>
      <c r="Z173" s="164"/>
      <c r="AA173" s="164"/>
      <c r="AC173" s="164"/>
    </row>
    <row r="174" spans="25:29">
      <c r="Y174" s="164"/>
      <c r="Z174" s="164"/>
      <c r="AA174" s="164"/>
      <c r="AC174" s="164"/>
    </row>
    <row r="175" spans="25:29">
      <c r="Y175" s="164"/>
      <c r="Z175" s="164"/>
      <c r="AA175" s="164"/>
      <c r="AC175" s="164"/>
    </row>
    <row r="176" spans="25:29">
      <c r="Y176" s="164"/>
      <c r="Z176" s="164"/>
      <c r="AA176" s="164"/>
      <c r="AC176" s="164"/>
    </row>
    <row r="177" spans="25:29">
      <c r="Y177" s="164"/>
      <c r="Z177" s="164"/>
      <c r="AA177" s="164"/>
      <c r="AC177" s="164"/>
    </row>
    <row r="178" spans="25:29">
      <c r="Y178" s="164"/>
      <c r="Z178" s="164"/>
      <c r="AA178" s="164"/>
      <c r="AC178" s="164"/>
    </row>
    <row r="179" spans="25:29">
      <c r="Y179" s="164"/>
      <c r="Z179" s="164"/>
      <c r="AA179" s="164"/>
      <c r="AC179" s="164"/>
    </row>
    <row r="180" spans="25:29">
      <c r="Y180" s="164"/>
      <c r="Z180" s="164"/>
      <c r="AA180" s="164"/>
      <c r="AC180" s="164"/>
    </row>
    <row r="181" spans="25:29">
      <c r="Y181" s="164"/>
      <c r="Z181" s="164"/>
      <c r="AA181" s="164"/>
      <c r="AC181" s="164"/>
    </row>
    <row r="182" spans="25:29">
      <c r="Y182" s="164"/>
      <c r="Z182" s="164"/>
      <c r="AA182" s="164"/>
      <c r="AC182" s="164"/>
    </row>
    <row r="183" spans="25:29">
      <c r="Y183" s="164"/>
      <c r="Z183" s="164"/>
      <c r="AA183" s="164"/>
      <c r="AC183" s="164"/>
    </row>
    <row r="184" spans="25:29">
      <c r="Y184" s="164"/>
      <c r="Z184" s="164"/>
      <c r="AA184" s="164"/>
      <c r="AC184" s="164"/>
    </row>
    <row r="185" spans="25:29">
      <c r="Y185" s="164"/>
      <c r="Z185" s="164"/>
      <c r="AA185" s="164"/>
      <c r="AC185" s="164"/>
    </row>
    <row r="186" spans="25:29">
      <c r="Y186" s="164"/>
      <c r="Z186" s="164"/>
      <c r="AA186" s="164"/>
      <c r="AC186" s="164"/>
    </row>
    <row r="187" spans="25:29">
      <c r="Y187" s="164"/>
      <c r="Z187" s="164"/>
      <c r="AA187" s="164"/>
      <c r="AC187" s="164"/>
    </row>
    <row r="188" spans="25:29">
      <c r="Y188" s="164"/>
      <c r="Z188" s="164"/>
      <c r="AA188" s="164"/>
      <c r="AC188" s="164"/>
    </row>
    <row r="189" spans="25:29">
      <c r="Y189" s="164"/>
      <c r="Z189" s="164"/>
      <c r="AA189" s="164"/>
      <c r="AC189" s="164"/>
    </row>
    <row r="190" spans="25:29">
      <c r="Y190" s="164"/>
      <c r="Z190" s="164"/>
      <c r="AA190" s="164"/>
      <c r="AC190" s="164"/>
    </row>
    <row r="191" spans="25:29">
      <c r="Y191" s="164"/>
      <c r="Z191" s="164"/>
      <c r="AA191" s="164"/>
      <c r="AC191" s="164"/>
    </row>
    <row r="192" spans="25:29">
      <c r="Y192" s="164"/>
      <c r="Z192" s="164"/>
      <c r="AA192" s="164"/>
    </row>
    <row r="193" spans="25:29">
      <c r="Y193" s="164"/>
      <c r="Z193" s="164"/>
      <c r="AA193" s="164"/>
      <c r="AC193" s="164"/>
    </row>
    <row r="194" spans="25:29">
      <c r="Y194" s="164"/>
      <c r="Z194" s="164"/>
      <c r="AA194" s="164"/>
      <c r="AC194" s="164"/>
    </row>
    <row r="195" spans="25:29">
      <c r="Y195" s="164"/>
      <c r="Z195" s="164"/>
      <c r="AA195" s="164"/>
      <c r="AC195" s="164"/>
    </row>
    <row r="196" spans="25:29">
      <c r="Y196" s="164"/>
      <c r="Z196" s="164"/>
      <c r="AA196" s="164"/>
      <c r="AC196" s="164"/>
    </row>
    <row r="197" spans="25:29">
      <c r="Y197" s="164"/>
      <c r="Z197" s="164"/>
      <c r="AA197" s="164"/>
      <c r="AC197" s="164"/>
    </row>
    <row r="198" spans="25:29">
      <c r="Y198" s="164"/>
      <c r="Z198" s="164"/>
      <c r="AA198" s="164"/>
      <c r="AC198" s="164"/>
    </row>
    <row r="199" spans="25:29">
      <c r="Y199" s="164"/>
      <c r="Z199" s="164"/>
      <c r="AA199" s="164"/>
      <c r="AC199" s="164"/>
    </row>
    <row r="200" spans="25:29">
      <c r="Y200" s="164"/>
      <c r="Z200" s="164"/>
      <c r="AA200" s="164"/>
      <c r="AC200" s="164"/>
    </row>
    <row r="201" spans="25:29">
      <c r="Y201" s="164"/>
      <c r="Z201" s="164"/>
      <c r="AA201" s="164"/>
      <c r="AC201" s="164"/>
    </row>
    <row r="202" spans="25:29">
      <c r="Y202" s="164"/>
      <c r="Z202" s="164"/>
      <c r="AA202" s="164"/>
      <c r="AC202" s="164"/>
    </row>
    <row r="203" spans="25:29">
      <c r="Y203" s="164"/>
      <c r="Z203" s="164"/>
      <c r="AA203" s="164"/>
      <c r="AC203" s="164"/>
    </row>
    <row r="204" spans="25:29">
      <c r="Y204" s="164"/>
      <c r="Z204" s="164"/>
      <c r="AA204" s="164"/>
      <c r="AC204" s="164"/>
    </row>
    <row r="205" spans="25:29">
      <c r="Y205" s="164"/>
      <c r="Z205" s="164"/>
      <c r="AA205" s="164"/>
      <c r="AC205" s="164"/>
    </row>
    <row r="206" spans="25:29">
      <c r="Y206" s="164"/>
      <c r="Z206" s="164"/>
      <c r="AA206" s="164"/>
      <c r="AC206" s="164"/>
    </row>
    <row r="207" spans="25:29">
      <c r="Y207" s="164"/>
      <c r="Z207" s="164"/>
      <c r="AA207" s="164"/>
      <c r="AC207" s="164"/>
    </row>
    <row r="208" spans="25:29">
      <c r="Y208" s="164"/>
      <c r="Z208" s="164"/>
      <c r="AA208" s="164"/>
      <c r="AC208" s="164"/>
    </row>
    <row r="209" spans="25:29">
      <c r="Y209" s="164"/>
      <c r="Z209" s="164"/>
      <c r="AA209" s="164"/>
      <c r="AC209" s="164"/>
    </row>
    <row r="210" spans="25:29">
      <c r="Y210" s="164"/>
      <c r="Z210" s="164"/>
      <c r="AA210" s="164"/>
      <c r="AC210" s="164"/>
    </row>
    <row r="211" spans="25:29">
      <c r="Y211" s="164"/>
      <c r="Z211" s="164"/>
      <c r="AA211" s="164"/>
      <c r="AC211" s="164"/>
    </row>
    <row r="212" spans="25:29">
      <c r="Y212" s="164"/>
      <c r="Z212" s="164"/>
      <c r="AA212" s="164"/>
      <c r="AC212" s="164"/>
    </row>
    <row r="213" spans="25:29">
      <c r="Y213" s="164"/>
      <c r="Z213" s="164"/>
      <c r="AA213" s="164"/>
      <c r="AC213" s="164"/>
    </row>
    <row r="214" spans="25:29">
      <c r="Y214" s="164"/>
      <c r="Z214" s="164"/>
      <c r="AA214" s="164"/>
      <c r="AC214" s="164"/>
    </row>
    <row r="215" spans="25:29">
      <c r="Y215" s="164"/>
      <c r="Z215" s="164"/>
      <c r="AA215" s="164"/>
      <c r="AC215" s="164"/>
    </row>
    <row r="216" spans="25:29">
      <c r="Y216" s="164"/>
      <c r="Z216" s="164"/>
      <c r="AA216" s="164"/>
      <c r="AC216" s="164"/>
    </row>
    <row r="217" spans="25:29">
      <c r="Y217" s="164"/>
      <c r="Z217" s="164"/>
      <c r="AA217" s="164"/>
      <c r="AC217" s="164"/>
    </row>
    <row r="218" spans="25:29">
      <c r="Y218" s="164"/>
      <c r="Z218" s="164"/>
      <c r="AA218" s="164"/>
      <c r="AC218" s="164"/>
    </row>
    <row r="219" spans="25:29">
      <c r="Y219" s="164"/>
      <c r="Z219" s="164"/>
      <c r="AA219" s="164"/>
      <c r="AC219" s="164"/>
    </row>
    <row r="220" spans="25:29">
      <c r="Y220" s="164"/>
      <c r="Z220" s="164"/>
      <c r="AA220" s="164"/>
      <c r="AC220" s="164"/>
    </row>
    <row r="221" spans="25:29">
      <c r="Y221" s="164"/>
      <c r="Z221" s="164"/>
      <c r="AA221" s="164"/>
      <c r="AC221" s="164"/>
    </row>
    <row r="222" spans="25:29">
      <c r="Y222" s="164"/>
      <c r="Z222" s="164"/>
      <c r="AA222" s="164"/>
      <c r="AC222" s="164"/>
    </row>
    <row r="223" spans="25:29">
      <c r="Y223" s="164"/>
      <c r="Z223" s="164"/>
      <c r="AA223" s="164"/>
      <c r="AC223" s="164"/>
    </row>
    <row r="224" spans="25:29">
      <c r="Y224" s="164"/>
      <c r="Z224" s="164"/>
      <c r="AA224" s="164"/>
      <c r="AC224" s="164"/>
    </row>
    <row r="225" spans="25:29">
      <c r="Y225" s="164"/>
      <c r="Z225" s="164"/>
      <c r="AA225" s="164"/>
      <c r="AC225" s="164"/>
    </row>
    <row r="226" spans="25:29">
      <c r="Y226" s="164"/>
      <c r="Z226" s="164"/>
      <c r="AA226" s="164"/>
      <c r="AC226" s="164"/>
    </row>
    <row r="227" spans="25:29">
      <c r="Y227" s="164"/>
      <c r="Z227" s="164"/>
      <c r="AA227" s="164"/>
      <c r="AC227" s="164"/>
    </row>
    <row r="228" spans="25:29">
      <c r="Y228" s="164"/>
      <c r="Z228" s="164"/>
      <c r="AA228" s="164"/>
      <c r="AC228" s="164"/>
    </row>
    <row r="229" spans="25:29">
      <c r="Y229" s="164"/>
      <c r="Z229" s="164"/>
      <c r="AA229" s="164"/>
      <c r="AC229" s="164"/>
    </row>
    <row r="230" spans="25:29">
      <c r="Y230" s="164"/>
      <c r="Z230" s="164"/>
      <c r="AA230" s="164"/>
      <c r="AC230" s="164"/>
    </row>
    <row r="231" spans="25:29">
      <c r="Y231" s="164"/>
      <c r="Z231" s="164"/>
      <c r="AA231" s="164"/>
      <c r="AC231" s="164"/>
    </row>
    <row r="232" spans="25:29">
      <c r="Y232" s="164"/>
      <c r="Z232" s="164"/>
      <c r="AA232" s="164"/>
      <c r="AC232" s="164"/>
    </row>
    <row r="233" spans="25:29">
      <c r="Y233" s="164"/>
      <c r="Z233" s="164"/>
      <c r="AA233" s="164"/>
      <c r="AC233" s="164"/>
    </row>
    <row r="234" spans="25:29">
      <c r="Y234" s="164"/>
      <c r="Z234" s="164"/>
      <c r="AA234" s="164"/>
      <c r="AC234" s="164"/>
    </row>
    <row r="235" spans="25:29">
      <c r="Y235" s="164"/>
      <c r="Z235" s="164"/>
      <c r="AA235" s="164"/>
      <c r="AC235" s="164"/>
    </row>
    <row r="236" spans="25:29">
      <c r="Y236" s="164"/>
      <c r="Z236" s="164"/>
      <c r="AA236" s="164"/>
      <c r="AC236" s="164"/>
    </row>
    <row r="237" spans="25:29">
      <c r="Y237" s="164"/>
      <c r="Z237" s="164"/>
      <c r="AA237" s="164"/>
      <c r="AC237" s="164"/>
    </row>
    <row r="238" spans="25:29">
      <c r="Y238" s="164"/>
      <c r="Z238" s="164"/>
      <c r="AA238" s="164"/>
      <c r="AC238" s="164"/>
    </row>
    <row r="239" spans="25:29">
      <c r="Y239" s="164"/>
      <c r="Z239" s="164"/>
      <c r="AA239" s="164"/>
      <c r="AC239" s="164"/>
    </row>
    <row r="240" spans="25:29">
      <c r="Y240" s="164"/>
      <c r="Z240" s="164"/>
      <c r="AA240" s="164"/>
      <c r="AC240" s="164"/>
    </row>
    <row r="241" spans="25:29">
      <c r="Y241" s="164"/>
      <c r="Z241" s="164"/>
      <c r="AA241" s="164"/>
      <c r="AC241" s="164"/>
    </row>
    <row r="242" spans="25:29">
      <c r="Y242" s="164"/>
      <c r="Z242" s="164"/>
      <c r="AA242" s="164"/>
      <c r="AC242" s="164"/>
    </row>
    <row r="243" spans="25:29">
      <c r="Y243" s="164"/>
      <c r="Z243" s="164"/>
      <c r="AA243" s="164"/>
      <c r="AC243" s="164"/>
    </row>
    <row r="244" spans="25:29">
      <c r="Y244" s="164"/>
      <c r="Z244" s="164"/>
      <c r="AA244" s="164"/>
      <c r="AC244" s="164"/>
    </row>
    <row r="245" spans="25:29">
      <c r="Y245" s="164"/>
      <c r="Z245" s="164"/>
      <c r="AA245" s="164"/>
      <c r="AC245" s="164"/>
    </row>
    <row r="246" spans="25:29">
      <c r="Y246" s="164"/>
      <c r="Z246" s="164"/>
      <c r="AA246" s="164"/>
      <c r="AC246" s="164"/>
    </row>
    <row r="247" spans="25:29">
      <c r="Y247" s="164"/>
      <c r="Z247" s="164"/>
      <c r="AA247" s="164"/>
      <c r="AC247" s="164"/>
    </row>
    <row r="248" spans="25:29">
      <c r="Y248" s="164"/>
      <c r="Z248" s="164"/>
      <c r="AA248" s="164"/>
      <c r="AC248" s="164"/>
    </row>
    <row r="249" spans="25:29">
      <c r="Y249" s="164"/>
      <c r="Z249" s="164"/>
      <c r="AA249" s="164"/>
      <c r="AC249" s="164"/>
    </row>
    <row r="250" spans="25:29">
      <c r="Y250" s="164"/>
      <c r="Z250" s="164"/>
      <c r="AA250" s="164"/>
      <c r="AC250" s="164"/>
    </row>
    <row r="251" spans="25:29">
      <c r="Y251" s="164"/>
      <c r="Z251" s="164"/>
      <c r="AA251" s="164"/>
      <c r="AC251" s="164"/>
    </row>
    <row r="252" spans="25:29">
      <c r="Y252" s="164"/>
      <c r="Z252" s="164"/>
      <c r="AA252" s="164"/>
      <c r="AC252" s="164"/>
    </row>
    <row r="253" spans="25:29">
      <c r="Y253" s="164"/>
      <c r="Z253" s="164"/>
      <c r="AA253" s="164"/>
      <c r="AC253" s="164"/>
    </row>
    <row r="254" spans="25:29">
      <c r="Y254" s="164"/>
      <c r="Z254" s="164"/>
      <c r="AA254" s="164"/>
      <c r="AC254" s="164"/>
    </row>
    <row r="255" spans="25:29">
      <c r="Y255" s="164"/>
      <c r="Z255" s="164"/>
      <c r="AA255" s="164"/>
      <c r="AC255" s="164"/>
    </row>
    <row r="256" spans="25:29">
      <c r="Y256" s="164"/>
      <c r="Z256" s="164"/>
      <c r="AA256" s="164"/>
      <c r="AC256" s="164"/>
    </row>
    <row r="257" spans="25:29">
      <c r="Y257" s="164"/>
      <c r="Z257" s="164"/>
      <c r="AA257" s="164"/>
      <c r="AC257" s="164"/>
    </row>
    <row r="258" spans="25:29">
      <c r="Y258" s="164"/>
      <c r="Z258" s="164"/>
      <c r="AA258" s="164"/>
      <c r="AC258" s="164"/>
    </row>
    <row r="259" spans="25:29">
      <c r="Y259" s="164"/>
      <c r="Z259" s="164"/>
      <c r="AA259" s="164"/>
      <c r="AC259" s="164"/>
    </row>
    <row r="260" spans="25:29">
      <c r="Y260" s="164"/>
      <c r="Z260" s="164"/>
      <c r="AA260" s="164"/>
      <c r="AC260" s="164"/>
    </row>
    <row r="261" spans="25:29">
      <c r="Y261" s="164"/>
      <c r="Z261" s="164"/>
      <c r="AA261" s="164"/>
      <c r="AC261" s="164"/>
    </row>
    <row r="262" spans="25:29">
      <c r="Y262" s="164"/>
      <c r="Z262" s="164"/>
      <c r="AA262" s="164"/>
      <c r="AC262" s="164"/>
    </row>
    <row r="263" spans="25:29">
      <c r="Y263" s="164"/>
      <c r="Z263" s="164"/>
      <c r="AA263" s="164"/>
      <c r="AC263" s="164"/>
    </row>
    <row r="264" spans="25:29">
      <c r="Y264" s="164"/>
      <c r="Z264" s="164"/>
      <c r="AA264" s="164"/>
      <c r="AC264" s="164"/>
    </row>
    <row r="265" spans="25:29">
      <c r="Y265" s="164"/>
      <c r="Z265" s="164"/>
      <c r="AA265" s="164"/>
      <c r="AC265" s="164"/>
    </row>
    <row r="266" spans="25:29">
      <c r="Y266" s="164"/>
      <c r="Z266" s="164"/>
      <c r="AA266" s="164"/>
      <c r="AC266" s="164"/>
    </row>
    <row r="267" spans="25:29">
      <c r="Y267" s="164"/>
      <c r="Z267" s="164"/>
      <c r="AA267" s="164"/>
      <c r="AC267" s="164"/>
    </row>
    <row r="268" spans="25:29">
      <c r="Y268" s="164"/>
      <c r="Z268" s="164"/>
      <c r="AA268" s="164"/>
      <c r="AC268" s="164"/>
    </row>
    <row r="269" spans="25:29">
      <c r="Y269" s="164"/>
      <c r="Z269" s="164"/>
      <c r="AA269" s="164"/>
      <c r="AC269" s="164"/>
    </row>
    <row r="270" spans="25:29">
      <c r="Y270" s="164"/>
      <c r="Z270" s="164"/>
      <c r="AA270" s="164"/>
      <c r="AC270" s="164"/>
    </row>
    <row r="271" spans="25:29">
      <c r="Y271" s="164"/>
      <c r="Z271" s="164"/>
      <c r="AA271" s="164"/>
      <c r="AC271" s="164"/>
    </row>
    <row r="272" spans="25:29">
      <c r="Y272" s="164"/>
      <c r="Z272" s="164"/>
      <c r="AA272" s="164"/>
      <c r="AC272" s="164"/>
    </row>
    <row r="273" spans="25:29">
      <c r="Y273" s="164"/>
      <c r="Z273" s="164"/>
      <c r="AA273" s="164"/>
      <c r="AC273" s="164"/>
    </row>
    <row r="274" spans="25:29">
      <c r="Y274" s="164"/>
      <c r="Z274" s="164"/>
      <c r="AA274" s="164"/>
      <c r="AC274" s="164"/>
    </row>
    <row r="275" spans="25:29">
      <c r="Y275" s="164"/>
      <c r="Z275" s="164"/>
      <c r="AA275" s="164"/>
      <c r="AC275" s="164"/>
    </row>
    <row r="276" spans="25:29">
      <c r="Y276" s="164"/>
      <c r="Z276" s="164"/>
      <c r="AA276" s="164"/>
      <c r="AC276" s="164"/>
    </row>
    <row r="277" spans="25:29">
      <c r="Y277" s="164"/>
      <c r="Z277" s="164"/>
      <c r="AA277" s="164"/>
      <c r="AC277" s="164"/>
    </row>
    <row r="278" spans="25:29">
      <c r="Y278" s="164"/>
      <c r="Z278" s="164"/>
      <c r="AA278" s="164"/>
      <c r="AC278" s="164"/>
    </row>
    <row r="279" spans="25:29">
      <c r="Y279" s="164"/>
      <c r="Z279" s="164"/>
      <c r="AA279" s="164"/>
      <c r="AC279" s="164"/>
    </row>
    <row r="280" spans="25:29">
      <c r="Y280" s="164"/>
      <c r="Z280" s="164"/>
      <c r="AA280" s="164"/>
      <c r="AC280" s="164"/>
    </row>
    <row r="281" spans="25:29">
      <c r="Y281" s="164"/>
      <c r="Z281" s="164"/>
      <c r="AA281" s="164"/>
      <c r="AC281" s="164"/>
    </row>
    <row r="282" spans="25:29">
      <c r="Y282" s="164"/>
      <c r="Z282" s="164"/>
      <c r="AA282" s="164"/>
      <c r="AC282" s="164"/>
    </row>
    <row r="283" spans="25:29">
      <c r="Y283" s="164"/>
      <c r="Z283" s="164"/>
      <c r="AA283" s="164"/>
      <c r="AC283" s="164"/>
    </row>
    <row r="284" spans="25:29">
      <c r="Y284" s="164"/>
      <c r="Z284" s="164"/>
      <c r="AA284" s="164"/>
      <c r="AC284" s="164"/>
    </row>
    <row r="285" spans="25:29">
      <c r="Y285" s="164"/>
      <c r="Z285" s="164"/>
      <c r="AA285" s="164"/>
      <c r="AC285" s="164"/>
    </row>
    <row r="286" spans="25:29">
      <c r="Y286" s="164"/>
      <c r="Z286" s="164"/>
      <c r="AA286" s="164"/>
      <c r="AC286" s="164"/>
    </row>
    <row r="287" spans="25:29">
      <c r="Y287" s="164"/>
      <c r="Z287" s="164"/>
      <c r="AA287" s="164"/>
      <c r="AC287" s="164"/>
    </row>
    <row r="288" spans="25:29">
      <c r="Y288" s="164"/>
      <c r="Z288" s="164"/>
      <c r="AA288" s="164"/>
      <c r="AC288" s="164"/>
    </row>
    <row r="289" spans="25:29">
      <c r="Y289" s="164"/>
      <c r="Z289" s="164"/>
      <c r="AA289" s="164"/>
      <c r="AC289" s="164"/>
    </row>
    <row r="290" spans="25:29">
      <c r="Y290" s="164"/>
      <c r="Z290" s="164"/>
      <c r="AA290" s="164"/>
      <c r="AC290" s="164"/>
    </row>
    <row r="291" spans="25:29">
      <c r="Y291" s="164"/>
      <c r="Z291" s="164"/>
      <c r="AA291" s="164"/>
      <c r="AC291" s="164"/>
    </row>
    <row r="292" spans="25:29">
      <c r="Y292" s="164"/>
      <c r="Z292" s="164"/>
      <c r="AA292" s="164"/>
      <c r="AC292" s="164"/>
    </row>
    <row r="293" spans="25:29">
      <c r="Y293" s="164"/>
      <c r="Z293" s="164"/>
      <c r="AA293" s="164"/>
      <c r="AC293" s="164"/>
    </row>
    <row r="294" spans="25:29">
      <c r="Y294" s="164"/>
      <c r="Z294" s="164"/>
      <c r="AA294" s="164"/>
      <c r="AC294" s="164"/>
    </row>
    <row r="295" spans="25:29">
      <c r="Y295" s="164"/>
      <c r="Z295" s="164"/>
      <c r="AA295" s="164"/>
      <c r="AC295" s="164"/>
    </row>
    <row r="296" spans="25:29">
      <c r="Y296" s="164"/>
      <c r="Z296" s="164"/>
      <c r="AA296" s="164"/>
      <c r="AC296" s="164"/>
    </row>
    <row r="297" spans="25:29">
      <c r="Y297" s="164"/>
      <c r="Z297" s="164"/>
      <c r="AA297" s="164"/>
      <c r="AC297" s="164"/>
    </row>
    <row r="298" spans="25:29">
      <c r="Y298" s="164"/>
      <c r="Z298" s="164"/>
      <c r="AA298" s="164"/>
      <c r="AC298" s="164"/>
    </row>
    <row r="299" spans="25:29">
      <c r="Y299" s="164"/>
      <c r="Z299" s="164"/>
      <c r="AA299" s="164"/>
      <c r="AC299" s="164"/>
    </row>
    <row r="300" spans="25:29">
      <c r="Y300" s="164"/>
      <c r="Z300" s="164"/>
      <c r="AA300" s="164"/>
      <c r="AC300" s="164"/>
    </row>
    <row r="301" spans="25:29">
      <c r="Y301" s="164"/>
      <c r="Z301" s="164"/>
      <c r="AA301" s="164"/>
      <c r="AC301" s="164"/>
    </row>
    <row r="302" spans="25:29">
      <c r="Y302" s="164"/>
      <c r="Z302" s="164"/>
      <c r="AA302" s="164"/>
      <c r="AC302" s="164"/>
    </row>
    <row r="303" spans="25:29">
      <c r="Y303" s="164"/>
      <c r="Z303" s="164"/>
      <c r="AA303" s="164"/>
      <c r="AC303" s="164"/>
    </row>
    <row r="304" spans="25:29">
      <c r="Y304" s="164"/>
      <c r="Z304" s="164"/>
      <c r="AA304" s="164"/>
      <c r="AC304" s="164"/>
    </row>
    <row r="305" spans="25:29">
      <c r="Y305" s="164"/>
      <c r="Z305" s="164"/>
      <c r="AA305" s="164"/>
      <c r="AC305" s="164"/>
    </row>
    <row r="306" spans="25:29">
      <c r="Y306" s="164"/>
      <c r="Z306" s="164"/>
      <c r="AA306" s="164"/>
      <c r="AC306" s="164"/>
    </row>
    <row r="307" spans="25:29">
      <c r="Y307" s="164"/>
      <c r="Z307" s="164"/>
      <c r="AA307" s="164"/>
      <c r="AC307" s="164"/>
    </row>
    <row r="308" spans="25:29">
      <c r="Y308" s="164"/>
      <c r="Z308" s="164"/>
      <c r="AA308" s="164"/>
      <c r="AC308" s="164"/>
    </row>
    <row r="309" spans="25:29">
      <c r="Y309" s="164"/>
      <c r="Z309" s="164"/>
      <c r="AA309" s="164"/>
      <c r="AC309" s="164"/>
    </row>
    <row r="310" spans="25:29">
      <c r="Y310" s="164"/>
      <c r="Z310" s="164"/>
      <c r="AA310" s="164"/>
      <c r="AC310" s="164"/>
    </row>
    <row r="311" spans="25:29">
      <c r="Y311" s="164"/>
      <c r="Z311" s="164"/>
      <c r="AA311" s="164"/>
      <c r="AC311" s="164"/>
    </row>
    <row r="312" spans="25:29">
      <c r="Y312" s="164"/>
      <c r="Z312" s="164"/>
      <c r="AA312" s="164"/>
      <c r="AC312" s="164"/>
    </row>
    <row r="313" spans="25:29">
      <c r="Y313" s="164"/>
      <c r="Z313" s="164"/>
      <c r="AA313" s="164"/>
      <c r="AC313" s="164"/>
    </row>
    <row r="314" spans="25:29">
      <c r="Y314" s="164"/>
      <c r="Z314" s="164"/>
      <c r="AA314" s="164"/>
      <c r="AC314" s="164"/>
    </row>
    <row r="315" spans="25:29">
      <c r="Y315" s="164"/>
      <c r="Z315" s="164"/>
      <c r="AA315" s="164"/>
      <c r="AC315" s="164"/>
    </row>
    <row r="316" spans="25:29">
      <c r="Y316" s="164"/>
      <c r="Z316" s="164"/>
      <c r="AA316" s="164"/>
      <c r="AC316" s="164"/>
    </row>
    <row r="317" spans="25:29">
      <c r="Y317" s="164"/>
      <c r="Z317" s="164"/>
      <c r="AA317" s="164"/>
      <c r="AC317" s="164"/>
    </row>
    <row r="318" spans="25:29">
      <c r="Y318" s="164"/>
      <c r="Z318" s="164"/>
      <c r="AA318" s="164"/>
      <c r="AC318" s="164"/>
    </row>
    <row r="319" spans="25:29">
      <c r="Y319" s="164"/>
      <c r="Z319" s="164"/>
      <c r="AA319" s="164"/>
      <c r="AC319" s="164"/>
    </row>
    <row r="320" spans="25:29">
      <c r="Y320" s="164"/>
      <c r="Z320" s="164"/>
      <c r="AA320" s="164"/>
      <c r="AC320" s="164"/>
    </row>
    <row r="321" spans="25:29">
      <c r="Y321" s="164"/>
      <c r="Z321" s="164"/>
      <c r="AA321" s="164"/>
      <c r="AC321" s="164"/>
    </row>
    <row r="322" spans="25:29">
      <c r="Y322" s="164"/>
      <c r="Z322" s="164"/>
      <c r="AA322" s="164"/>
      <c r="AC322" s="164"/>
    </row>
    <row r="323" spans="25:29">
      <c r="Y323" s="164"/>
      <c r="Z323" s="164"/>
      <c r="AA323" s="164"/>
      <c r="AC323" s="164"/>
    </row>
    <row r="324" spans="25:29">
      <c r="Y324" s="164"/>
      <c r="Z324" s="164"/>
      <c r="AA324" s="164"/>
      <c r="AC324" s="164"/>
    </row>
    <row r="325" spans="25:29">
      <c r="Y325" s="164"/>
      <c r="Z325" s="164"/>
      <c r="AA325" s="164"/>
      <c r="AC325" s="164"/>
    </row>
    <row r="326" spans="25:29">
      <c r="Y326" s="164"/>
      <c r="Z326" s="164"/>
      <c r="AA326" s="164"/>
      <c r="AC326" s="164"/>
    </row>
    <row r="327" spans="25:29">
      <c r="Y327" s="164"/>
      <c r="Z327" s="164"/>
      <c r="AA327" s="164"/>
      <c r="AC327" s="164"/>
    </row>
    <row r="328" spans="25:29">
      <c r="Y328" s="164"/>
      <c r="Z328" s="164"/>
      <c r="AA328" s="164"/>
      <c r="AC328" s="164"/>
    </row>
    <row r="329" spans="25:29">
      <c r="Y329" s="164"/>
      <c r="Z329" s="164"/>
      <c r="AA329" s="164"/>
      <c r="AC329" s="164"/>
    </row>
    <row r="330" spans="25:29">
      <c r="Y330" s="164"/>
      <c r="Z330" s="164"/>
      <c r="AA330" s="164"/>
      <c r="AC330" s="164"/>
    </row>
    <row r="331" spans="25:29">
      <c r="Y331" s="164"/>
      <c r="Z331" s="164"/>
      <c r="AA331" s="164"/>
      <c r="AC331" s="164"/>
    </row>
    <row r="332" spans="25:29">
      <c r="Y332" s="164"/>
      <c r="Z332" s="164"/>
      <c r="AA332" s="164"/>
      <c r="AC332" s="164"/>
    </row>
    <row r="333" spans="25:29">
      <c r="Y333" s="164"/>
      <c r="Z333" s="164"/>
      <c r="AA333" s="164"/>
      <c r="AC333" s="164"/>
    </row>
    <row r="334" spans="25:29">
      <c r="Y334" s="164"/>
      <c r="Z334" s="164"/>
      <c r="AA334" s="164"/>
      <c r="AC334" s="164"/>
    </row>
    <row r="335" spans="25:29">
      <c r="Y335" s="164"/>
      <c r="Z335" s="164"/>
      <c r="AA335" s="164"/>
      <c r="AC335" s="164"/>
    </row>
    <row r="336" spans="25:29">
      <c r="Y336" s="164"/>
      <c r="Z336" s="164"/>
      <c r="AA336" s="164"/>
      <c r="AC336" s="164"/>
    </row>
    <row r="337" spans="25:29">
      <c r="Y337" s="164"/>
      <c r="Z337" s="164"/>
      <c r="AA337" s="164"/>
      <c r="AC337" s="164"/>
    </row>
    <row r="338" spans="25:29">
      <c r="Y338" s="164"/>
      <c r="Z338" s="164"/>
      <c r="AA338" s="164"/>
      <c r="AC338" s="164"/>
    </row>
    <row r="339" spans="25:29">
      <c r="Y339" s="164"/>
      <c r="Z339" s="164"/>
      <c r="AA339" s="164"/>
      <c r="AC339" s="164"/>
    </row>
    <row r="340" spans="25:29">
      <c r="Y340" s="164"/>
      <c r="Z340" s="164"/>
      <c r="AA340" s="164"/>
      <c r="AC340" s="164"/>
    </row>
    <row r="341" spans="25:29">
      <c r="Y341" s="164"/>
      <c r="Z341" s="164"/>
      <c r="AA341" s="164"/>
    </row>
    <row r="342" spans="25:29">
      <c r="Y342" s="164"/>
      <c r="Z342" s="164"/>
      <c r="AA342" s="164"/>
    </row>
    <row r="343" spans="25:29">
      <c r="Y343" s="164"/>
      <c r="Z343" s="164"/>
      <c r="AA343" s="164"/>
    </row>
    <row r="344" spans="25:29">
      <c r="Y344" s="164"/>
      <c r="Z344" s="164"/>
      <c r="AA344" s="164"/>
    </row>
    <row r="345" spans="25:29">
      <c r="Y345" s="164"/>
      <c r="Z345" s="164"/>
      <c r="AA345" s="164"/>
    </row>
    <row r="346" spans="25:29">
      <c r="Y346" s="164"/>
      <c r="Z346" s="164"/>
      <c r="AA346" s="164"/>
    </row>
    <row r="347" spans="25:29">
      <c r="Y347" s="164"/>
      <c r="Z347" s="164"/>
      <c r="AA347" s="164"/>
    </row>
    <row r="348" spans="25:29">
      <c r="Y348" s="164"/>
      <c r="Z348" s="164"/>
      <c r="AA348" s="164"/>
    </row>
    <row r="349" spans="25:29">
      <c r="Y349" s="164"/>
      <c r="Z349" s="164"/>
      <c r="AA349" s="164"/>
      <c r="AC349" s="164"/>
    </row>
    <row r="350" spans="25:29">
      <c r="Y350" s="164"/>
      <c r="Z350" s="164"/>
      <c r="AA350" s="164"/>
      <c r="AC350" s="164"/>
    </row>
    <row r="351" spans="25:29">
      <c r="Y351" s="164"/>
      <c r="Z351" s="164"/>
      <c r="AA351" s="164"/>
      <c r="AC351" s="164"/>
    </row>
    <row r="352" spans="25:29">
      <c r="Y352" s="164"/>
      <c r="Z352" s="164"/>
      <c r="AA352" s="164"/>
      <c r="AC352" s="164"/>
    </row>
    <row r="353" spans="25:29">
      <c r="Y353" s="164"/>
      <c r="Z353" s="164"/>
      <c r="AA353" s="164"/>
      <c r="AC353" s="164"/>
    </row>
    <row r="354" spans="25:29">
      <c r="Y354" s="164"/>
      <c r="Z354" s="164"/>
      <c r="AA354" s="164"/>
      <c r="AC354" s="164"/>
    </row>
    <row r="355" spans="25:29">
      <c r="Y355" s="164"/>
      <c r="Z355" s="164"/>
      <c r="AA355" s="164"/>
      <c r="AC355" s="164"/>
    </row>
    <row r="356" spans="25:29">
      <c r="Y356" s="164"/>
      <c r="Z356" s="164"/>
      <c r="AA356" s="164"/>
      <c r="AC356" s="164"/>
    </row>
    <row r="357" spans="25:29">
      <c r="Y357" s="164"/>
      <c r="Z357" s="164"/>
      <c r="AA357" s="164"/>
      <c r="AC357" s="164"/>
    </row>
    <row r="358" spans="25:29">
      <c r="Y358" s="164"/>
      <c r="Z358" s="164"/>
      <c r="AA358" s="164"/>
      <c r="AC358" s="164"/>
    </row>
    <row r="359" spans="25:29">
      <c r="Y359" s="164"/>
      <c r="Z359" s="164"/>
      <c r="AA359" s="164"/>
      <c r="AC359" s="164"/>
    </row>
    <row r="360" spans="25:29">
      <c r="Y360" s="164"/>
      <c r="Z360" s="164"/>
      <c r="AA360" s="164"/>
      <c r="AC360" s="164"/>
    </row>
    <row r="361" spans="25:29">
      <c r="Y361" s="164"/>
      <c r="Z361" s="164"/>
      <c r="AA361" s="164"/>
      <c r="AC361" s="164"/>
    </row>
    <row r="362" spans="25:29">
      <c r="Y362" s="164"/>
      <c r="Z362" s="164"/>
      <c r="AA362" s="164"/>
      <c r="AC362" s="164"/>
    </row>
    <row r="363" spans="25:29">
      <c r="Y363" s="164"/>
      <c r="Z363" s="164"/>
      <c r="AA363" s="164"/>
      <c r="AC363" s="164"/>
    </row>
    <row r="364" spans="25:29">
      <c r="Y364" s="164"/>
      <c r="Z364" s="164"/>
      <c r="AA364" s="164"/>
      <c r="AC364" s="164"/>
    </row>
    <row r="365" spans="25:29">
      <c r="Y365" s="164"/>
      <c r="Z365" s="164"/>
      <c r="AA365" s="164"/>
      <c r="AC365" s="164"/>
    </row>
    <row r="366" spans="25:29">
      <c r="Y366" s="164"/>
      <c r="Z366" s="164"/>
      <c r="AA366" s="164"/>
      <c r="AC366" s="164"/>
    </row>
    <row r="367" spans="25:29">
      <c r="Y367" s="164"/>
      <c r="Z367" s="164"/>
      <c r="AA367" s="164"/>
      <c r="AC367" s="164"/>
    </row>
    <row r="368" spans="25:29">
      <c r="Y368" s="164"/>
      <c r="Z368" s="164"/>
      <c r="AA368" s="164"/>
      <c r="AC368" s="164"/>
    </row>
    <row r="369" spans="25:29">
      <c r="Y369" s="164"/>
      <c r="Z369" s="164"/>
      <c r="AA369" s="164"/>
      <c r="AC369" s="164"/>
    </row>
    <row r="370" spans="25:29">
      <c r="Y370" s="164"/>
      <c r="Z370" s="164"/>
      <c r="AA370" s="164"/>
      <c r="AC370" s="164"/>
    </row>
    <row r="371" spans="25:29">
      <c r="Y371" s="164"/>
      <c r="Z371" s="164"/>
      <c r="AA371" s="164"/>
      <c r="AC371" s="164"/>
    </row>
    <row r="372" spans="25:29">
      <c r="Y372" s="164"/>
      <c r="Z372" s="164"/>
      <c r="AA372" s="164"/>
      <c r="AC372" s="164"/>
    </row>
    <row r="373" spans="25:29">
      <c r="Y373" s="164"/>
      <c r="Z373" s="164"/>
      <c r="AA373" s="164"/>
      <c r="AC373" s="164"/>
    </row>
    <row r="374" spans="25:29">
      <c r="Y374" s="164"/>
      <c r="Z374" s="164"/>
      <c r="AA374" s="164"/>
      <c r="AC374" s="164"/>
    </row>
    <row r="375" spans="25:29">
      <c r="Y375" s="164"/>
      <c r="Z375" s="164"/>
      <c r="AA375" s="164"/>
      <c r="AC375" s="164"/>
    </row>
    <row r="376" spans="25:29">
      <c r="Y376" s="164"/>
      <c r="Z376" s="164"/>
      <c r="AA376" s="164"/>
      <c r="AC376" s="164"/>
    </row>
    <row r="377" spans="25:29">
      <c r="Y377" s="164"/>
      <c r="Z377" s="164"/>
      <c r="AA377" s="164"/>
      <c r="AC377" s="164"/>
    </row>
    <row r="378" spans="25:29">
      <c r="Y378" s="164"/>
      <c r="Z378" s="164"/>
      <c r="AA378" s="164"/>
      <c r="AC378" s="164"/>
    </row>
    <row r="379" spans="25:29">
      <c r="Y379" s="164"/>
      <c r="Z379" s="164"/>
      <c r="AA379" s="164"/>
      <c r="AC379" s="164"/>
    </row>
    <row r="380" spans="25:29">
      <c r="Y380" s="164"/>
      <c r="Z380" s="164"/>
      <c r="AA380" s="164"/>
      <c r="AC380" s="164"/>
    </row>
    <row r="381" spans="25:29">
      <c r="Y381" s="164"/>
      <c r="Z381" s="164"/>
      <c r="AA381" s="164"/>
      <c r="AC381" s="164"/>
    </row>
    <row r="382" spans="25:29">
      <c r="Y382" s="164"/>
      <c r="Z382" s="164"/>
      <c r="AA382" s="164"/>
      <c r="AC382" s="164"/>
    </row>
    <row r="383" spans="25:29">
      <c r="Y383" s="164"/>
      <c r="Z383" s="164"/>
      <c r="AA383" s="164"/>
      <c r="AC383" s="164"/>
    </row>
    <row r="384" spans="25:29">
      <c r="Y384" s="164"/>
      <c r="Z384" s="164"/>
      <c r="AA384" s="164"/>
      <c r="AC384" s="164"/>
    </row>
    <row r="385" spans="25:29">
      <c r="Y385" s="164"/>
      <c r="Z385" s="164"/>
      <c r="AA385" s="164"/>
      <c r="AC385" s="164"/>
    </row>
    <row r="386" spans="25:29">
      <c r="Y386" s="164"/>
      <c r="Z386" s="164"/>
      <c r="AA386" s="164"/>
      <c r="AC386" s="164"/>
    </row>
    <row r="387" spans="25:29">
      <c r="Y387" s="164"/>
      <c r="Z387" s="164"/>
      <c r="AA387" s="164"/>
      <c r="AC387" s="164"/>
    </row>
    <row r="388" spans="25:29">
      <c r="Y388" s="164"/>
      <c r="Z388" s="164"/>
      <c r="AA388" s="164"/>
      <c r="AC388" s="164"/>
    </row>
    <row r="389" spans="25:29">
      <c r="Y389" s="164"/>
      <c r="Z389" s="164"/>
      <c r="AA389" s="164"/>
      <c r="AC389" s="164"/>
    </row>
    <row r="390" spans="25:29">
      <c r="Y390" s="164"/>
      <c r="Z390" s="164"/>
      <c r="AA390" s="164"/>
      <c r="AC390" s="164"/>
    </row>
    <row r="391" spans="25:29">
      <c r="Y391" s="164"/>
      <c r="Z391" s="164"/>
      <c r="AA391" s="164"/>
      <c r="AC391" s="164"/>
    </row>
    <row r="392" spans="25:29">
      <c r="Y392" s="164"/>
      <c r="Z392" s="164"/>
      <c r="AA392" s="164"/>
      <c r="AC392" s="164"/>
    </row>
    <row r="393" spans="25:29">
      <c r="Y393" s="164"/>
      <c r="Z393" s="164"/>
      <c r="AA393" s="164"/>
      <c r="AC393" s="164"/>
    </row>
    <row r="394" spans="25:29">
      <c r="Y394" s="164"/>
      <c r="Z394" s="164"/>
      <c r="AA394" s="164"/>
      <c r="AC394" s="164"/>
    </row>
    <row r="395" spans="25:29">
      <c r="Y395" s="164"/>
      <c r="Z395" s="164"/>
      <c r="AA395" s="164"/>
      <c r="AC395" s="164"/>
    </row>
    <row r="396" spans="25:29">
      <c r="Y396" s="164"/>
      <c r="Z396" s="164"/>
      <c r="AA396" s="164"/>
      <c r="AC396" s="164"/>
    </row>
    <row r="397" spans="25:29">
      <c r="Y397" s="164"/>
      <c r="Z397" s="164"/>
      <c r="AA397" s="164"/>
      <c r="AC397" s="164"/>
    </row>
    <row r="398" spans="25:29">
      <c r="Y398" s="164"/>
      <c r="Z398" s="164"/>
      <c r="AA398" s="164"/>
      <c r="AC398" s="164"/>
    </row>
    <row r="399" spans="25:29">
      <c r="Y399" s="164"/>
      <c r="Z399" s="164"/>
      <c r="AA399" s="164"/>
      <c r="AC399" s="164"/>
    </row>
    <row r="400" spans="25:29">
      <c r="Y400" s="164"/>
      <c r="Z400" s="164"/>
      <c r="AA400" s="164"/>
      <c r="AC400" s="164"/>
    </row>
    <row r="401" spans="25:29">
      <c r="Y401" s="164"/>
      <c r="Z401" s="164"/>
      <c r="AA401" s="164"/>
      <c r="AC401" s="164"/>
    </row>
    <row r="402" spans="25:29">
      <c r="Y402" s="164"/>
      <c r="Z402" s="164"/>
      <c r="AA402" s="164"/>
      <c r="AC402" s="164"/>
    </row>
    <row r="403" spans="25:29">
      <c r="Y403" s="164"/>
      <c r="Z403" s="164"/>
      <c r="AA403" s="164"/>
      <c r="AC403" s="164"/>
    </row>
    <row r="404" spans="25:29">
      <c r="Y404" s="164"/>
      <c r="Z404" s="164"/>
      <c r="AA404" s="164"/>
      <c r="AC404" s="164"/>
    </row>
    <row r="405" spans="25:29">
      <c r="Y405" s="164"/>
      <c r="Z405" s="164"/>
      <c r="AA405" s="164"/>
      <c r="AC405" s="164"/>
    </row>
    <row r="406" spans="25:29">
      <c r="Y406" s="164"/>
      <c r="Z406" s="164"/>
      <c r="AA406" s="164"/>
      <c r="AC406" s="164"/>
    </row>
    <row r="407" spans="25:29">
      <c r="Y407" s="164"/>
      <c r="Z407" s="164"/>
      <c r="AA407" s="164"/>
      <c r="AC407" s="164"/>
    </row>
    <row r="408" spans="25:29">
      <c r="Y408" s="164"/>
      <c r="Z408" s="164"/>
      <c r="AA408" s="164"/>
      <c r="AC408" s="164"/>
    </row>
    <row r="409" spans="25:29">
      <c r="Y409" s="164"/>
      <c r="Z409" s="164"/>
      <c r="AA409" s="164"/>
      <c r="AC409" s="164"/>
    </row>
    <row r="410" spans="25:29">
      <c r="Y410" s="164"/>
      <c r="Z410" s="164"/>
      <c r="AA410" s="164"/>
      <c r="AC410" s="164"/>
    </row>
    <row r="411" spans="25:29">
      <c r="Y411" s="164"/>
      <c r="Z411" s="164"/>
      <c r="AA411" s="164"/>
      <c r="AC411" s="164"/>
    </row>
    <row r="412" spans="25:29">
      <c r="Y412" s="164"/>
      <c r="Z412" s="164"/>
      <c r="AA412" s="164"/>
      <c r="AC412" s="164"/>
    </row>
    <row r="413" spans="25:29">
      <c r="Y413" s="164"/>
      <c r="Z413" s="164"/>
      <c r="AA413" s="164"/>
      <c r="AC413" s="164"/>
    </row>
    <row r="414" spans="25:29">
      <c r="Y414" s="164"/>
      <c r="Z414" s="164"/>
      <c r="AA414" s="164"/>
      <c r="AC414" s="164"/>
    </row>
    <row r="415" spans="25:29">
      <c r="Y415" s="164"/>
      <c r="Z415" s="164"/>
      <c r="AA415" s="164"/>
      <c r="AC415" s="164"/>
    </row>
    <row r="416" spans="25:29">
      <c r="Y416" s="164"/>
      <c r="Z416" s="164"/>
      <c r="AA416" s="164"/>
      <c r="AC416" s="164"/>
    </row>
    <row r="417" spans="25:29">
      <c r="Y417" s="164"/>
      <c r="Z417" s="164"/>
      <c r="AA417" s="164"/>
    </row>
    <row r="418" spans="25:29">
      <c r="Y418" s="164"/>
      <c r="Z418" s="164"/>
      <c r="AA418" s="164"/>
      <c r="AC418" s="164"/>
    </row>
    <row r="419" spans="25:29">
      <c r="Y419" s="164"/>
      <c r="Z419" s="164"/>
      <c r="AA419" s="164"/>
      <c r="AC419" s="164"/>
    </row>
    <row r="420" spans="25:29">
      <c r="Y420" s="164"/>
      <c r="Z420" s="164"/>
      <c r="AA420" s="164"/>
      <c r="AC420" s="164"/>
    </row>
    <row r="421" spans="25:29">
      <c r="Y421" s="164"/>
      <c r="Z421" s="164"/>
      <c r="AA421" s="164"/>
    </row>
    <row r="422" spans="25:29">
      <c r="Y422" s="164"/>
      <c r="Z422" s="164"/>
      <c r="AA422" s="164"/>
    </row>
    <row r="423" spans="25:29">
      <c r="Y423" s="164"/>
      <c r="Z423" s="164"/>
      <c r="AA423" s="164"/>
    </row>
    <row r="424" spans="25:29">
      <c r="Y424" s="164"/>
      <c r="Z424" s="164"/>
      <c r="AA424" s="164"/>
      <c r="AC424" s="164"/>
    </row>
    <row r="425" spans="25:29">
      <c r="Y425" s="164"/>
      <c r="Z425" s="164"/>
      <c r="AA425" s="164"/>
    </row>
    <row r="426" spans="25:29">
      <c r="Y426" s="164"/>
      <c r="Z426" s="164"/>
      <c r="AA426" s="164"/>
      <c r="AC426" s="164"/>
    </row>
    <row r="427" spans="25:29">
      <c r="Y427" s="164"/>
      <c r="Z427" s="164"/>
      <c r="AA427" s="164"/>
      <c r="AC427" s="164"/>
    </row>
    <row r="428" spans="25:29">
      <c r="Y428" s="164"/>
      <c r="Z428" s="164"/>
      <c r="AA428" s="164"/>
      <c r="AC428" s="164"/>
    </row>
    <row r="429" spans="25:29">
      <c r="Y429" s="164"/>
      <c r="Z429" s="164"/>
      <c r="AA429" s="164"/>
      <c r="AC429" s="164"/>
    </row>
    <row r="430" spans="25:29">
      <c r="Y430" s="164"/>
      <c r="Z430" s="164"/>
      <c r="AA430" s="164"/>
      <c r="AC430" s="164"/>
    </row>
    <row r="431" spans="25:29">
      <c r="Y431" s="164"/>
      <c r="Z431" s="164"/>
      <c r="AA431" s="164"/>
      <c r="AC431" s="164"/>
    </row>
    <row r="432" spans="25:29">
      <c r="Y432" s="164"/>
      <c r="Z432" s="164"/>
      <c r="AA432" s="164"/>
      <c r="AC432" s="164"/>
    </row>
    <row r="433" spans="25:29">
      <c r="Y433" s="164"/>
      <c r="Z433" s="164"/>
      <c r="AA433" s="164"/>
      <c r="AC433" s="164"/>
    </row>
    <row r="434" spans="25:29">
      <c r="Y434" s="164"/>
      <c r="Z434" s="164"/>
      <c r="AA434" s="164"/>
      <c r="AC434" s="164"/>
    </row>
    <row r="435" spans="25:29">
      <c r="Y435" s="164"/>
      <c r="Z435" s="164"/>
      <c r="AA435" s="164"/>
      <c r="AC435" s="164"/>
    </row>
    <row r="436" spans="25:29">
      <c r="Y436" s="164"/>
      <c r="Z436" s="164"/>
      <c r="AA436" s="164"/>
      <c r="AC436" s="164"/>
    </row>
    <row r="437" spans="25:29">
      <c r="Y437" s="164"/>
      <c r="Z437" s="164"/>
      <c r="AA437" s="164"/>
      <c r="AC437" s="164"/>
    </row>
    <row r="438" spans="25:29">
      <c r="Y438" s="164"/>
      <c r="Z438" s="164"/>
      <c r="AA438" s="164"/>
      <c r="AC438" s="164"/>
    </row>
    <row r="439" spans="25:29">
      <c r="Y439" s="164"/>
      <c r="Z439" s="164"/>
      <c r="AA439" s="164"/>
      <c r="AC439" s="164"/>
    </row>
    <row r="440" spans="25:29">
      <c r="Y440" s="164"/>
      <c r="Z440" s="164"/>
      <c r="AA440" s="164"/>
      <c r="AC440" s="164"/>
    </row>
    <row r="441" spans="25:29">
      <c r="Y441" s="164"/>
      <c r="Z441" s="164"/>
      <c r="AA441" s="164"/>
      <c r="AC441" s="164"/>
    </row>
    <row r="442" spans="25:29">
      <c r="Y442" s="164"/>
      <c r="Z442" s="164"/>
      <c r="AA442" s="164"/>
      <c r="AC442" s="164"/>
    </row>
    <row r="443" spans="25:29">
      <c r="Y443" s="164"/>
      <c r="Z443" s="164"/>
      <c r="AA443" s="164"/>
      <c r="AC443" s="164"/>
    </row>
    <row r="444" spans="25:29">
      <c r="Y444" s="164"/>
      <c r="Z444" s="164"/>
      <c r="AA444" s="164"/>
      <c r="AC444" s="164"/>
    </row>
    <row r="445" spans="25:29">
      <c r="Y445" s="164"/>
      <c r="Z445" s="164"/>
      <c r="AA445" s="164"/>
      <c r="AC445" s="164"/>
    </row>
    <row r="446" spans="25:29">
      <c r="Y446" s="164"/>
      <c r="Z446" s="164"/>
      <c r="AA446" s="164"/>
      <c r="AC446" s="164"/>
    </row>
    <row r="447" spans="25:29">
      <c r="Y447" s="164"/>
      <c r="Z447" s="164"/>
      <c r="AA447" s="164"/>
      <c r="AC447" s="164"/>
    </row>
    <row r="448" spans="25:29">
      <c r="Y448" s="164"/>
      <c r="Z448" s="164"/>
      <c r="AA448" s="164"/>
      <c r="AC448" s="164"/>
    </row>
    <row r="449" spans="25:29">
      <c r="Y449" s="164"/>
      <c r="Z449" s="164"/>
      <c r="AA449" s="164"/>
      <c r="AC449" s="164"/>
    </row>
    <row r="450" spans="25:29">
      <c r="Y450" s="164"/>
      <c r="Z450" s="164"/>
      <c r="AA450" s="164"/>
      <c r="AC450" s="164"/>
    </row>
    <row r="451" spans="25:29">
      <c r="Y451" s="164"/>
      <c r="Z451" s="164"/>
      <c r="AA451" s="164"/>
      <c r="AC451" s="164"/>
    </row>
    <row r="452" spans="25:29">
      <c r="Y452" s="164"/>
      <c r="Z452" s="164"/>
      <c r="AA452" s="164"/>
      <c r="AC452" s="164"/>
    </row>
    <row r="453" spans="25:29">
      <c r="Y453" s="164"/>
      <c r="Z453" s="164"/>
      <c r="AA453" s="164"/>
      <c r="AC453" s="164"/>
    </row>
    <row r="454" spans="25:29">
      <c r="Y454" s="164"/>
      <c r="Z454" s="164"/>
      <c r="AA454" s="164"/>
      <c r="AC454" s="164"/>
    </row>
    <row r="455" spans="25:29">
      <c r="Y455" s="164"/>
      <c r="Z455" s="164"/>
      <c r="AA455" s="164"/>
      <c r="AC455" s="164"/>
    </row>
    <row r="456" spans="25:29">
      <c r="Y456" s="164"/>
      <c r="Z456" s="164"/>
      <c r="AA456" s="164"/>
      <c r="AC456" s="164"/>
    </row>
    <row r="457" spans="25:29">
      <c r="Y457" s="164"/>
      <c r="Z457" s="164"/>
      <c r="AA457" s="164"/>
      <c r="AC457" s="164"/>
    </row>
    <row r="458" spans="25:29">
      <c r="Y458" s="164"/>
      <c r="Z458" s="164"/>
      <c r="AA458" s="164"/>
      <c r="AC458" s="164"/>
    </row>
    <row r="459" spans="25:29">
      <c r="Y459" s="164"/>
      <c r="Z459" s="164"/>
      <c r="AA459" s="164"/>
      <c r="AC459" s="164"/>
    </row>
    <row r="460" spans="25:29">
      <c r="Y460" s="164"/>
      <c r="Z460" s="164"/>
      <c r="AA460" s="164"/>
      <c r="AC460" s="164"/>
    </row>
    <row r="461" spans="25:29">
      <c r="Y461" s="164"/>
      <c r="Z461" s="164"/>
      <c r="AA461" s="164"/>
      <c r="AC461" s="164"/>
    </row>
    <row r="462" spans="25:29">
      <c r="Y462" s="164"/>
      <c r="Z462" s="164"/>
      <c r="AA462" s="164"/>
      <c r="AC462" s="164"/>
    </row>
    <row r="463" spans="25:29">
      <c r="Y463" s="164"/>
      <c r="Z463" s="164"/>
      <c r="AA463" s="164"/>
      <c r="AC463" s="164"/>
    </row>
    <row r="464" spans="25:29">
      <c r="Y464" s="164"/>
      <c r="Z464" s="164"/>
      <c r="AA464" s="164"/>
      <c r="AC464" s="164"/>
    </row>
    <row r="465" spans="25:29">
      <c r="Y465" s="164"/>
      <c r="Z465" s="164"/>
      <c r="AA465" s="164"/>
      <c r="AC465" s="164"/>
    </row>
    <row r="466" spans="25:29">
      <c r="Y466" s="164"/>
      <c r="Z466" s="164"/>
      <c r="AA466" s="164"/>
      <c r="AC466" s="164"/>
    </row>
    <row r="467" spans="25:29">
      <c r="Y467" s="164"/>
      <c r="Z467" s="164"/>
      <c r="AA467" s="164"/>
      <c r="AC467" s="164"/>
    </row>
    <row r="468" spans="25:29">
      <c r="Y468" s="164"/>
      <c r="Z468" s="164"/>
      <c r="AA468" s="164"/>
      <c r="AC468" s="164"/>
    </row>
    <row r="469" spans="25:29">
      <c r="Y469" s="164"/>
      <c r="Z469" s="164"/>
      <c r="AA469" s="164"/>
      <c r="AC469" s="164"/>
    </row>
    <row r="470" spans="25:29">
      <c r="Y470" s="164"/>
      <c r="Z470" s="164"/>
      <c r="AA470" s="164"/>
      <c r="AC470" s="164"/>
    </row>
    <row r="471" spans="25:29">
      <c r="Y471" s="164"/>
      <c r="Z471" s="164"/>
      <c r="AA471" s="164"/>
      <c r="AC471" s="164"/>
    </row>
    <row r="472" spans="25:29">
      <c r="Y472" s="164"/>
      <c r="Z472" s="164"/>
      <c r="AA472" s="164"/>
      <c r="AC472" s="164"/>
    </row>
    <row r="473" spans="25:29">
      <c r="Y473" s="164"/>
      <c r="Z473" s="164"/>
      <c r="AA473" s="164"/>
      <c r="AC473" s="164"/>
    </row>
    <row r="474" spans="25:29">
      <c r="Y474" s="164"/>
      <c r="Z474" s="164"/>
      <c r="AA474" s="164"/>
      <c r="AC474" s="164"/>
    </row>
    <row r="475" spans="25:29">
      <c r="Y475" s="164"/>
      <c r="Z475" s="164"/>
      <c r="AA475" s="164"/>
      <c r="AC475" s="164"/>
    </row>
    <row r="476" spans="25:29">
      <c r="Y476" s="164"/>
      <c r="Z476" s="164"/>
      <c r="AA476" s="164"/>
      <c r="AC476" s="164"/>
    </row>
    <row r="477" spans="25:29">
      <c r="Y477" s="164"/>
      <c r="Z477" s="164"/>
      <c r="AA477" s="164"/>
    </row>
    <row r="478" spans="25:29">
      <c r="Y478" s="164"/>
      <c r="Z478" s="164"/>
      <c r="AA478" s="164"/>
      <c r="AC478" s="164"/>
    </row>
    <row r="479" spans="25:29">
      <c r="Y479" s="164"/>
      <c r="Z479" s="164"/>
      <c r="AA479" s="164"/>
      <c r="AC479" s="164"/>
    </row>
    <row r="480" spans="25:29">
      <c r="Y480" s="164"/>
      <c r="Z480" s="164"/>
      <c r="AA480" s="164"/>
    </row>
    <row r="481" spans="25:53">
      <c r="Y481" s="164"/>
      <c r="Z481" s="164"/>
      <c r="AA481" s="164"/>
      <c r="AC481" s="164"/>
    </row>
    <row r="482" spans="25:53">
      <c r="Y482" s="164"/>
      <c r="Z482" s="164"/>
      <c r="AA482" s="164"/>
      <c r="AC482" s="164"/>
    </row>
    <row r="483" spans="25:53">
      <c r="Y483" s="164"/>
      <c r="Z483" s="164"/>
      <c r="AA483" s="164"/>
      <c r="AC483" s="164"/>
    </row>
    <row r="484" spans="25:53">
      <c r="Y484" s="164"/>
      <c r="Z484" s="164"/>
      <c r="AA484" s="164"/>
      <c r="AC484" s="164"/>
    </row>
    <row r="485" spans="25:53">
      <c r="Y485" s="164"/>
      <c r="Z485" s="164"/>
      <c r="AA485" s="164"/>
      <c r="AC485" s="164"/>
    </row>
    <row r="486" spans="25:53">
      <c r="Y486" s="164"/>
      <c r="Z486" s="164"/>
      <c r="AA486" s="164"/>
      <c r="AC486" s="164"/>
    </row>
    <row r="487" spans="25:53">
      <c r="Y487" s="164"/>
      <c r="Z487" s="164"/>
      <c r="AA487" s="164"/>
      <c r="AC487" s="164"/>
    </row>
    <row r="488" spans="25:53">
      <c r="Y488" s="164"/>
      <c r="Z488" s="164"/>
      <c r="AA488" s="164"/>
      <c r="AC488" s="164"/>
    </row>
    <row r="489" spans="25:53">
      <c r="Y489" s="164"/>
      <c r="Z489" s="164"/>
      <c r="AA489" s="164"/>
      <c r="AC489" s="164"/>
    </row>
    <row r="490" spans="25:53">
      <c r="Y490" s="164"/>
      <c r="Z490" s="164"/>
      <c r="AA490" s="164"/>
      <c r="AC490" s="164"/>
    </row>
    <row r="491" spans="25:53">
      <c r="Y491" s="164"/>
      <c r="Z491" s="164"/>
      <c r="AA491" s="164"/>
      <c r="AC491" s="164"/>
    </row>
    <row r="492" spans="25:53">
      <c r="Y492" s="164"/>
      <c r="Z492" s="164"/>
      <c r="AA492" s="164"/>
      <c r="AC492" s="164"/>
    </row>
    <row r="493" spans="25:53">
      <c r="Y493" s="164"/>
      <c r="Z493" s="164"/>
      <c r="AA493" s="164"/>
      <c r="AC493" s="164"/>
    </row>
    <row r="494" spans="25:53">
      <c r="Y494" s="164"/>
      <c r="Z494" s="164"/>
      <c r="AA494" s="164"/>
      <c r="AC494" s="164"/>
    </row>
    <row r="495" spans="25:53">
      <c r="Y495" s="164"/>
      <c r="Z495" s="164"/>
      <c r="AA495" s="164"/>
      <c r="AC495" s="164"/>
    </row>
    <row r="496" spans="25:53">
      <c r="Y496" s="164"/>
      <c r="Z496" s="164"/>
      <c r="AA496" s="164"/>
      <c r="AC496" s="164"/>
      <c r="AU496" s="162" t="s">
        <v>182</v>
      </c>
      <c r="AV496" s="162">
        <v>875</v>
      </c>
      <c r="AW496" s="162" t="s">
        <v>138</v>
      </c>
      <c r="AY496" s="162" t="s">
        <v>129</v>
      </c>
      <c r="AZ496" s="162">
        <v>6703.88</v>
      </c>
      <c r="BA496" s="162">
        <v>6703.88</v>
      </c>
    </row>
    <row r="497" spans="25:53">
      <c r="Y497" s="164"/>
      <c r="Z497" s="164"/>
      <c r="AA497" s="164"/>
      <c r="AC497" s="164"/>
      <c r="AU497" s="162" t="s">
        <v>180</v>
      </c>
      <c r="AV497" s="162">
        <v>875</v>
      </c>
      <c r="AW497" s="162" t="s">
        <v>138</v>
      </c>
      <c r="AY497" s="162" t="s">
        <v>129</v>
      </c>
      <c r="AZ497" s="162">
        <v>4020.19</v>
      </c>
      <c r="BA497" s="162">
        <v>4020.19</v>
      </c>
    </row>
    <row r="498" spans="25:53">
      <c r="Y498" s="164"/>
      <c r="Z498" s="164"/>
      <c r="AA498" s="164"/>
      <c r="AC498" s="164"/>
      <c r="AU498" s="162" t="s">
        <v>179</v>
      </c>
      <c r="AV498" s="162">
        <v>875</v>
      </c>
      <c r="AW498" s="162" t="s">
        <v>138</v>
      </c>
      <c r="AY498" s="162" t="s">
        <v>129</v>
      </c>
      <c r="AZ498" s="162">
        <v>548.21</v>
      </c>
      <c r="BA498" s="162">
        <v>548.21</v>
      </c>
    </row>
    <row r="499" spans="25:53">
      <c r="Y499" s="164"/>
      <c r="Z499" s="164"/>
      <c r="AA499" s="164"/>
      <c r="AU499" s="162" t="s">
        <v>145</v>
      </c>
      <c r="AV499" s="162">
        <v>875</v>
      </c>
      <c r="AW499" s="162" t="s">
        <v>138</v>
      </c>
      <c r="AY499" s="162" t="s">
        <v>129</v>
      </c>
      <c r="AZ499" s="162">
        <v>31218.75</v>
      </c>
      <c r="BA499" s="162">
        <v>31218.75</v>
      </c>
    </row>
    <row r="500" spans="25:53">
      <c r="Y500" s="164"/>
      <c r="Z500" s="164"/>
      <c r="AA500" s="164"/>
      <c r="AC500" s="164"/>
      <c r="AU500" s="162" t="s">
        <v>165</v>
      </c>
      <c r="AV500" s="162">
        <v>875</v>
      </c>
      <c r="AW500" s="162" t="s">
        <v>138</v>
      </c>
      <c r="AY500" s="162" t="s">
        <v>129</v>
      </c>
      <c r="AZ500" s="162">
        <v>1149.9100000000001</v>
      </c>
      <c r="BA500" s="162">
        <v>1149.9100000000001</v>
      </c>
    </row>
    <row r="501" spans="25:53">
      <c r="Y501" s="164"/>
      <c r="Z501" s="164"/>
      <c r="AA501" s="164"/>
      <c r="AC501" s="164"/>
      <c r="AU501" s="162" t="s">
        <v>195</v>
      </c>
      <c r="AV501" s="162">
        <v>875</v>
      </c>
      <c r="AW501" s="162" t="s">
        <v>138</v>
      </c>
      <c r="AY501" s="162" t="s">
        <v>129</v>
      </c>
      <c r="AZ501" s="162">
        <v>10614.37</v>
      </c>
      <c r="BA501" s="162">
        <v>10614.37</v>
      </c>
    </row>
    <row r="502" spans="25:53">
      <c r="Y502" s="164"/>
      <c r="Z502" s="164"/>
      <c r="AA502" s="164"/>
      <c r="AC502" s="164"/>
      <c r="AU502" s="162" t="s">
        <v>191</v>
      </c>
      <c r="AV502" s="162">
        <v>875</v>
      </c>
      <c r="AW502" s="162" t="s">
        <v>138</v>
      </c>
      <c r="AY502" s="162" t="s">
        <v>129</v>
      </c>
      <c r="AZ502" s="162">
        <v>10518.75</v>
      </c>
      <c r="BA502" s="162">
        <v>10518.75</v>
      </c>
    </row>
    <row r="503" spans="25:53">
      <c r="Y503" s="164"/>
      <c r="Z503" s="164"/>
      <c r="AA503" s="164"/>
      <c r="AC503" s="164"/>
      <c r="AU503" s="162" t="s">
        <v>193</v>
      </c>
      <c r="AV503" s="162">
        <v>875</v>
      </c>
      <c r="AW503" s="162" t="s">
        <v>138</v>
      </c>
      <c r="AY503" s="162" t="s">
        <v>129</v>
      </c>
      <c r="AZ503" s="162">
        <v>10040.620000000001</v>
      </c>
      <c r="BA503" s="162">
        <v>10040.620000000001</v>
      </c>
    </row>
    <row r="504" spans="25:53">
      <c r="Y504" s="164"/>
      <c r="Z504" s="164"/>
      <c r="AA504" s="164"/>
      <c r="AC504" s="164"/>
      <c r="AU504" s="162" t="s">
        <v>155</v>
      </c>
      <c r="AV504" s="162">
        <v>875</v>
      </c>
      <c r="AW504" s="162" t="s">
        <v>138</v>
      </c>
      <c r="AY504" s="162" t="s">
        <v>129</v>
      </c>
      <c r="AZ504" s="162">
        <v>16098.75</v>
      </c>
      <c r="BA504" s="162">
        <v>16098.75</v>
      </c>
    </row>
    <row r="505" spans="25:53">
      <c r="Y505" s="164"/>
      <c r="Z505" s="164"/>
      <c r="AA505" s="164"/>
      <c r="AC505" s="164"/>
      <c r="AU505" s="162" t="s">
        <v>158</v>
      </c>
      <c r="AV505" s="162">
        <v>875</v>
      </c>
      <c r="AW505" s="162" t="s">
        <v>138</v>
      </c>
      <c r="AY505" s="162" t="s">
        <v>129</v>
      </c>
      <c r="AZ505" s="162">
        <v>18044.349999999999</v>
      </c>
      <c r="BA505" s="162">
        <v>18044.349999999999</v>
      </c>
    </row>
    <row r="506" spans="25:53">
      <c r="Y506" s="164"/>
      <c r="Z506" s="164"/>
      <c r="AA506" s="164"/>
      <c r="AC506" s="164"/>
      <c r="AU506" s="162" t="s">
        <v>166</v>
      </c>
      <c r="AV506" s="162">
        <v>875</v>
      </c>
      <c r="AW506" s="162" t="s">
        <v>138</v>
      </c>
      <c r="AY506" s="162" t="s">
        <v>129</v>
      </c>
      <c r="AZ506" s="162">
        <v>14765.62</v>
      </c>
      <c r="BA506" s="162">
        <v>14765.62</v>
      </c>
    </row>
    <row r="507" spans="25:53">
      <c r="Y507" s="164"/>
      <c r="Z507" s="164"/>
      <c r="AA507" s="164"/>
      <c r="AC507" s="164"/>
      <c r="AU507" s="162" t="s">
        <v>212</v>
      </c>
      <c r="AV507" s="162">
        <v>875</v>
      </c>
      <c r="AW507" s="162" t="s">
        <v>138</v>
      </c>
      <c r="AY507" s="162" t="s">
        <v>129</v>
      </c>
      <c r="AZ507" s="162">
        <v>788.16</v>
      </c>
      <c r="BA507" s="162">
        <v>788.16</v>
      </c>
    </row>
    <row r="508" spans="25:53">
      <c r="Y508" s="164"/>
      <c r="Z508" s="164"/>
      <c r="AA508" s="164"/>
      <c r="AC508" s="164"/>
      <c r="AU508" s="162" t="s">
        <v>215</v>
      </c>
      <c r="AV508" s="162">
        <v>875</v>
      </c>
      <c r="AW508" s="162" t="s">
        <v>138</v>
      </c>
      <c r="AY508" s="162" t="s">
        <v>129</v>
      </c>
      <c r="AZ508" s="162">
        <v>8280</v>
      </c>
      <c r="BA508" s="162">
        <v>8280</v>
      </c>
    </row>
    <row r="509" spans="25:53">
      <c r="Y509" s="164"/>
      <c r="Z509" s="164"/>
      <c r="AA509" s="164"/>
      <c r="AC509" s="164"/>
      <c r="AU509" s="162" t="s">
        <v>217</v>
      </c>
      <c r="AV509" s="162">
        <v>875</v>
      </c>
      <c r="AW509" s="162" t="s">
        <v>138</v>
      </c>
      <c r="AY509" s="162" t="s">
        <v>129</v>
      </c>
      <c r="AZ509" s="162">
        <v>457.68</v>
      </c>
      <c r="BA509" s="162">
        <v>457.68</v>
      </c>
    </row>
    <row r="510" spans="25:53">
      <c r="Y510" s="164"/>
      <c r="Z510" s="164"/>
      <c r="AA510" s="164"/>
      <c r="AC510" s="164"/>
      <c r="AU510" s="162" t="s">
        <v>167</v>
      </c>
      <c r="AV510" s="162">
        <v>875</v>
      </c>
      <c r="AW510" s="162" t="s">
        <v>138</v>
      </c>
      <c r="AY510" s="162" t="s">
        <v>129</v>
      </c>
      <c r="AZ510" s="162">
        <v>4098.08</v>
      </c>
      <c r="BA510" s="162">
        <v>4098.08</v>
      </c>
    </row>
    <row r="511" spans="25:53">
      <c r="Y511" s="164"/>
      <c r="Z511" s="164"/>
      <c r="AA511" s="164"/>
      <c r="AC511" s="164"/>
      <c r="AU511" s="162" t="s">
        <v>168</v>
      </c>
      <c r="AV511" s="162">
        <v>875</v>
      </c>
      <c r="AW511" s="162" t="s">
        <v>138</v>
      </c>
      <c r="AY511" s="162" t="s">
        <v>129</v>
      </c>
      <c r="AZ511" s="162">
        <v>5479.55</v>
      </c>
      <c r="BA511" s="162">
        <v>5479.55</v>
      </c>
    </row>
    <row r="512" spans="25:53">
      <c r="Y512" s="164"/>
      <c r="Z512" s="164"/>
      <c r="AA512" s="164"/>
      <c r="AC512" s="164"/>
      <c r="AU512" s="162" t="s">
        <v>221</v>
      </c>
      <c r="AV512" s="162">
        <v>875</v>
      </c>
      <c r="AW512" s="162" t="s">
        <v>138</v>
      </c>
      <c r="AY512" s="162" t="s">
        <v>129</v>
      </c>
      <c r="AZ512" s="162">
        <v>109283.94</v>
      </c>
      <c r="BA512" s="162">
        <v>109283.94</v>
      </c>
    </row>
    <row r="513" spans="1:53">
      <c r="Y513" s="164"/>
      <c r="Z513" s="164"/>
      <c r="AA513" s="164"/>
      <c r="AC513" s="164"/>
      <c r="AU513" s="162" t="s">
        <v>223</v>
      </c>
      <c r="AV513" s="162">
        <v>875</v>
      </c>
      <c r="AW513" s="162" t="s">
        <v>138</v>
      </c>
      <c r="AY513" s="162" t="s">
        <v>129</v>
      </c>
      <c r="AZ513" s="162">
        <v>19306.62</v>
      </c>
      <c r="BA513" s="162">
        <v>19306.62</v>
      </c>
    </row>
    <row r="514" spans="1:53">
      <c r="Y514" s="164"/>
      <c r="Z514" s="164"/>
      <c r="AA514" s="164"/>
      <c r="AC514" s="164"/>
      <c r="AU514" s="162" t="s">
        <v>196</v>
      </c>
      <c r="AV514" s="162">
        <v>875</v>
      </c>
      <c r="AW514" s="162" t="s">
        <v>138</v>
      </c>
      <c r="AY514" s="162" t="s">
        <v>129</v>
      </c>
      <c r="AZ514" s="162">
        <v>27888.52</v>
      </c>
      <c r="BA514" s="162">
        <v>27888.52</v>
      </c>
    </row>
    <row r="515" spans="1:53">
      <c r="Y515" s="164"/>
      <c r="Z515" s="164"/>
      <c r="AA515" s="164"/>
      <c r="AC515" s="164"/>
      <c r="AU515" s="162" t="s">
        <v>226</v>
      </c>
      <c r="AV515" s="162">
        <v>875</v>
      </c>
      <c r="AW515" s="162" t="s">
        <v>138</v>
      </c>
      <c r="AY515" s="162" t="s">
        <v>129</v>
      </c>
      <c r="AZ515" s="162">
        <v>1886.52</v>
      </c>
      <c r="BA515" s="162">
        <v>1886.52</v>
      </c>
    </row>
    <row r="516" spans="1:53">
      <c r="Y516" s="164"/>
      <c r="Z516" s="164"/>
      <c r="AA516" s="164"/>
      <c r="AC516" s="164"/>
      <c r="AU516" s="162" t="s">
        <v>162</v>
      </c>
      <c r="AV516" s="162">
        <v>875</v>
      </c>
      <c r="AW516" s="162" t="s">
        <v>138</v>
      </c>
      <c r="AY516" s="162" t="s">
        <v>129</v>
      </c>
      <c r="AZ516" s="162">
        <v>21778.12</v>
      </c>
      <c r="BA516" s="162">
        <v>21778.12</v>
      </c>
    </row>
    <row r="517" spans="1:53">
      <c r="Y517" s="164"/>
      <c r="Z517" s="164"/>
      <c r="AA517" s="164"/>
      <c r="AC517" s="164"/>
      <c r="AU517" s="162" t="s">
        <v>161</v>
      </c>
      <c r="AV517" s="162">
        <v>875</v>
      </c>
      <c r="AW517" s="162" t="s">
        <v>138</v>
      </c>
      <c r="AY517" s="162" t="s">
        <v>129</v>
      </c>
      <c r="AZ517" s="162">
        <v>28758.29</v>
      </c>
      <c r="BA517" s="162">
        <v>28758.29</v>
      </c>
    </row>
    <row r="518" spans="1:53">
      <c r="Y518" s="164"/>
      <c r="Z518" s="164"/>
      <c r="AA518" s="164"/>
      <c r="AC518" s="164"/>
      <c r="AU518" s="162" t="s">
        <v>188</v>
      </c>
      <c r="AV518" s="162">
        <v>875</v>
      </c>
      <c r="AW518" s="162" t="s">
        <v>138</v>
      </c>
      <c r="AY518" s="162" t="s">
        <v>129</v>
      </c>
      <c r="AZ518" s="162">
        <v>914.17</v>
      </c>
      <c r="BA518" s="162">
        <v>914.17</v>
      </c>
    </row>
    <row r="519" spans="1:53">
      <c r="Y519" s="164"/>
      <c r="Z519" s="164"/>
      <c r="AA519" s="164"/>
      <c r="AC519" s="164"/>
      <c r="AU519" s="162" t="s">
        <v>164</v>
      </c>
      <c r="AV519" s="162">
        <v>875</v>
      </c>
      <c r="AW519" s="162" t="s">
        <v>138</v>
      </c>
      <c r="AY519" s="162" t="s">
        <v>129</v>
      </c>
      <c r="AZ519" s="162">
        <v>19.53</v>
      </c>
      <c r="BA519" s="162">
        <v>19.53</v>
      </c>
    </row>
    <row r="520" spans="1:53">
      <c r="Y520" s="164"/>
      <c r="Z520" s="164"/>
      <c r="AA520" s="164"/>
      <c r="AC520" s="164"/>
      <c r="AU520" s="162" t="s">
        <v>181</v>
      </c>
      <c r="AV520" s="162">
        <v>875</v>
      </c>
      <c r="AW520" s="162" t="s">
        <v>138</v>
      </c>
      <c r="AY520" s="162" t="s">
        <v>129</v>
      </c>
      <c r="AZ520" s="162">
        <v>4374</v>
      </c>
      <c r="BA520" s="162">
        <v>4374</v>
      </c>
    </row>
    <row r="521" spans="1:53">
      <c r="Y521" s="164"/>
      <c r="Z521" s="164"/>
      <c r="AA521" s="164"/>
      <c r="AC521" s="164"/>
      <c r="AU521" s="162" t="s">
        <v>199</v>
      </c>
      <c r="AV521" s="162">
        <v>875</v>
      </c>
      <c r="AW521" s="162" t="s">
        <v>138</v>
      </c>
      <c r="AY521" s="162" t="s">
        <v>129</v>
      </c>
      <c r="AZ521" s="162">
        <v>5422.41</v>
      </c>
      <c r="BA521" s="162">
        <v>5422.41</v>
      </c>
    </row>
    <row r="522" spans="1:53">
      <c r="A522" s="172">
        <v>44013</v>
      </c>
      <c r="B522" s="180" t="s">
        <v>130</v>
      </c>
      <c r="C522" s="162" t="s">
        <v>131</v>
      </c>
      <c r="D522" s="162">
        <v>2353342020</v>
      </c>
      <c r="E522" s="162" t="s">
        <v>132</v>
      </c>
      <c r="F522" s="162">
        <v>875</v>
      </c>
      <c r="G522" s="162" t="s">
        <v>178</v>
      </c>
      <c r="H522" s="162" t="s">
        <v>144</v>
      </c>
      <c r="I522" s="162" t="s">
        <v>197</v>
      </c>
      <c r="J522" s="163">
        <v>6703.88</v>
      </c>
      <c r="K522" s="162" t="s">
        <v>198</v>
      </c>
      <c r="L522" s="162" t="s">
        <v>135</v>
      </c>
      <c r="M522" s="162" t="s">
        <v>200</v>
      </c>
      <c r="N522" s="162" t="s">
        <v>125</v>
      </c>
      <c r="O522" s="163">
        <v>6703.88</v>
      </c>
      <c r="P522" s="162" t="s">
        <v>136</v>
      </c>
      <c r="Q522" s="162" t="s">
        <v>136</v>
      </c>
      <c r="R522" s="162" t="s">
        <v>126</v>
      </c>
      <c r="S522" s="162" t="s">
        <v>2</v>
      </c>
      <c r="T522" s="162" t="s">
        <v>2</v>
      </c>
      <c r="U522" s="162" t="s">
        <v>127</v>
      </c>
      <c r="V522" s="162" t="s">
        <v>198</v>
      </c>
      <c r="W522" s="162" t="s">
        <v>198</v>
      </c>
      <c r="X522" s="162" t="s">
        <v>127</v>
      </c>
      <c r="Y522" s="164">
        <v>44013</v>
      </c>
      <c r="Z522" s="164">
        <v>44008</v>
      </c>
      <c r="AA522" s="164">
        <v>44008</v>
      </c>
      <c r="AB522" s="162" t="s">
        <v>137</v>
      </c>
      <c r="AC522" s="164">
        <v>44013</v>
      </c>
      <c r="AU522" s="162" t="s">
        <v>234</v>
      </c>
      <c r="AV522" s="162">
        <v>875</v>
      </c>
      <c r="AW522" s="162" t="s">
        <v>138</v>
      </c>
      <c r="AY522" s="162" t="s">
        <v>129</v>
      </c>
      <c r="AZ522" s="162">
        <v>4761.1400000000003</v>
      </c>
      <c r="BA522" s="162">
        <v>4761.1400000000003</v>
      </c>
    </row>
    <row r="523" spans="1:53">
      <c r="A523" s="172">
        <v>44013</v>
      </c>
      <c r="B523" s="180" t="s">
        <v>130</v>
      </c>
      <c r="C523" s="162" t="s">
        <v>131</v>
      </c>
      <c r="D523" s="162">
        <v>2353352020</v>
      </c>
      <c r="E523" s="162" t="s">
        <v>132</v>
      </c>
      <c r="F523" s="162">
        <v>875</v>
      </c>
      <c r="G523" s="162" t="s">
        <v>178</v>
      </c>
      <c r="H523" s="162" t="s">
        <v>144</v>
      </c>
      <c r="I523" s="162" t="s">
        <v>197</v>
      </c>
      <c r="J523" s="163">
        <v>4020.19</v>
      </c>
      <c r="K523" s="162" t="s">
        <v>198</v>
      </c>
      <c r="L523" s="162" t="s">
        <v>135</v>
      </c>
      <c r="M523" s="162" t="s">
        <v>201</v>
      </c>
      <c r="N523" s="162" t="s">
        <v>125</v>
      </c>
      <c r="O523" s="163">
        <v>4020.19</v>
      </c>
      <c r="P523" s="162" t="s">
        <v>136</v>
      </c>
      <c r="Q523" s="162" t="s">
        <v>136</v>
      </c>
      <c r="R523" s="162" t="s">
        <v>126</v>
      </c>
      <c r="S523" s="162" t="s">
        <v>2</v>
      </c>
      <c r="T523" s="162" t="s">
        <v>2</v>
      </c>
      <c r="U523" s="162" t="s">
        <v>127</v>
      </c>
      <c r="V523" s="162" t="s">
        <v>198</v>
      </c>
      <c r="W523" s="162" t="s">
        <v>198</v>
      </c>
      <c r="X523" s="162" t="s">
        <v>127</v>
      </c>
      <c r="Y523" s="164">
        <v>44013</v>
      </c>
      <c r="Z523" s="164">
        <v>44008</v>
      </c>
      <c r="AA523" s="164">
        <v>44008</v>
      </c>
      <c r="AB523" s="162" t="s">
        <v>137</v>
      </c>
      <c r="AC523" s="164">
        <v>44013</v>
      </c>
      <c r="AU523" s="162" t="s">
        <v>236</v>
      </c>
      <c r="AV523" s="162">
        <v>875</v>
      </c>
      <c r="AW523" s="162" t="s">
        <v>138</v>
      </c>
      <c r="AY523" s="162" t="s">
        <v>129</v>
      </c>
      <c r="AZ523" s="162">
        <v>111.97</v>
      </c>
      <c r="BA523" s="162">
        <v>111.97</v>
      </c>
    </row>
    <row r="524" spans="1:53">
      <c r="A524" s="172">
        <v>44013</v>
      </c>
      <c r="B524" s="180" t="s">
        <v>130</v>
      </c>
      <c r="C524" s="162" t="s">
        <v>131</v>
      </c>
      <c r="D524" s="162">
        <v>2353352020</v>
      </c>
      <c r="E524" s="162" t="s">
        <v>132</v>
      </c>
      <c r="F524" s="162">
        <v>875</v>
      </c>
      <c r="G524" s="162" t="s">
        <v>178</v>
      </c>
      <c r="H524" s="162" t="s">
        <v>144</v>
      </c>
      <c r="I524" s="162" t="s">
        <v>197</v>
      </c>
      <c r="J524" s="163">
        <v>548.21</v>
      </c>
      <c r="K524" s="162" t="s">
        <v>198</v>
      </c>
      <c r="L524" s="162" t="s">
        <v>135</v>
      </c>
      <c r="M524" s="162" t="s">
        <v>202</v>
      </c>
      <c r="N524" s="162" t="s">
        <v>125</v>
      </c>
      <c r="O524" s="163">
        <v>548.21</v>
      </c>
      <c r="P524" s="162" t="s">
        <v>136</v>
      </c>
      <c r="Q524" s="162" t="s">
        <v>136</v>
      </c>
      <c r="R524" s="162" t="s">
        <v>126</v>
      </c>
      <c r="S524" s="162" t="s">
        <v>2</v>
      </c>
      <c r="T524" s="162" t="s">
        <v>2</v>
      </c>
      <c r="U524" s="162" t="s">
        <v>127</v>
      </c>
      <c r="V524" s="162" t="s">
        <v>198</v>
      </c>
      <c r="W524" s="162" t="s">
        <v>198</v>
      </c>
      <c r="X524" s="162" t="s">
        <v>127</v>
      </c>
      <c r="Y524" s="164">
        <v>44013</v>
      </c>
      <c r="Z524" s="164">
        <v>44008</v>
      </c>
      <c r="AA524" s="164">
        <v>44008</v>
      </c>
      <c r="AB524" s="162" t="s">
        <v>137</v>
      </c>
      <c r="AC524" s="164">
        <v>44013</v>
      </c>
      <c r="AU524" s="162" t="s">
        <v>238</v>
      </c>
      <c r="AV524" s="162">
        <v>875</v>
      </c>
      <c r="AW524" s="162" t="s">
        <v>138</v>
      </c>
      <c r="AY524" s="162" t="s">
        <v>129</v>
      </c>
      <c r="AZ524" s="162">
        <v>573.84</v>
      </c>
      <c r="BA524" s="162">
        <v>573.84</v>
      </c>
    </row>
    <row r="525" spans="1:53">
      <c r="A525" s="172">
        <v>44013</v>
      </c>
      <c r="B525" s="180" t="s">
        <v>130</v>
      </c>
      <c r="C525" s="162" t="s">
        <v>131</v>
      </c>
      <c r="D525" s="162">
        <v>2746112020</v>
      </c>
      <c r="E525" s="162" t="s">
        <v>132</v>
      </c>
      <c r="F525" s="162">
        <v>875</v>
      </c>
      <c r="G525" s="162" t="s">
        <v>143</v>
      </c>
      <c r="H525" s="162" t="s">
        <v>144</v>
      </c>
      <c r="I525" s="162" t="s">
        <v>197</v>
      </c>
      <c r="J525" s="163">
        <v>31218.75</v>
      </c>
      <c r="K525" s="162" t="s">
        <v>198</v>
      </c>
      <c r="L525" s="162" t="s">
        <v>135</v>
      </c>
      <c r="M525" s="162" t="s">
        <v>203</v>
      </c>
      <c r="N525" s="162" t="s">
        <v>125</v>
      </c>
      <c r="O525" s="163">
        <v>31218.75</v>
      </c>
      <c r="P525" s="162" t="s">
        <v>136</v>
      </c>
      <c r="Q525" s="162" t="s">
        <v>136</v>
      </c>
      <c r="R525" s="162" t="s">
        <v>126</v>
      </c>
      <c r="S525" s="162" t="s">
        <v>2</v>
      </c>
      <c r="T525" s="162" t="s">
        <v>2</v>
      </c>
      <c r="U525" s="162" t="s">
        <v>127</v>
      </c>
      <c r="V525" s="162" t="s">
        <v>198</v>
      </c>
      <c r="W525" s="162" t="s">
        <v>198</v>
      </c>
      <c r="X525" s="162" t="s">
        <v>127</v>
      </c>
      <c r="Y525" s="164">
        <v>44013</v>
      </c>
      <c r="Z525" s="164">
        <v>44008</v>
      </c>
      <c r="AA525" s="164">
        <v>44008</v>
      </c>
      <c r="AB525" s="162" t="s">
        <v>137</v>
      </c>
      <c r="AC525" s="164">
        <v>44013</v>
      </c>
      <c r="AU525" s="162" t="s">
        <v>240</v>
      </c>
      <c r="AV525" s="162">
        <v>875</v>
      </c>
      <c r="AW525" s="162" t="s">
        <v>138</v>
      </c>
      <c r="AY525" s="162" t="s">
        <v>129</v>
      </c>
      <c r="AZ525" s="162">
        <v>1421.73</v>
      </c>
      <c r="BA525" s="162">
        <v>1421.73</v>
      </c>
    </row>
    <row r="526" spans="1:53">
      <c r="A526" s="172">
        <v>44013</v>
      </c>
      <c r="B526" s="180" t="s">
        <v>130</v>
      </c>
      <c r="C526" s="162" t="s">
        <v>131</v>
      </c>
      <c r="D526" s="162">
        <v>3013772020</v>
      </c>
      <c r="E526" s="162" t="s">
        <v>132</v>
      </c>
      <c r="F526" s="162">
        <v>875</v>
      </c>
      <c r="G526" s="162" t="s">
        <v>163</v>
      </c>
      <c r="H526" s="162" t="s">
        <v>144</v>
      </c>
      <c r="I526" s="162" t="s">
        <v>197</v>
      </c>
      <c r="J526" s="163">
        <v>1149.9100000000001</v>
      </c>
      <c r="K526" s="162" t="s">
        <v>198</v>
      </c>
      <c r="L526" s="162" t="s">
        <v>135</v>
      </c>
      <c r="M526" s="162" t="s">
        <v>204</v>
      </c>
      <c r="N526" s="162" t="s">
        <v>125</v>
      </c>
      <c r="O526" s="163">
        <v>1149.9100000000001</v>
      </c>
      <c r="P526" s="162" t="s">
        <v>136</v>
      </c>
      <c r="Q526" s="162" t="s">
        <v>136</v>
      </c>
      <c r="R526" s="162" t="s">
        <v>126</v>
      </c>
      <c r="S526" s="162" t="s">
        <v>2</v>
      </c>
      <c r="T526" s="162" t="s">
        <v>2</v>
      </c>
      <c r="U526" s="162" t="s">
        <v>127</v>
      </c>
      <c r="V526" s="162" t="s">
        <v>198</v>
      </c>
      <c r="W526" s="162" t="s">
        <v>198</v>
      </c>
      <c r="X526" s="162" t="s">
        <v>127</v>
      </c>
      <c r="Y526" s="164">
        <v>44013</v>
      </c>
      <c r="Z526" s="164">
        <v>44008</v>
      </c>
      <c r="AA526" s="164">
        <v>44008</v>
      </c>
      <c r="AB526" s="162" t="s">
        <v>137</v>
      </c>
      <c r="AC526" s="164">
        <v>44013</v>
      </c>
      <c r="AU526" s="162" t="s">
        <v>184</v>
      </c>
      <c r="AV526" s="162">
        <v>875</v>
      </c>
      <c r="AW526" s="162" t="s">
        <v>138</v>
      </c>
      <c r="AY526" s="162" t="s">
        <v>129</v>
      </c>
      <c r="AZ526" s="162">
        <v>231.66</v>
      </c>
      <c r="BA526" s="162">
        <v>231.66</v>
      </c>
    </row>
    <row r="527" spans="1:53">
      <c r="A527" s="172">
        <v>44013</v>
      </c>
      <c r="B527" s="180" t="s">
        <v>130</v>
      </c>
      <c r="C527" s="162" t="s">
        <v>131</v>
      </c>
      <c r="D527" s="162">
        <v>2964962020</v>
      </c>
      <c r="E527" s="162" t="s">
        <v>132</v>
      </c>
      <c r="F527" s="162">
        <v>875</v>
      </c>
      <c r="G527" s="162" t="s">
        <v>194</v>
      </c>
      <c r="H527" s="162" t="s">
        <v>144</v>
      </c>
      <c r="I527" s="162" t="s">
        <v>197</v>
      </c>
      <c r="J527" s="163">
        <v>10614.37</v>
      </c>
      <c r="K527" s="162" t="s">
        <v>198</v>
      </c>
      <c r="L527" s="162" t="s">
        <v>135</v>
      </c>
      <c r="M527" s="162" t="s">
        <v>205</v>
      </c>
      <c r="N527" s="162" t="s">
        <v>125</v>
      </c>
      <c r="O527" s="163">
        <v>10614.37</v>
      </c>
      <c r="P527" s="162" t="s">
        <v>136</v>
      </c>
      <c r="Q527" s="162" t="s">
        <v>136</v>
      </c>
      <c r="R527" s="162" t="s">
        <v>126</v>
      </c>
      <c r="S527" s="162" t="s">
        <v>2</v>
      </c>
      <c r="T527" s="162" t="s">
        <v>2</v>
      </c>
      <c r="U527" s="162" t="s">
        <v>127</v>
      </c>
      <c r="V527" s="162" t="s">
        <v>198</v>
      </c>
      <c r="W527" s="162" t="s">
        <v>198</v>
      </c>
      <c r="X527" s="162" t="s">
        <v>127</v>
      </c>
      <c r="Y527" s="164">
        <v>44013</v>
      </c>
      <c r="Z527" s="164">
        <v>44008</v>
      </c>
      <c r="AA527" s="164">
        <v>44008</v>
      </c>
      <c r="AB527" s="162" t="s">
        <v>137</v>
      </c>
      <c r="AC527" s="164">
        <v>44013</v>
      </c>
      <c r="AU527" s="162" t="s">
        <v>243</v>
      </c>
      <c r="AV527" s="162">
        <v>875</v>
      </c>
      <c r="AW527" s="162" t="s">
        <v>138</v>
      </c>
      <c r="AY527" s="162" t="s">
        <v>129</v>
      </c>
      <c r="AZ527" s="162">
        <v>177.86</v>
      </c>
      <c r="BA527" s="162">
        <v>177.86</v>
      </c>
    </row>
    <row r="528" spans="1:53">
      <c r="A528" s="172">
        <v>44013</v>
      </c>
      <c r="B528" s="180" t="s">
        <v>130</v>
      </c>
      <c r="C528" s="162" t="s">
        <v>131</v>
      </c>
      <c r="D528" s="162">
        <v>2964952020</v>
      </c>
      <c r="E528" s="162" t="s">
        <v>132</v>
      </c>
      <c r="F528" s="162">
        <v>875</v>
      </c>
      <c r="G528" s="162" t="s">
        <v>190</v>
      </c>
      <c r="H528" s="162" t="s">
        <v>144</v>
      </c>
      <c r="I528" s="162" t="s">
        <v>197</v>
      </c>
      <c r="J528" s="163">
        <v>10518.75</v>
      </c>
      <c r="K528" s="162" t="s">
        <v>198</v>
      </c>
      <c r="L528" s="162" t="s">
        <v>135</v>
      </c>
      <c r="M528" s="162" t="s">
        <v>206</v>
      </c>
      <c r="N528" s="162" t="s">
        <v>125</v>
      </c>
      <c r="O528" s="163">
        <v>10518.75</v>
      </c>
      <c r="P528" s="162" t="s">
        <v>136</v>
      </c>
      <c r="Q528" s="162" t="s">
        <v>136</v>
      </c>
      <c r="R528" s="162" t="s">
        <v>126</v>
      </c>
      <c r="S528" s="162" t="s">
        <v>2</v>
      </c>
      <c r="T528" s="162" t="s">
        <v>2</v>
      </c>
      <c r="U528" s="162" t="s">
        <v>127</v>
      </c>
      <c r="V528" s="162" t="s">
        <v>198</v>
      </c>
      <c r="W528" s="162" t="s">
        <v>198</v>
      </c>
      <c r="X528" s="162" t="s">
        <v>127</v>
      </c>
      <c r="Y528" s="164">
        <v>44013</v>
      </c>
      <c r="Z528" s="164">
        <v>44008</v>
      </c>
      <c r="AA528" s="164">
        <v>44008</v>
      </c>
      <c r="AB528" s="162" t="s">
        <v>137</v>
      </c>
      <c r="AC528" s="164">
        <v>44013</v>
      </c>
      <c r="AU528" s="162" t="s">
        <v>177</v>
      </c>
      <c r="AV528" s="162">
        <v>875</v>
      </c>
      <c r="AW528" s="162" t="s">
        <v>138</v>
      </c>
      <c r="AY528" s="162" t="s">
        <v>129</v>
      </c>
      <c r="AZ528" s="162">
        <v>9112.5</v>
      </c>
      <c r="BA528" s="162">
        <v>9112.5</v>
      </c>
    </row>
    <row r="529" spans="1:53">
      <c r="A529" s="172">
        <v>44013</v>
      </c>
      <c r="B529" s="180" t="s">
        <v>130</v>
      </c>
      <c r="C529" s="162" t="s">
        <v>131</v>
      </c>
      <c r="D529" s="162">
        <v>2964972020</v>
      </c>
      <c r="E529" s="162" t="s">
        <v>132</v>
      </c>
      <c r="F529" s="162">
        <v>875</v>
      </c>
      <c r="G529" s="162" t="s">
        <v>192</v>
      </c>
      <c r="H529" s="162" t="s">
        <v>144</v>
      </c>
      <c r="I529" s="162" t="s">
        <v>197</v>
      </c>
      <c r="J529" s="163">
        <v>10040.620000000001</v>
      </c>
      <c r="K529" s="162" t="s">
        <v>198</v>
      </c>
      <c r="L529" s="162" t="s">
        <v>135</v>
      </c>
      <c r="M529" s="162" t="s">
        <v>207</v>
      </c>
      <c r="N529" s="162" t="s">
        <v>125</v>
      </c>
      <c r="O529" s="163">
        <v>10040.620000000001</v>
      </c>
      <c r="P529" s="162" t="s">
        <v>136</v>
      </c>
      <c r="Q529" s="162" t="s">
        <v>136</v>
      </c>
      <c r="R529" s="162" t="s">
        <v>126</v>
      </c>
      <c r="S529" s="162" t="s">
        <v>2</v>
      </c>
      <c r="T529" s="162" t="s">
        <v>2</v>
      </c>
      <c r="U529" s="162" t="s">
        <v>127</v>
      </c>
      <c r="V529" s="162" t="s">
        <v>198</v>
      </c>
      <c r="W529" s="162" t="s">
        <v>198</v>
      </c>
      <c r="X529" s="162" t="s">
        <v>127</v>
      </c>
      <c r="Y529" s="164">
        <v>44013</v>
      </c>
      <c r="Z529" s="164">
        <v>44008</v>
      </c>
      <c r="AA529" s="164">
        <v>44008</v>
      </c>
      <c r="AB529" s="162" t="s">
        <v>137</v>
      </c>
      <c r="AC529" s="164">
        <v>44013</v>
      </c>
      <c r="AU529" s="162" t="s">
        <v>189</v>
      </c>
      <c r="AV529" s="162">
        <v>875</v>
      </c>
      <c r="AW529" s="162" t="s">
        <v>138</v>
      </c>
      <c r="AY529" s="162" t="s">
        <v>129</v>
      </c>
      <c r="AZ529" s="162">
        <v>9720</v>
      </c>
      <c r="BA529" s="162">
        <v>9720</v>
      </c>
    </row>
    <row r="530" spans="1:53">
      <c r="A530" s="172">
        <v>44013</v>
      </c>
      <c r="B530" s="180" t="s">
        <v>130</v>
      </c>
      <c r="C530" s="162" t="s">
        <v>131</v>
      </c>
      <c r="D530" s="162">
        <v>2751312020</v>
      </c>
      <c r="E530" s="162" t="s">
        <v>132</v>
      </c>
      <c r="F530" s="162">
        <v>875</v>
      </c>
      <c r="G530" s="162" t="s">
        <v>154</v>
      </c>
      <c r="H530" s="162" t="s">
        <v>144</v>
      </c>
      <c r="I530" s="162" t="s">
        <v>197</v>
      </c>
      <c r="J530" s="163">
        <v>16098.75</v>
      </c>
      <c r="K530" s="162" t="s">
        <v>198</v>
      </c>
      <c r="L530" s="162" t="s">
        <v>135</v>
      </c>
      <c r="M530" s="162" t="s">
        <v>208</v>
      </c>
      <c r="N530" s="162" t="s">
        <v>125</v>
      </c>
      <c r="O530" s="163">
        <v>16098.75</v>
      </c>
      <c r="P530" s="162" t="s">
        <v>136</v>
      </c>
      <c r="Q530" s="162" t="s">
        <v>136</v>
      </c>
      <c r="R530" s="162" t="s">
        <v>126</v>
      </c>
      <c r="S530" s="162" t="s">
        <v>2</v>
      </c>
      <c r="T530" s="162" t="s">
        <v>2</v>
      </c>
      <c r="U530" s="162" t="s">
        <v>127</v>
      </c>
      <c r="V530" s="162" t="s">
        <v>198</v>
      </c>
      <c r="W530" s="162" t="s">
        <v>198</v>
      </c>
      <c r="X530" s="162" t="s">
        <v>127</v>
      </c>
      <c r="Y530" s="164">
        <v>44013</v>
      </c>
      <c r="Z530" s="164">
        <v>44008</v>
      </c>
      <c r="AA530" s="164">
        <v>44008</v>
      </c>
      <c r="AB530" s="162" t="s">
        <v>137</v>
      </c>
      <c r="AC530" s="164">
        <v>44013</v>
      </c>
      <c r="AU530" s="162" t="s">
        <v>247</v>
      </c>
      <c r="AV530" s="162">
        <v>875</v>
      </c>
      <c r="AW530" s="162" t="s">
        <v>138</v>
      </c>
      <c r="AY530" s="162" t="s">
        <v>129</v>
      </c>
      <c r="AZ530" s="162">
        <v>1058.03</v>
      </c>
      <c r="BA530" s="162">
        <v>1058.03</v>
      </c>
    </row>
    <row r="531" spans="1:53">
      <c r="A531" s="172">
        <v>44013</v>
      </c>
      <c r="B531" s="180" t="s">
        <v>130</v>
      </c>
      <c r="C531" s="162" t="s">
        <v>131</v>
      </c>
      <c r="D531" s="162">
        <v>2298942020</v>
      </c>
      <c r="E531" s="162" t="s">
        <v>132</v>
      </c>
      <c r="F531" s="162">
        <v>875</v>
      </c>
      <c r="G531" s="162" t="s">
        <v>157</v>
      </c>
      <c r="H531" s="162" t="s">
        <v>144</v>
      </c>
      <c r="I531" s="162" t="s">
        <v>197</v>
      </c>
      <c r="J531" s="163">
        <v>18044.349999999999</v>
      </c>
      <c r="K531" s="162" t="s">
        <v>198</v>
      </c>
      <c r="L531" s="162" t="s">
        <v>135</v>
      </c>
      <c r="M531" s="162" t="s">
        <v>209</v>
      </c>
      <c r="N531" s="162" t="s">
        <v>125</v>
      </c>
      <c r="O531" s="163">
        <v>18044.349999999999</v>
      </c>
      <c r="P531" s="162" t="s">
        <v>136</v>
      </c>
      <c r="Q531" s="162" t="s">
        <v>136</v>
      </c>
      <c r="R531" s="162" t="s">
        <v>126</v>
      </c>
      <c r="S531" s="162" t="s">
        <v>2</v>
      </c>
      <c r="T531" s="162" t="s">
        <v>2</v>
      </c>
      <c r="U531" s="162" t="s">
        <v>127</v>
      </c>
      <c r="V531" s="162" t="s">
        <v>198</v>
      </c>
      <c r="W531" s="162" t="s">
        <v>198</v>
      </c>
      <c r="X531" s="162" t="s">
        <v>127</v>
      </c>
      <c r="Y531" s="164">
        <v>44013</v>
      </c>
      <c r="Z531" s="164">
        <v>44008</v>
      </c>
      <c r="AA531" s="164">
        <v>44008</v>
      </c>
      <c r="AB531" s="162" t="s">
        <v>137</v>
      </c>
      <c r="AC531" s="164">
        <v>44013</v>
      </c>
      <c r="AU531" s="162" t="s">
        <v>187</v>
      </c>
      <c r="AV531" s="162">
        <v>875</v>
      </c>
      <c r="AW531" s="162" t="s">
        <v>138</v>
      </c>
      <c r="AY531" s="162" t="s">
        <v>129</v>
      </c>
      <c r="AZ531" s="162">
        <v>6561</v>
      </c>
      <c r="BA531" s="162">
        <v>6561</v>
      </c>
    </row>
    <row r="532" spans="1:53">
      <c r="A532" s="172">
        <v>44013</v>
      </c>
      <c r="B532" s="180" t="s">
        <v>130</v>
      </c>
      <c r="C532" s="162" t="s">
        <v>131</v>
      </c>
      <c r="D532" s="162">
        <v>2964882020</v>
      </c>
      <c r="E532" s="162" t="s">
        <v>132</v>
      </c>
      <c r="F532" s="162">
        <v>875</v>
      </c>
      <c r="G532" s="162" t="s">
        <v>156</v>
      </c>
      <c r="H532" s="162" t="s">
        <v>144</v>
      </c>
      <c r="I532" s="162" t="s">
        <v>197</v>
      </c>
      <c r="J532" s="163">
        <v>14765.62</v>
      </c>
      <c r="K532" s="162" t="s">
        <v>198</v>
      </c>
      <c r="L532" s="162" t="s">
        <v>135</v>
      </c>
      <c r="M532" s="162" t="s">
        <v>210</v>
      </c>
      <c r="N532" s="162" t="s">
        <v>125</v>
      </c>
      <c r="O532" s="163">
        <v>14765.62</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U532" s="162" t="s">
        <v>183</v>
      </c>
      <c r="AV532" s="162">
        <v>875</v>
      </c>
      <c r="AW532" s="162" t="s">
        <v>138</v>
      </c>
      <c r="AY532" s="162" t="s">
        <v>129</v>
      </c>
      <c r="AZ532" s="162">
        <v>31.59</v>
      </c>
      <c r="BA532" s="162">
        <v>31.59</v>
      </c>
    </row>
    <row r="533" spans="1:53">
      <c r="A533" s="172">
        <v>44013</v>
      </c>
      <c r="B533" s="180" t="s">
        <v>130</v>
      </c>
      <c r="C533" s="162" t="s">
        <v>131</v>
      </c>
      <c r="D533" s="162">
        <v>2298942020</v>
      </c>
      <c r="E533" s="162" t="s">
        <v>132</v>
      </c>
      <c r="F533" s="162">
        <v>875</v>
      </c>
      <c r="G533" s="162" t="s">
        <v>157</v>
      </c>
      <c r="H533" s="162" t="s">
        <v>144</v>
      </c>
      <c r="I533" s="162" t="s">
        <v>197</v>
      </c>
      <c r="J533" s="163">
        <v>788.16</v>
      </c>
      <c r="K533" s="162" t="s">
        <v>198</v>
      </c>
      <c r="L533" s="162" t="s">
        <v>135</v>
      </c>
      <c r="M533" s="162" t="s">
        <v>211</v>
      </c>
      <c r="N533" s="162" t="s">
        <v>125</v>
      </c>
      <c r="O533" s="163">
        <v>788.16</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U533" s="162" t="s">
        <v>252</v>
      </c>
      <c r="AV533" s="162">
        <v>875</v>
      </c>
      <c r="AW533" s="162" t="s">
        <v>138</v>
      </c>
      <c r="AY533" s="162" t="s">
        <v>129</v>
      </c>
      <c r="AZ533" s="162">
        <v>54000</v>
      </c>
      <c r="BA533" s="162">
        <v>54000</v>
      </c>
    </row>
    <row r="534" spans="1:53">
      <c r="A534" s="172">
        <v>44013</v>
      </c>
      <c r="B534" s="180" t="s">
        <v>130</v>
      </c>
      <c r="C534" s="162" t="s">
        <v>131</v>
      </c>
      <c r="D534" s="162">
        <v>3010342020</v>
      </c>
      <c r="E534" s="162" t="s">
        <v>132</v>
      </c>
      <c r="F534" s="162">
        <v>875</v>
      </c>
      <c r="G534" s="162" t="s">
        <v>213</v>
      </c>
      <c r="H534" s="162" t="s">
        <v>144</v>
      </c>
      <c r="I534" s="162" t="s">
        <v>197</v>
      </c>
      <c r="J534" s="163">
        <v>8280</v>
      </c>
      <c r="K534" s="162" t="s">
        <v>198</v>
      </c>
      <c r="L534" s="162" t="s">
        <v>135</v>
      </c>
      <c r="M534" s="162" t="s">
        <v>214</v>
      </c>
      <c r="N534" s="162" t="s">
        <v>125</v>
      </c>
      <c r="O534" s="163">
        <v>8280</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U534" s="162" t="s">
        <v>255</v>
      </c>
      <c r="AV534" s="162">
        <v>875</v>
      </c>
      <c r="AW534" s="162" t="s">
        <v>138</v>
      </c>
      <c r="AY534" s="162" t="s">
        <v>129</v>
      </c>
      <c r="AZ534" s="162">
        <v>35100</v>
      </c>
      <c r="BA534" s="162">
        <v>35100</v>
      </c>
    </row>
    <row r="535" spans="1:53">
      <c r="A535" s="172">
        <v>44013</v>
      </c>
      <c r="B535" s="180" t="s">
        <v>130</v>
      </c>
      <c r="C535" s="162" t="s">
        <v>131</v>
      </c>
      <c r="D535" s="162">
        <v>2159352020</v>
      </c>
      <c r="E535" s="162" t="s">
        <v>132</v>
      </c>
      <c r="F535" s="162">
        <v>875</v>
      </c>
      <c r="G535" s="162" t="s">
        <v>160</v>
      </c>
      <c r="H535" s="162" t="s">
        <v>144</v>
      </c>
      <c r="I535" s="162" t="s">
        <v>197</v>
      </c>
      <c r="J535" s="163">
        <v>457.68</v>
      </c>
      <c r="K535" s="162" t="s">
        <v>198</v>
      </c>
      <c r="L535" s="162" t="s">
        <v>135</v>
      </c>
      <c r="M535" s="162" t="s">
        <v>216</v>
      </c>
      <c r="N535" s="162" t="s">
        <v>125</v>
      </c>
      <c r="O535" s="163">
        <v>457.68</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U535" s="162" t="s">
        <v>257</v>
      </c>
      <c r="AV535" s="162">
        <v>875</v>
      </c>
      <c r="AW535" s="162" t="s">
        <v>138</v>
      </c>
      <c r="AY535" s="162" t="s">
        <v>129</v>
      </c>
      <c r="AZ535" s="162">
        <v>150.46</v>
      </c>
      <c r="BA535" s="162">
        <v>150.46</v>
      </c>
    </row>
    <row r="536" spans="1:53">
      <c r="A536" s="172">
        <v>44013</v>
      </c>
      <c r="B536" s="180" t="s">
        <v>130</v>
      </c>
      <c r="C536" s="162" t="s">
        <v>131</v>
      </c>
      <c r="D536" s="162">
        <v>2101142020</v>
      </c>
      <c r="E536" s="162" t="s">
        <v>132</v>
      </c>
      <c r="F536" s="162">
        <v>875</v>
      </c>
      <c r="G536" s="162" t="s">
        <v>160</v>
      </c>
      <c r="H536" s="162" t="s">
        <v>144</v>
      </c>
      <c r="I536" s="162" t="s">
        <v>197</v>
      </c>
      <c r="J536" s="163">
        <v>4098.08</v>
      </c>
      <c r="K536" s="162" t="s">
        <v>198</v>
      </c>
      <c r="L536" s="162" t="s">
        <v>135</v>
      </c>
      <c r="M536" s="162" t="s">
        <v>218</v>
      </c>
      <c r="N536" s="162" t="s">
        <v>125</v>
      </c>
      <c r="O536" s="163">
        <v>4098.08</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U536" s="162" t="s">
        <v>186</v>
      </c>
      <c r="AV536" s="162">
        <v>875</v>
      </c>
      <c r="AW536" s="162" t="s">
        <v>138</v>
      </c>
      <c r="AY536" s="162" t="s">
        <v>129</v>
      </c>
      <c r="AZ536" s="162">
        <v>15907.91</v>
      </c>
      <c r="BA536" s="162">
        <v>15907.91</v>
      </c>
    </row>
    <row r="537" spans="1:53">
      <c r="A537" s="172">
        <v>44013</v>
      </c>
      <c r="B537" s="180" t="s">
        <v>130</v>
      </c>
      <c r="C537" s="162" t="s">
        <v>131</v>
      </c>
      <c r="D537" s="162">
        <v>2101132020</v>
      </c>
      <c r="E537" s="162" t="s">
        <v>132</v>
      </c>
      <c r="F537" s="162">
        <v>875</v>
      </c>
      <c r="G537" s="162" t="s">
        <v>160</v>
      </c>
      <c r="H537" s="162" t="s">
        <v>144</v>
      </c>
      <c r="I537" s="162" t="s">
        <v>197</v>
      </c>
      <c r="J537" s="163">
        <v>5479.55</v>
      </c>
      <c r="K537" s="162" t="s">
        <v>198</v>
      </c>
      <c r="L537" s="162" t="s">
        <v>135</v>
      </c>
      <c r="M537" s="162" t="s">
        <v>219</v>
      </c>
      <c r="N537" s="162" t="s">
        <v>125</v>
      </c>
      <c r="O537" s="163">
        <v>5479.55</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U537" s="162" t="s">
        <v>153</v>
      </c>
      <c r="AV537" s="162">
        <v>875</v>
      </c>
      <c r="AW537" s="162" t="s">
        <v>138</v>
      </c>
      <c r="AY537" s="162" t="s">
        <v>129</v>
      </c>
      <c r="AZ537" s="162">
        <v>23739.5</v>
      </c>
      <c r="BA537" s="162">
        <v>23739.5</v>
      </c>
    </row>
    <row r="538" spans="1:53">
      <c r="A538" s="172">
        <v>44013</v>
      </c>
      <c r="B538" s="180" t="s">
        <v>130</v>
      </c>
      <c r="C538" s="162" t="s">
        <v>131</v>
      </c>
      <c r="D538" s="162">
        <v>2159352020</v>
      </c>
      <c r="E538" s="162" t="s">
        <v>132</v>
      </c>
      <c r="F538" s="162">
        <v>875</v>
      </c>
      <c r="G538" s="162" t="s">
        <v>160</v>
      </c>
      <c r="H538" s="162" t="s">
        <v>144</v>
      </c>
      <c r="I538" s="162" t="s">
        <v>197</v>
      </c>
      <c r="J538" s="163">
        <v>109283.94</v>
      </c>
      <c r="K538" s="162" t="s">
        <v>198</v>
      </c>
      <c r="L538" s="162" t="s">
        <v>135</v>
      </c>
      <c r="M538" s="162" t="s">
        <v>220</v>
      </c>
      <c r="N538" s="162" t="s">
        <v>125</v>
      </c>
      <c r="O538" s="163">
        <v>109283.94</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U538" s="162" t="s">
        <v>261</v>
      </c>
      <c r="AV538" s="162">
        <v>875</v>
      </c>
      <c r="AW538" s="162" t="s">
        <v>138</v>
      </c>
      <c r="AY538" s="162" t="s">
        <v>129</v>
      </c>
      <c r="AZ538" s="162">
        <v>560.51</v>
      </c>
      <c r="BA538" s="162">
        <v>560.51</v>
      </c>
    </row>
    <row r="539" spans="1:53">
      <c r="A539" s="172">
        <v>44013</v>
      </c>
      <c r="B539" s="180" t="s">
        <v>130</v>
      </c>
      <c r="C539" s="162" t="s">
        <v>131</v>
      </c>
      <c r="D539" s="162">
        <v>2101142020</v>
      </c>
      <c r="E539" s="162" t="s">
        <v>132</v>
      </c>
      <c r="F539" s="162">
        <v>875</v>
      </c>
      <c r="G539" s="162" t="s">
        <v>160</v>
      </c>
      <c r="H539" s="162" t="s">
        <v>144</v>
      </c>
      <c r="I539" s="162" t="s">
        <v>197</v>
      </c>
      <c r="J539" s="163">
        <v>19306.62</v>
      </c>
      <c r="K539" s="162" t="s">
        <v>198</v>
      </c>
      <c r="L539" s="162" t="s">
        <v>135</v>
      </c>
      <c r="M539" s="162" t="s">
        <v>222</v>
      </c>
      <c r="N539" s="162" t="s">
        <v>125</v>
      </c>
      <c r="O539" s="163">
        <v>19306.62</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c r="AU539" s="162" t="s">
        <v>263</v>
      </c>
      <c r="AV539" s="162">
        <v>875</v>
      </c>
      <c r="AW539" s="162" t="s">
        <v>138</v>
      </c>
      <c r="AY539" s="162" t="s">
        <v>129</v>
      </c>
      <c r="AZ539" s="162">
        <v>503.86</v>
      </c>
      <c r="BA539" s="162">
        <v>503.86</v>
      </c>
    </row>
    <row r="540" spans="1:53">
      <c r="A540" s="172">
        <v>44013</v>
      </c>
      <c r="B540" s="180" t="s">
        <v>130</v>
      </c>
      <c r="C540" s="162" t="s">
        <v>131</v>
      </c>
      <c r="D540" s="162">
        <v>2101132020</v>
      </c>
      <c r="E540" s="162" t="s">
        <v>132</v>
      </c>
      <c r="F540" s="162">
        <v>875</v>
      </c>
      <c r="G540" s="162" t="s">
        <v>160</v>
      </c>
      <c r="H540" s="162" t="s">
        <v>144</v>
      </c>
      <c r="I540" s="162" t="s">
        <v>197</v>
      </c>
      <c r="J540" s="163">
        <v>27888.52</v>
      </c>
      <c r="K540" s="162" t="s">
        <v>198</v>
      </c>
      <c r="L540" s="162" t="s">
        <v>135</v>
      </c>
      <c r="M540" s="162" t="s">
        <v>224</v>
      </c>
      <c r="N540" s="162" t="s">
        <v>125</v>
      </c>
      <c r="O540" s="163">
        <v>27888.52</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c r="AU540" s="162" t="s">
        <v>185</v>
      </c>
      <c r="AV540" s="162">
        <v>875</v>
      </c>
      <c r="AW540" s="162" t="s">
        <v>138</v>
      </c>
      <c r="AY540" s="162" t="s">
        <v>129</v>
      </c>
      <c r="AZ540" s="162">
        <v>2169.2600000000002</v>
      </c>
      <c r="BA540" s="162">
        <v>2169.2600000000002</v>
      </c>
    </row>
    <row r="541" spans="1:53">
      <c r="A541" s="172">
        <v>44013</v>
      </c>
      <c r="B541" s="180" t="s">
        <v>130</v>
      </c>
      <c r="C541" s="162" t="s">
        <v>131</v>
      </c>
      <c r="D541" s="162">
        <v>2159352020</v>
      </c>
      <c r="E541" s="162" t="s">
        <v>132</v>
      </c>
      <c r="F541" s="162">
        <v>875</v>
      </c>
      <c r="G541" s="162" t="s">
        <v>160</v>
      </c>
      <c r="H541" s="162" t="s">
        <v>144</v>
      </c>
      <c r="I541" s="162" t="s">
        <v>197</v>
      </c>
      <c r="J541" s="163">
        <v>1886.52</v>
      </c>
      <c r="K541" s="162" t="s">
        <v>198</v>
      </c>
      <c r="L541" s="162" t="s">
        <v>135</v>
      </c>
      <c r="M541" s="162" t="s">
        <v>225</v>
      </c>
      <c r="N541" s="162" t="s">
        <v>125</v>
      </c>
      <c r="O541" s="163">
        <v>1886.52</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c r="AU541" s="162" t="s">
        <v>199</v>
      </c>
      <c r="AV541" s="162">
        <v>875</v>
      </c>
      <c r="AW541" s="162" t="s">
        <v>138</v>
      </c>
      <c r="AY541" s="162" t="s">
        <v>129</v>
      </c>
      <c r="AZ541" s="162">
        <v>5422.41</v>
      </c>
      <c r="BA541" s="162">
        <v>5422.41</v>
      </c>
    </row>
    <row r="542" spans="1:53">
      <c r="A542" s="172">
        <v>44013</v>
      </c>
      <c r="B542" s="180" t="s">
        <v>130</v>
      </c>
      <c r="C542" s="162" t="s">
        <v>131</v>
      </c>
      <c r="D542" s="162">
        <v>2101142020</v>
      </c>
      <c r="E542" s="162" t="s">
        <v>132</v>
      </c>
      <c r="F542" s="162">
        <v>875</v>
      </c>
      <c r="G542" s="162" t="s">
        <v>160</v>
      </c>
      <c r="H542" s="162" t="s">
        <v>144</v>
      </c>
      <c r="I542" s="162" t="s">
        <v>197</v>
      </c>
      <c r="J542" s="163">
        <v>21778.12</v>
      </c>
      <c r="K542" s="162" t="s">
        <v>198</v>
      </c>
      <c r="L542" s="162" t="s">
        <v>135</v>
      </c>
      <c r="M542" s="162" t="s">
        <v>227</v>
      </c>
      <c r="N542" s="162" t="s">
        <v>125</v>
      </c>
      <c r="O542" s="163">
        <v>21778.12</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c r="AU542" s="162" t="s">
        <v>141</v>
      </c>
      <c r="AV542" s="162">
        <v>1284</v>
      </c>
      <c r="AW542" s="162" t="s">
        <v>138</v>
      </c>
      <c r="AY542" s="162" t="s">
        <v>129</v>
      </c>
      <c r="AZ542" s="162">
        <v>4149.83</v>
      </c>
      <c r="BA542" s="162">
        <v>4149.83</v>
      </c>
    </row>
    <row r="543" spans="1:53">
      <c r="A543" s="172">
        <v>44013</v>
      </c>
      <c r="B543" s="180" t="s">
        <v>130</v>
      </c>
      <c r="C543" s="162" t="s">
        <v>131</v>
      </c>
      <c r="D543" s="162">
        <v>2101132020</v>
      </c>
      <c r="E543" s="162" t="s">
        <v>132</v>
      </c>
      <c r="F543" s="162">
        <v>875</v>
      </c>
      <c r="G543" s="162" t="s">
        <v>160</v>
      </c>
      <c r="H543" s="162" t="s">
        <v>144</v>
      </c>
      <c r="I543" s="162" t="s">
        <v>197</v>
      </c>
      <c r="J543" s="163">
        <v>28758.29</v>
      </c>
      <c r="K543" s="162" t="s">
        <v>198</v>
      </c>
      <c r="L543" s="162" t="s">
        <v>135</v>
      </c>
      <c r="M543" s="162" t="s">
        <v>228</v>
      </c>
      <c r="N543" s="162" t="s">
        <v>125</v>
      </c>
      <c r="O543" s="163">
        <v>28758.29</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c r="AU543" s="162" t="s">
        <v>175</v>
      </c>
      <c r="AV543" s="162">
        <v>1284</v>
      </c>
      <c r="AW543" s="162" t="s">
        <v>138</v>
      </c>
      <c r="AY543" s="162" t="s">
        <v>129</v>
      </c>
      <c r="AZ543" s="162">
        <v>1956.15</v>
      </c>
      <c r="BA543" s="162">
        <v>1956.15</v>
      </c>
    </row>
    <row r="544" spans="1:53">
      <c r="A544" s="172">
        <v>44013</v>
      </c>
      <c r="B544" s="180" t="s">
        <v>130</v>
      </c>
      <c r="C544" s="162" t="s">
        <v>131</v>
      </c>
      <c r="D544" s="162">
        <v>2353342020</v>
      </c>
      <c r="E544" s="162" t="s">
        <v>132</v>
      </c>
      <c r="F544" s="162">
        <v>875</v>
      </c>
      <c r="G544" s="162" t="s">
        <v>178</v>
      </c>
      <c r="H544" s="162" t="s">
        <v>144</v>
      </c>
      <c r="I544" s="162" t="s">
        <v>197</v>
      </c>
      <c r="J544" s="163">
        <v>914.17</v>
      </c>
      <c r="K544" s="162" t="s">
        <v>198</v>
      </c>
      <c r="L544" s="162" t="s">
        <v>135</v>
      </c>
      <c r="M544" s="162" t="s">
        <v>229</v>
      </c>
      <c r="N544" s="162" t="s">
        <v>125</v>
      </c>
      <c r="O544" s="163">
        <v>914.17</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c r="AU544" s="162" t="s">
        <v>142</v>
      </c>
      <c r="AV544" s="162">
        <v>1284</v>
      </c>
      <c r="AW544" s="162" t="s">
        <v>138</v>
      </c>
      <c r="AY544" s="162" t="s">
        <v>129</v>
      </c>
      <c r="AZ544" s="162">
        <v>3032.03</v>
      </c>
      <c r="BA544" s="162">
        <v>3032.03</v>
      </c>
    </row>
    <row r="545" spans="1:53">
      <c r="A545" s="172">
        <v>44013</v>
      </c>
      <c r="B545" s="180" t="s">
        <v>130</v>
      </c>
      <c r="C545" s="162" t="s">
        <v>131</v>
      </c>
      <c r="D545" s="162">
        <v>3013772020</v>
      </c>
      <c r="E545" s="162" t="s">
        <v>132</v>
      </c>
      <c r="F545" s="162">
        <v>875</v>
      </c>
      <c r="G545" s="162" t="s">
        <v>163</v>
      </c>
      <c r="H545" s="162" t="s">
        <v>144</v>
      </c>
      <c r="I545" s="162" t="s">
        <v>197</v>
      </c>
      <c r="J545" s="163">
        <v>19.53</v>
      </c>
      <c r="K545" s="162" t="s">
        <v>198</v>
      </c>
      <c r="L545" s="162" t="s">
        <v>135</v>
      </c>
      <c r="M545" s="162" t="s">
        <v>230</v>
      </c>
      <c r="N545" s="162" t="s">
        <v>125</v>
      </c>
      <c r="O545" s="163">
        <v>19.53</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c r="AU545" s="162" t="s">
        <v>174</v>
      </c>
      <c r="AV545" s="162">
        <v>1284</v>
      </c>
      <c r="AW545" s="162" t="s">
        <v>138</v>
      </c>
      <c r="AY545" s="162" t="s">
        <v>129</v>
      </c>
      <c r="AZ545" s="162">
        <v>1956.15</v>
      </c>
      <c r="BA545" s="162">
        <v>1956.15</v>
      </c>
    </row>
    <row r="546" spans="1:53">
      <c r="A546" s="172">
        <v>44013</v>
      </c>
      <c r="B546" s="180" t="s">
        <v>130</v>
      </c>
      <c r="C546" s="162" t="s">
        <v>131</v>
      </c>
      <c r="D546" s="162">
        <v>3011282020</v>
      </c>
      <c r="E546" s="162" t="s">
        <v>132</v>
      </c>
      <c r="F546" s="162">
        <v>875</v>
      </c>
      <c r="G546" s="162" t="s">
        <v>176</v>
      </c>
      <c r="H546" s="162" t="s">
        <v>144</v>
      </c>
      <c r="I546" s="162" t="s">
        <v>197</v>
      </c>
      <c r="J546" s="163">
        <v>4374</v>
      </c>
      <c r="K546" s="162" t="s">
        <v>198</v>
      </c>
      <c r="L546" s="162" t="s">
        <v>135</v>
      </c>
      <c r="M546" s="162" t="s">
        <v>231</v>
      </c>
      <c r="N546" s="162" t="s">
        <v>125</v>
      </c>
      <c r="O546" s="163">
        <v>4374</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c r="AU546" s="162" t="s">
        <v>148</v>
      </c>
      <c r="AV546" s="162">
        <v>1284</v>
      </c>
      <c r="AW546" s="162" t="s">
        <v>138</v>
      </c>
      <c r="AY546" s="162" t="s">
        <v>129</v>
      </c>
      <c r="AZ546" s="162">
        <v>3032.03</v>
      </c>
      <c r="BA546" s="162">
        <v>3032.03</v>
      </c>
    </row>
    <row r="547" spans="1:53">
      <c r="A547" s="172">
        <v>44013</v>
      </c>
      <c r="B547" s="180" t="s">
        <v>130</v>
      </c>
      <c r="C547" s="162" t="s">
        <v>131</v>
      </c>
      <c r="D547" s="162">
        <v>2510522020</v>
      </c>
      <c r="E547" s="162" t="s">
        <v>132</v>
      </c>
      <c r="F547" s="162">
        <v>875</v>
      </c>
      <c r="G547" s="162" t="s">
        <v>146</v>
      </c>
      <c r="H547" s="162" t="s">
        <v>144</v>
      </c>
      <c r="I547" s="162" t="s">
        <v>197</v>
      </c>
      <c r="J547" s="163">
        <v>5422.41</v>
      </c>
      <c r="K547" s="162" t="s">
        <v>198</v>
      </c>
      <c r="L547" s="162" t="s">
        <v>135</v>
      </c>
      <c r="M547" s="162" t="s">
        <v>232</v>
      </c>
      <c r="N547" s="162" t="s">
        <v>125</v>
      </c>
      <c r="O547" s="163">
        <v>5422.41</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c r="AU547" s="162" t="s">
        <v>151</v>
      </c>
      <c r="AV547" s="162">
        <v>1284</v>
      </c>
      <c r="AW547" s="162" t="s">
        <v>138</v>
      </c>
      <c r="AY547" s="162" t="s">
        <v>129</v>
      </c>
      <c r="AZ547" s="162">
        <v>3558.33</v>
      </c>
      <c r="BA547" s="162">
        <v>3558.33</v>
      </c>
    </row>
    <row r="548" spans="1:53">
      <c r="A548" s="172">
        <v>44013</v>
      </c>
      <c r="B548" s="180" t="s">
        <v>130</v>
      </c>
      <c r="C548" s="162" t="s">
        <v>131</v>
      </c>
      <c r="D548" s="162">
        <v>2808872020</v>
      </c>
      <c r="E548" s="162" t="s">
        <v>132</v>
      </c>
      <c r="F548" s="162">
        <v>875</v>
      </c>
      <c r="G548" s="162" t="s">
        <v>146</v>
      </c>
      <c r="H548" s="162" t="s">
        <v>144</v>
      </c>
      <c r="I548" s="162" t="s">
        <v>197</v>
      </c>
      <c r="J548" s="163">
        <v>4761.1400000000003</v>
      </c>
      <c r="K548" s="162" t="s">
        <v>198</v>
      </c>
      <c r="L548" s="162" t="s">
        <v>135</v>
      </c>
      <c r="M548" s="162" t="s">
        <v>233</v>
      </c>
      <c r="N548" s="162" t="s">
        <v>125</v>
      </c>
      <c r="O548" s="163">
        <v>4761.1400000000003</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c r="AU548" s="162" t="s">
        <v>273</v>
      </c>
      <c r="AV548" s="162">
        <v>1284</v>
      </c>
      <c r="AW548" s="162" t="s">
        <v>138</v>
      </c>
      <c r="AY548" s="162" t="s">
        <v>129</v>
      </c>
      <c r="AZ548" s="162">
        <v>3423.26</v>
      </c>
      <c r="BA548" s="162">
        <v>3423.26</v>
      </c>
    </row>
    <row r="549" spans="1:53">
      <c r="A549" s="172">
        <v>44013</v>
      </c>
      <c r="B549" s="180" t="s">
        <v>130</v>
      </c>
      <c r="C549" s="162" t="s">
        <v>131</v>
      </c>
      <c r="D549" s="162">
        <v>2510542020</v>
      </c>
      <c r="E549" s="162" t="s">
        <v>132</v>
      </c>
      <c r="F549" s="162">
        <v>875</v>
      </c>
      <c r="G549" s="162" t="s">
        <v>146</v>
      </c>
      <c r="H549" s="162" t="s">
        <v>144</v>
      </c>
      <c r="I549" s="162" t="s">
        <v>197</v>
      </c>
      <c r="J549" s="163">
        <v>111.97</v>
      </c>
      <c r="K549" s="162" t="s">
        <v>198</v>
      </c>
      <c r="L549" s="162" t="s">
        <v>135</v>
      </c>
      <c r="M549" s="162" t="s">
        <v>235</v>
      </c>
      <c r="N549" s="162" t="s">
        <v>125</v>
      </c>
      <c r="O549" s="163">
        <v>111.97</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c r="AU549" s="162" t="s">
        <v>275</v>
      </c>
      <c r="AV549" s="162">
        <v>1284</v>
      </c>
      <c r="AW549" s="162" t="s">
        <v>138</v>
      </c>
      <c r="AY549" s="162" t="s">
        <v>129</v>
      </c>
      <c r="AZ549" s="162">
        <v>5132.5600000000004</v>
      </c>
      <c r="BA549" s="162">
        <v>5132.5600000000004</v>
      </c>
    </row>
    <row r="550" spans="1:53">
      <c r="A550" s="172">
        <v>44013</v>
      </c>
      <c r="B550" s="180" t="s">
        <v>130</v>
      </c>
      <c r="C550" s="162" t="s">
        <v>131</v>
      </c>
      <c r="D550" s="162">
        <v>2510522020</v>
      </c>
      <c r="E550" s="162" t="s">
        <v>132</v>
      </c>
      <c r="F550" s="162">
        <v>875</v>
      </c>
      <c r="G550" s="162" t="s">
        <v>146</v>
      </c>
      <c r="H550" s="162" t="s">
        <v>144</v>
      </c>
      <c r="I550" s="162" t="s">
        <v>197</v>
      </c>
      <c r="J550" s="163">
        <v>573.84</v>
      </c>
      <c r="K550" s="162" t="s">
        <v>198</v>
      </c>
      <c r="L550" s="162" t="s">
        <v>135</v>
      </c>
      <c r="M550" s="162" t="s">
        <v>237</v>
      </c>
      <c r="N550" s="162" t="s">
        <v>125</v>
      </c>
      <c r="O550" s="163">
        <v>573.84</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c r="AU550" s="162" t="s">
        <v>277</v>
      </c>
      <c r="AV550" s="162">
        <v>1284</v>
      </c>
      <c r="AW550" s="162" t="s">
        <v>138</v>
      </c>
      <c r="AY550" s="162" t="s">
        <v>129</v>
      </c>
      <c r="AZ550" s="162">
        <v>978.07</v>
      </c>
      <c r="BA550" s="162">
        <v>978.07</v>
      </c>
    </row>
    <row r="551" spans="1:53">
      <c r="A551" s="172">
        <v>44013</v>
      </c>
      <c r="B551" s="180" t="s">
        <v>130</v>
      </c>
      <c r="C551" s="162" t="s">
        <v>131</v>
      </c>
      <c r="D551" s="162">
        <v>2510532020</v>
      </c>
      <c r="E551" s="162" t="s">
        <v>132</v>
      </c>
      <c r="F551" s="162">
        <v>875</v>
      </c>
      <c r="G551" s="162" t="s">
        <v>146</v>
      </c>
      <c r="H551" s="162" t="s">
        <v>144</v>
      </c>
      <c r="I551" s="162" t="s">
        <v>197</v>
      </c>
      <c r="J551" s="163">
        <v>1421.73</v>
      </c>
      <c r="K551" s="162" t="s">
        <v>198</v>
      </c>
      <c r="L551" s="162" t="s">
        <v>135</v>
      </c>
      <c r="M551" s="162" t="s">
        <v>239</v>
      </c>
      <c r="N551" s="162" t="s">
        <v>125</v>
      </c>
      <c r="O551" s="163">
        <v>1421.73</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c r="AU551" s="162" t="s">
        <v>279</v>
      </c>
      <c r="AV551" s="162">
        <v>1284</v>
      </c>
      <c r="AW551" s="162" t="s">
        <v>138</v>
      </c>
      <c r="AY551" s="162" t="s">
        <v>129</v>
      </c>
      <c r="AZ551" s="162">
        <v>1518.34</v>
      </c>
      <c r="BA551" s="162">
        <v>1518.34</v>
      </c>
    </row>
    <row r="552" spans="1:53">
      <c r="A552" s="172">
        <v>44013</v>
      </c>
      <c r="B552" s="180" t="s">
        <v>130</v>
      </c>
      <c r="C552" s="162" t="s">
        <v>131</v>
      </c>
      <c r="D552" s="162">
        <v>2876382020</v>
      </c>
      <c r="E552" s="162" t="s">
        <v>132</v>
      </c>
      <c r="F552" s="162">
        <v>875</v>
      </c>
      <c r="G552" s="162" t="s">
        <v>178</v>
      </c>
      <c r="H552" s="162" t="s">
        <v>144</v>
      </c>
      <c r="I552" s="162" t="s">
        <v>197</v>
      </c>
      <c r="J552" s="163">
        <v>231.66</v>
      </c>
      <c r="K552" s="162" t="s">
        <v>198</v>
      </c>
      <c r="L552" s="162" t="s">
        <v>135</v>
      </c>
      <c r="M552" s="162" t="s">
        <v>241</v>
      </c>
      <c r="N552" s="162" t="s">
        <v>125</v>
      </c>
      <c r="O552" s="163">
        <v>231.66</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c r="AU552" s="162" t="s">
        <v>150</v>
      </c>
      <c r="AV552" s="162">
        <v>1284</v>
      </c>
      <c r="AW552" s="162" t="s">
        <v>138</v>
      </c>
      <c r="AY552" s="162" t="s">
        <v>129</v>
      </c>
      <c r="AZ552" s="162">
        <v>4149.83</v>
      </c>
      <c r="BA552" s="162">
        <v>4149.83</v>
      </c>
    </row>
    <row r="553" spans="1:53">
      <c r="A553" s="172">
        <v>44013</v>
      </c>
      <c r="B553" s="180" t="s">
        <v>130</v>
      </c>
      <c r="C553" s="162" t="s">
        <v>131</v>
      </c>
      <c r="D553" s="162">
        <v>2751302020</v>
      </c>
      <c r="E553" s="162" t="s">
        <v>132</v>
      </c>
      <c r="F553" s="162">
        <v>875</v>
      </c>
      <c r="G553" s="162" t="s">
        <v>159</v>
      </c>
      <c r="H553" s="162" t="s">
        <v>144</v>
      </c>
      <c r="I553" s="162" t="s">
        <v>197</v>
      </c>
      <c r="J553" s="163">
        <v>177.86</v>
      </c>
      <c r="K553" s="162" t="s">
        <v>198</v>
      </c>
      <c r="L553" s="162" t="s">
        <v>135</v>
      </c>
      <c r="M553" s="162" t="s">
        <v>242</v>
      </c>
      <c r="N553" s="162" t="s">
        <v>125</v>
      </c>
      <c r="O553" s="163">
        <v>177.86</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c r="AU553" s="162">
        <v>182813540001</v>
      </c>
      <c r="AV553" s="162">
        <v>775</v>
      </c>
      <c r="AW553" s="162" t="s">
        <v>138</v>
      </c>
      <c r="AY553" s="162" t="s">
        <v>129</v>
      </c>
      <c r="AZ553" s="162">
        <v>1074.72</v>
      </c>
      <c r="BA553" s="162">
        <v>1074.72</v>
      </c>
    </row>
    <row r="554" spans="1:53">
      <c r="A554" s="172">
        <v>44013</v>
      </c>
      <c r="B554" s="180" t="s">
        <v>130</v>
      </c>
      <c r="C554" s="162" t="s">
        <v>131</v>
      </c>
      <c r="D554" s="162">
        <v>3011202020</v>
      </c>
      <c r="E554" s="162" t="s">
        <v>132</v>
      </c>
      <c r="F554" s="162">
        <v>875</v>
      </c>
      <c r="G554" s="162" t="s">
        <v>176</v>
      </c>
      <c r="H554" s="162" t="s">
        <v>144</v>
      </c>
      <c r="I554" s="162" t="s">
        <v>197</v>
      </c>
      <c r="J554" s="163">
        <v>9112.5</v>
      </c>
      <c r="K554" s="162" t="s">
        <v>198</v>
      </c>
      <c r="L554" s="162" t="s">
        <v>135</v>
      </c>
      <c r="M554" s="162" t="s">
        <v>244</v>
      </c>
      <c r="N554" s="162" t="s">
        <v>125</v>
      </c>
      <c r="O554" s="163">
        <v>9112.5</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c r="AU554" s="162">
        <v>182813540006</v>
      </c>
      <c r="AV554" s="162">
        <v>775</v>
      </c>
      <c r="AW554" s="162" t="s">
        <v>138</v>
      </c>
      <c r="AY554" s="162" t="s">
        <v>129</v>
      </c>
      <c r="AZ554" s="162">
        <v>1083.75</v>
      </c>
      <c r="BA554" s="162">
        <v>1083.75</v>
      </c>
    </row>
    <row r="555" spans="1:53">
      <c r="A555" s="172">
        <v>44013</v>
      </c>
      <c r="B555" s="180" t="s">
        <v>130</v>
      </c>
      <c r="C555" s="162" t="s">
        <v>131</v>
      </c>
      <c r="D555" s="162">
        <v>3011212020</v>
      </c>
      <c r="E555" s="162" t="s">
        <v>132</v>
      </c>
      <c r="F555" s="162">
        <v>875</v>
      </c>
      <c r="G555" s="162" t="s">
        <v>176</v>
      </c>
      <c r="H555" s="162" t="s">
        <v>144</v>
      </c>
      <c r="I555" s="162" t="s">
        <v>197</v>
      </c>
      <c r="J555" s="163">
        <v>9720</v>
      </c>
      <c r="K555" s="162" t="s">
        <v>198</v>
      </c>
      <c r="L555" s="162" t="s">
        <v>135</v>
      </c>
      <c r="M555" s="162" t="s">
        <v>245</v>
      </c>
      <c r="N555" s="162" t="s">
        <v>125</v>
      </c>
      <c r="O555" s="163">
        <v>9720</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c r="AU555" s="162">
        <v>182813540009</v>
      </c>
      <c r="AV555" s="162">
        <v>775</v>
      </c>
      <c r="AW555" s="162" t="s">
        <v>138</v>
      </c>
      <c r="AY555" s="162" t="s">
        <v>129</v>
      </c>
      <c r="AZ555" s="162">
        <v>903.13</v>
      </c>
      <c r="BA555" s="162">
        <v>903.13</v>
      </c>
    </row>
    <row r="556" spans="1:53">
      <c r="A556" s="172">
        <v>44013</v>
      </c>
      <c r="B556" s="180" t="s">
        <v>130</v>
      </c>
      <c r="C556" s="162" t="s">
        <v>131</v>
      </c>
      <c r="D556" s="162">
        <v>2510542020</v>
      </c>
      <c r="E556" s="162" t="s">
        <v>132</v>
      </c>
      <c r="F556" s="162">
        <v>875</v>
      </c>
      <c r="G556" s="162" t="s">
        <v>146</v>
      </c>
      <c r="H556" s="162" t="s">
        <v>144</v>
      </c>
      <c r="I556" s="162" t="s">
        <v>197</v>
      </c>
      <c r="J556" s="163">
        <v>1058.03</v>
      </c>
      <c r="K556" s="162" t="s">
        <v>198</v>
      </c>
      <c r="L556" s="162" t="s">
        <v>135</v>
      </c>
      <c r="M556" s="162" t="s">
        <v>246</v>
      </c>
      <c r="N556" s="162" t="s">
        <v>125</v>
      </c>
      <c r="O556" s="163">
        <v>1058.03</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c r="AU556" s="162" t="s">
        <v>291</v>
      </c>
      <c r="AV556" s="162">
        <v>1263</v>
      </c>
      <c r="AW556" s="162" t="s">
        <v>292</v>
      </c>
      <c r="AY556" s="162" t="s">
        <v>129</v>
      </c>
      <c r="AZ556" s="162">
        <v>60203.35</v>
      </c>
      <c r="BA556" s="162">
        <v>60203.35</v>
      </c>
    </row>
    <row r="557" spans="1:53">
      <c r="A557" s="172">
        <v>44013</v>
      </c>
      <c r="B557" s="180" t="s">
        <v>130</v>
      </c>
      <c r="C557" s="162" t="s">
        <v>131</v>
      </c>
      <c r="D557" s="162">
        <v>3011302020</v>
      </c>
      <c r="E557" s="162" t="s">
        <v>132</v>
      </c>
      <c r="F557" s="162">
        <v>875</v>
      </c>
      <c r="G557" s="162" t="s">
        <v>176</v>
      </c>
      <c r="H557" s="162" t="s">
        <v>144</v>
      </c>
      <c r="I557" s="162" t="s">
        <v>197</v>
      </c>
      <c r="J557" s="163">
        <v>6561</v>
      </c>
      <c r="K557" s="162" t="s">
        <v>198</v>
      </c>
      <c r="L557" s="162" t="s">
        <v>135</v>
      </c>
      <c r="M557" s="162" t="s">
        <v>248</v>
      </c>
      <c r="N557" s="162" t="s">
        <v>125</v>
      </c>
      <c r="O557" s="163">
        <v>6561</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c r="AU557" s="162" t="s">
        <v>297</v>
      </c>
      <c r="AV557" s="162">
        <v>801</v>
      </c>
      <c r="AW557" s="162" t="s">
        <v>292</v>
      </c>
      <c r="AY557" s="162" t="s">
        <v>173</v>
      </c>
      <c r="AZ557" s="162">
        <v>0</v>
      </c>
      <c r="BA557" s="162">
        <v>0</v>
      </c>
    </row>
    <row r="558" spans="1:53">
      <c r="A558" s="172">
        <v>44013</v>
      </c>
      <c r="B558" s="180" t="s">
        <v>130</v>
      </c>
      <c r="C558" s="162" t="s">
        <v>131</v>
      </c>
      <c r="D558" s="162">
        <v>2876382020</v>
      </c>
      <c r="E558" s="162" t="s">
        <v>132</v>
      </c>
      <c r="F558" s="162">
        <v>875</v>
      </c>
      <c r="G558" s="162" t="s">
        <v>178</v>
      </c>
      <c r="H558" s="162" t="s">
        <v>144</v>
      </c>
      <c r="I558" s="162" t="s">
        <v>197</v>
      </c>
      <c r="J558" s="163">
        <v>31.59</v>
      </c>
      <c r="K558" s="162" t="s">
        <v>198</v>
      </c>
      <c r="L558" s="162" t="s">
        <v>135</v>
      </c>
      <c r="M558" s="162" t="s">
        <v>249</v>
      </c>
      <c r="N558" s="162" t="s">
        <v>125</v>
      </c>
      <c r="O558" s="163">
        <v>31.59</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c r="AU558" s="162" t="s">
        <v>303</v>
      </c>
      <c r="AV558" s="162">
        <v>621</v>
      </c>
      <c r="AW558" s="162" t="s">
        <v>292</v>
      </c>
      <c r="AY558" s="162" t="s">
        <v>173</v>
      </c>
      <c r="AZ558" s="162">
        <v>-444.72</v>
      </c>
      <c r="BA558" s="162">
        <v>-444.72</v>
      </c>
    </row>
    <row r="559" spans="1:53">
      <c r="A559" s="172">
        <v>44013</v>
      </c>
      <c r="B559" s="180" t="s">
        <v>130</v>
      </c>
      <c r="C559" s="162" t="s">
        <v>131</v>
      </c>
      <c r="D559" s="162">
        <v>2719032020</v>
      </c>
      <c r="E559" s="162" t="s">
        <v>132</v>
      </c>
      <c r="F559" s="162">
        <v>875</v>
      </c>
      <c r="G559" s="162" t="s">
        <v>250</v>
      </c>
      <c r="H559" s="162" t="s">
        <v>144</v>
      </c>
      <c r="I559" s="162" t="s">
        <v>197</v>
      </c>
      <c r="J559" s="163">
        <v>54000</v>
      </c>
      <c r="K559" s="162" t="s">
        <v>198</v>
      </c>
      <c r="L559" s="162" t="s">
        <v>135</v>
      </c>
      <c r="M559" s="162" t="s">
        <v>251</v>
      </c>
      <c r="N559" s="162" t="s">
        <v>125</v>
      </c>
      <c r="O559" s="163">
        <v>54000</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c r="AU559" s="162">
        <v>328383</v>
      </c>
      <c r="AV559" s="162">
        <v>222</v>
      </c>
      <c r="AW559" s="162" t="s">
        <v>292</v>
      </c>
      <c r="AY559" s="162" t="s">
        <v>173</v>
      </c>
      <c r="AZ559" s="162">
        <v>-823.36</v>
      </c>
      <c r="BA559" s="162">
        <v>-823.36</v>
      </c>
    </row>
    <row r="560" spans="1:53">
      <c r="A560" s="172">
        <v>44013</v>
      </c>
      <c r="B560" s="180" t="s">
        <v>130</v>
      </c>
      <c r="C560" s="162" t="s">
        <v>131</v>
      </c>
      <c r="D560" s="162">
        <v>2719042020</v>
      </c>
      <c r="E560" s="162" t="s">
        <v>132</v>
      </c>
      <c r="F560" s="162">
        <v>875</v>
      </c>
      <c r="G560" s="162" t="s">
        <v>253</v>
      </c>
      <c r="H560" s="162" t="s">
        <v>144</v>
      </c>
      <c r="I560" s="162" t="s">
        <v>197</v>
      </c>
      <c r="J560" s="163">
        <v>35100</v>
      </c>
      <c r="K560" s="162" t="s">
        <v>198</v>
      </c>
      <c r="L560" s="162" t="s">
        <v>135</v>
      </c>
      <c r="M560" s="162" t="s">
        <v>254</v>
      </c>
      <c r="N560" s="162" t="s">
        <v>125</v>
      </c>
      <c r="O560" s="163">
        <v>35100</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c r="AU560" s="162" t="s">
        <v>303</v>
      </c>
      <c r="AV560" s="162">
        <v>621</v>
      </c>
      <c r="AW560" s="162" t="s">
        <v>292</v>
      </c>
      <c r="AY560" s="162" t="s">
        <v>173</v>
      </c>
      <c r="AZ560" s="162">
        <v>-32457.26</v>
      </c>
      <c r="BA560" s="162">
        <v>-8914.3799999999992</v>
      </c>
    </row>
    <row r="561" spans="1:53">
      <c r="A561" s="172">
        <v>44013</v>
      </c>
      <c r="B561" s="180" t="s">
        <v>130</v>
      </c>
      <c r="C561" s="162" t="s">
        <v>131</v>
      </c>
      <c r="D561" s="162">
        <v>2510532020</v>
      </c>
      <c r="E561" s="162" t="s">
        <v>132</v>
      </c>
      <c r="F561" s="162">
        <v>875</v>
      </c>
      <c r="G561" s="162" t="s">
        <v>146</v>
      </c>
      <c r="H561" s="162" t="s">
        <v>144</v>
      </c>
      <c r="I561" s="162" t="s">
        <v>197</v>
      </c>
      <c r="J561" s="163">
        <v>150.46</v>
      </c>
      <c r="K561" s="162" t="s">
        <v>198</v>
      </c>
      <c r="L561" s="162" t="s">
        <v>135</v>
      </c>
      <c r="M561" s="162" t="s">
        <v>256</v>
      </c>
      <c r="N561" s="162" t="s">
        <v>125</v>
      </c>
      <c r="O561" s="163">
        <v>150.46</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c r="AU561" s="162" t="s">
        <v>291</v>
      </c>
      <c r="AV561" s="162">
        <v>793</v>
      </c>
      <c r="AW561" s="162" t="s">
        <v>292</v>
      </c>
      <c r="AY561" s="162" t="s">
        <v>129</v>
      </c>
      <c r="AZ561" s="162">
        <v>62819.99</v>
      </c>
      <c r="BA561" s="162">
        <v>16619.09</v>
      </c>
    </row>
    <row r="562" spans="1:53">
      <c r="A562" s="172">
        <v>44013</v>
      </c>
      <c r="B562" s="180" t="s">
        <v>130</v>
      </c>
      <c r="C562" s="162" t="s">
        <v>131</v>
      </c>
      <c r="D562" s="162">
        <v>2876382020</v>
      </c>
      <c r="E562" s="162" t="s">
        <v>132</v>
      </c>
      <c r="F562" s="162">
        <v>875</v>
      </c>
      <c r="G562" s="162" t="s">
        <v>178</v>
      </c>
      <c r="H562" s="162" t="s">
        <v>144</v>
      </c>
      <c r="I562" s="162" t="s">
        <v>197</v>
      </c>
      <c r="J562" s="163">
        <v>15907.91</v>
      </c>
      <c r="K562" s="162" t="s">
        <v>198</v>
      </c>
      <c r="L562" s="162" t="s">
        <v>135</v>
      </c>
      <c r="M562" s="162" t="s">
        <v>258</v>
      </c>
      <c r="N562" s="162" t="s">
        <v>125</v>
      </c>
      <c r="O562" s="163">
        <v>15907.91</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53">
      <c r="A563" s="172">
        <v>44013</v>
      </c>
      <c r="B563" s="180" t="s">
        <v>130</v>
      </c>
      <c r="C563" s="162" t="s">
        <v>131</v>
      </c>
      <c r="D563" s="162">
        <v>2751322020</v>
      </c>
      <c r="E563" s="162" t="s">
        <v>132</v>
      </c>
      <c r="F563" s="162">
        <v>875</v>
      </c>
      <c r="G563" s="162" t="s">
        <v>152</v>
      </c>
      <c r="H563" s="162" t="s">
        <v>144</v>
      </c>
      <c r="I563" s="162" t="s">
        <v>197</v>
      </c>
      <c r="J563" s="163">
        <v>23739.5</v>
      </c>
      <c r="K563" s="162" t="s">
        <v>198</v>
      </c>
      <c r="L563" s="162" t="s">
        <v>135</v>
      </c>
      <c r="M563" s="162" t="s">
        <v>259</v>
      </c>
      <c r="N563" s="162" t="s">
        <v>125</v>
      </c>
      <c r="O563" s="163">
        <v>23739.5</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53">
      <c r="A564" s="172">
        <v>44013</v>
      </c>
      <c r="B564" s="180" t="s">
        <v>130</v>
      </c>
      <c r="C564" s="162" t="s">
        <v>131</v>
      </c>
      <c r="D564" s="162">
        <v>2751322020</v>
      </c>
      <c r="E564" s="162" t="s">
        <v>132</v>
      </c>
      <c r="F564" s="162">
        <v>875</v>
      </c>
      <c r="G564" s="162" t="s">
        <v>152</v>
      </c>
      <c r="H564" s="162" t="s">
        <v>144</v>
      </c>
      <c r="I564" s="162" t="s">
        <v>197</v>
      </c>
      <c r="J564" s="163">
        <v>560.51</v>
      </c>
      <c r="K564" s="162" t="s">
        <v>198</v>
      </c>
      <c r="L564" s="162" t="s">
        <v>135</v>
      </c>
      <c r="M564" s="162" t="s">
        <v>260</v>
      </c>
      <c r="N564" s="162" t="s">
        <v>125</v>
      </c>
      <c r="O564" s="163">
        <v>560.51</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53">
      <c r="A565" s="172">
        <v>44013</v>
      </c>
      <c r="B565" s="180" t="s">
        <v>130</v>
      </c>
      <c r="C565" s="162" t="s">
        <v>131</v>
      </c>
      <c r="D565" s="162">
        <v>2808872020</v>
      </c>
      <c r="E565" s="162" t="s">
        <v>132</v>
      </c>
      <c r="F565" s="162">
        <v>875</v>
      </c>
      <c r="G565" s="162" t="s">
        <v>146</v>
      </c>
      <c r="H565" s="162" t="s">
        <v>144</v>
      </c>
      <c r="I565" s="162" t="s">
        <v>197</v>
      </c>
      <c r="J565" s="163">
        <v>503.86</v>
      </c>
      <c r="K565" s="162" t="s">
        <v>198</v>
      </c>
      <c r="L565" s="162" t="s">
        <v>135</v>
      </c>
      <c r="M565" s="162" t="s">
        <v>262</v>
      </c>
      <c r="N565" s="162" t="s">
        <v>125</v>
      </c>
      <c r="O565" s="163">
        <v>503.86</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53">
      <c r="A566" s="172">
        <v>44013</v>
      </c>
      <c r="B566" s="180" t="s">
        <v>130</v>
      </c>
      <c r="C566" s="162" t="s">
        <v>131</v>
      </c>
      <c r="D566" s="162">
        <v>2876382020</v>
      </c>
      <c r="E566" s="162" t="s">
        <v>132</v>
      </c>
      <c r="F566" s="162">
        <v>875</v>
      </c>
      <c r="G566" s="162" t="s">
        <v>178</v>
      </c>
      <c r="H566" s="162" t="s">
        <v>144</v>
      </c>
      <c r="I566" s="162" t="s">
        <v>197</v>
      </c>
      <c r="J566" s="163">
        <v>2169.2600000000002</v>
      </c>
      <c r="K566" s="162" t="s">
        <v>198</v>
      </c>
      <c r="L566" s="162" t="s">
        <v>135</v>
      </c>
      <c r="M566" s="162" t="s">
        <v>264</v>
      </c>
      <c r="N566" s="162" t="s">
        <v>125</v>
      </c>
      <c r="O566" s="163">
        <v>2169.2600000000002</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53">
      <c r="A567" s="172">
        <v>44013</v>
      </c>
      <c r="B567" s="180" t="s">
        <v>130</v>
      </c>
      <c r="C567" s="162" t="s">
        <v>131</v>
      </c>
      <c r="D567" s="162">
        <v>2808872020</v>
      </c>
      <c r="E567" s="162" t="s">
        <v>132</v>
      </c>
      <c r="F567" s="162">
        <v>875</v>
      </c>
      <c r="G567" s="162" t="s">
        <v>146</v>
      </c>
      <c r="H567" s="162" t="s">
        <v>144</v>
      </c>
      <c r="I567" s="162" t="s">
        <v>197</v>
      </c>
      <c r="J567" s="163">
        <v>5422.41</v>
      </c>
      <c r="K567" s="162" t="s">
        <v>198</v>
      </c>
      <c r="L567" s="162" t="s">
        <v>135</v>
      </c>
      <c r="M567" s="162" t="s">
        <v>265</v>
      </c>
      <c r="N567" s="162" t="s">
        <v>125</v>
      </c>
      <c r="O567" s="163">
        <v>5422.41</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53">
      <c r="A568" s="172">
        <v>44013</v>
      </c>
      <c r="B568" s="180" t="s">
        <v>130</v>
      </c>
      <c r="C568" s="162" t="s">
        <v>131</v>
      </c>
      <c r="D568" s="162">
        <v>3021542020</v>
      </c>
      <c r="E568" s="162" t="s">
        <v>132</v>
      </c>
      <c r="F568" s="162">
        <v>0</v>
      </c>
      <c r="G568" s="162" t="s">
        <v>169</v>
      </c>
      <c r="H568" s="162" t="s">
        <v>170</v>
      </c>
      <c r="I568" s="162" t="s">
        <v>197</v>
      </c>
      <c r="J568" s="163">
        <v>4149.83</v>
      </c>
      <c r="K568" s="162" t="s">
        <v>198</v>
      </c>
      <c r="L568" s="162" t="s">
        <v>135</v>
      </c>
      <c r="M568" s="162" t="s">
        <v>266</v>
      </c>
      <c r="N568" s="162" t="s">
        <v>125</v>
      </c>
      <c r="O568" s="163">
        <v>4149.83</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53">
      <c r="A569" s="172">
        <v>44013</v>
      </c>
      <c r="B569" s="180" t="s">
        <v>130</v>
      </c>
      <c r="C569" s="162" t="s">
        <v>131</v>
      </c>
      <c r="D569" s="162">
        <v>3021602020</v>
      </c>
      <c r="E569" s="162" t="s">
        <v>132</v>
      </c>
      <c r="F569" s="162">
        <v>0</v>
      </c>
      <c r="G569" s="162" t="s">
        <v>169</v>
      </c>
      <c r="H569" s="162" t="s">
        <v>170</v>
      </c>
      <c r="I569" s="162" t="s">
        <v>197</v>
      </c>
      <c r="J569" s="163">
        <v>1956.15</v>
      </c>
      <c r="K569" s="162" t="s">
        <v>198</v>
      </c>
      <c r="L569" s="162" t="s">
        <v>135</v>
      </c>
      <c r="M569" s="162" t="s">
        <v>267</v>
      </c>
      <c r="N569" s="162" t="s">
        <v>125</v>
      </c>
      <c r="O569" s="163">
        <v>1956.15</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53">
      <c r="A570" s="172">
        <v>44013</v>
      </c>
      <c r="B570" s="180" t="s">
        <v>130</v>
      </c>
      <c r="C570" s="162" t="s">
        <v>131</v>
      </c>
      <c r="D570" s="162">
        <v>3021572020</v>
      </c>
      <c r="E570" s="162" t="s">
        <v>132</v>
      </c>
      <c r="F570" s="162">
        <v>0</v>
      </c>
      <c r="G570" s="162" t="s">
        <v>169</v>
      </c>
      <c r="H570" s="162" t="s">
        <v>170</v>
      </c>
      <c r="I570" s="162" t="s">
        <v>197</v>
      </c>
      <c r="J570" s="163">
        <v>3032.03</v>
      </c>
      <c r="K570" s="162" t="s">
        <v>198</v>
      </c>
      <c r="L570" s="162" t="s">
        <v>135</v>
      </c>
      <c r="M570" s="162" t="s">
        <v>268</v>
      </c>
      <c r="N570" s="162" t="s">
        <v>125</v>
      </c>
      <c r="O570" s="163">
        <v>3032.03</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53">
      <c r="A571" s="172">
        <v>44013</v>
      </c>
      <c r="B571" s="180" t="s">
        <v>130</v>
      </c>
      <c r="C571" s="162" t="s">
        <v>131</v>
      </c>
      <c r="D571" s="162">
        <v>3021592020</v>
      </c>
      <c r="E571" s="162" t="s">
        <v>132</v>
      </c>
      <c r="F571" s="162">
        <v>0</v>
      </c>
      <c r="G571" s="162" t="s">
        <v>169</v>
      </c>
      <c r="H571" s="162" t="s">
        <v>170</v>
      </c>
      <c r="I571" s="162" t="s">
        <v>197</v>
      </c>
      <c r="J571" s="163">
        <v>1956.15</v>
      </c>
      <c r="K571" s="162" t="s">
        <v>198</v>
      </c>
      <c r="L571" s="162" t="s">
        <v>135</v>
      </c>
      <c r="M571" s="162" t="s">
        <v>269</v>
      </c>
      <c r="N571" s="162" t="s">
        <v>125</v>
      </c>
      <c r="O571" s="163">
        <v>1956.15</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53">
      <c r="A572" s="172">
        <v>44013</v>
      </c>
      <c r="B572" s="180" t="s">
        <v>130</v>
      </c>
      <c r="C572" s="162" t="s">
        <v>131</v>
      </c>
      <c r="D572" s="162">
        <v>3021562020</v>
      </c>
      <c r="E572" s="162" t="s">
        <v>132</v>
      </c>
      <c r="F572" s="162">
        <v>0</v>
      </c>
      <c r="G572" s="162" t="s">
        <v>169</v>
      </c>
      <c r="H572" s="162" t="s">
        <v>170</v>
      </c>
      <c r="I572" s="162" t="s">
        <v>197</v>
      </c>
      <c r="J572" s="163">
        <v>3032.03</v>
      </c>
      <c r="K572" s="162" t="s">
        <v>198</v>
      </c>
      <c r="L572" s="162" t="s">
        <v>135</v>
      </c>
      <c r="M572" s="162" t="s">
        <v>270</v>
      </c>
      <c r="N572" s="162" t="s">
        <v>125</v>
      </c>
      <c r="O572" s="163">
        <v>3032.03</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53">
      <c r="A573" s="172">
        <v>44013</v>
      </c>
      <c r="B573" s="180" t="s">
        <v>130</v>
      </c>
      <c r="C573" s="162" t="s">
        <v>131</v>
      </c>
      <c r="D573" s="162">
        <v>3021532020</v>
      </c>
      <c r="E573" s="162" t="s">
        <v>132</v>
      </c>
      <c r="F573" s="162">
        <v>0</v>
      </c>
      <c r="G573" s="162" t="s">
        <v>169</v>
      </c>
      <c r="H573" s="162" t="s">
        <v>170</v>
      </c>
      <c r="I573" s="162" t="s">
        <v>197</v>
      </c>
      <c r="J573" s="163">
        <v>3558.33</v>
      </c>
      <c r="K573" s="162" t="s">
        <v>198</v>
      </c>
      <c r="L573" s="162" t="s">
        <v>135</v>
      </c>
      <c r="M573" s="162" t="s">
        <v>271</v>
      </c>
      <c r="N573" s="162" t="s">
        <v>125</v>
      </c>
      <c r="O573" s="163">
        <v>3558.33</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53">
      <c r="A574" s="172">
        <v>44013</v>
      </c>
      <c r="B574" s="180" t="s">
        <v>130</v>
      </c>
      <c r="C574" s="162" t="s">
        <v>131</v>
      </c>
      <c r="D574" s="162">
        <v>3021632020</v>
      </c>
      <c r="E574" s="162" t="s">
        <v>132</v>
      </c>
      <c r="F574" s="162">
        <v>0</v>
      </c>
      <c r="G574" s="162" t="s">
        <v>169</v>
      </c>
      <c r="H574" s="162" t="s">
        <v>170</v>
      </c>
      <c r="I574" s="162" t="s">
        <v>197</v>
      </c>
      <c r="J574" s="163">
        <v>3423.26</v>
      </c>
      <c r="K574" s="162" t="s">
        <v>198</v>
      </c>
      <c r="L574" s="162" t="s">
        <v>135</v>
      </c>
      <c r="M574" s="162" t="s">
        <v>272</v>
      </c>
      <c r="N574" s="162" t="s">
        <v>125</v>
      </c>
      <c r="O574" s="163">
        <v>3423.26</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53">
      <c r="A575" s="172">
        <v>44013</v>
      </c>
      <c r="B575" s="180" t="s">
        <v>130</v>
      </c>
      <c r="C575" s="162" t="s">
        <v>131</v>
      </c>
      <c r="D575" s="162">
        <v>3021622020</v>
      </c>
      <c r="E575" s="162" t="s">
        <v>132</v>
      </c>
      <c r="F575" s="162">
        <v>0</v>
      </c>
      <c r="G575" s="162" t="s">
        <v>169</v>
      </c>
      <c r="H575" s="162" t="s">
        <v>170</v>
      </c>
      <c r="I575" s="162" t="s">
        <v>197</v>
      </c>
      <c r="J575" s="163">
        <v>5132.5600000000004</v>
      </c>
      <c r="K575" s="162" t="s">
        <v>198</v>
      </c>
      <c r="L575" s="162" t="s">
        <v>135</v>
      </c>
      <c r="M575" s="162" t="s">
        <v>274</v>
      </c>
      <c r="N575" s="162" t="s">
        <v>125</v>
      </c>
      <c r="O575" s="163">
        <v>5132.5600000000004</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53">
      <c r="A576" s="172">
        <v>44013</v>
      </c>
      <c r="B576" s="180" t="s">
        <v>130</v>
      </c>
      <c r="C576" s="162" t="s">
        <v>131</v>
      </c>
      <c r="D576" s="162">
        <v>3021612020</v>
      </c>
      <c r="E576" s="162" t="s">
        <v>132</v>
      </c>
      <c r="F576" s="162">
        <v>0</v>
      </c>
      <c r="G576" s="162" t="s">
        <v>169</v>
      </c>
      <c r="H576" s="162" t="s">
        <v>170</v>
      </c>
      <c r="I576" s="162" t="s">
        <v>197</v>
      </c>
      <c r="J576" s="163">
        <v>978.07</v>
      </c>
      <c r="K576" s="162" t="s">
        <v>198</v>
      </c>
      <c r="L576" s="162" t="s">
        <v>135</v>
      </c>
      <c r="M576" s="162" t="s">
        <v>276</v>
      </c>
      <c r="N576" s="162" t="s">
        <v>125</v>
      </c>
      <c r="O576" s="163">
        <v>978.07</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c r="A577" s="172">
        <v>44013</v>
      </c>
      <c r="B577" s="180" t="s">
        <v>130</v>
      </c>
      <c r="C577" s="162" t="s">
        <v>131</v>
      </c>
      <c r="D577" s="162">
        <v>3021582020</v>
      </c>
      <c r="E577" s="162" t="s">
        <v>132</v>
      </c>
      <c r="F577" s="162">
        <v>0</v>
      </c>
      <c r="G577" s="162" t="s">
        <v>169</v>
      </c>
      <c r="H577" s="162" t="s">
        <v>170</v>
      </c>
      <c r="I577" s="162" t="s">
        <v>197</v>
      </c>
      <c r="J577" s="163">
        <v>1518.34</v>
      </c>
      <c r="K577" s="162" t="s">
        <v>198</v>
      </c>
      <c r="L577" s="162" t="s">
        <v>135</v>
      </c>
      <c r="M577" s="162" t="s">
        <v>278</v>
      </c>
      <c r="N577" s="162" t="s">
        <v>125</v>
      </c>
      <c r="O577" s="163">
        <v>1518.34</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c r="A578" s="172">
        <v>44013</v>
      </c>
      <c r="B578" s="180" t="s">
        <v>130</v>
      </c>
      <c r="C578" s="162" t="s">
        <v>131</v>
      </c>
      <c r="D578" s="162">
        <v>3021552020</v>
      </c>
      <c r="E578" s="162" t="s">
        <v>132</v>
      </c>
      <c r="F578" s="162">
        <v>0</v>
      </c>
      <c r="G578" s="162" t="s">
        <v>169</v>
      </c>
      <c r="H578" s="162" t="s">
        <v>170</v>
      </c>
      <c r="I578" s="162" t="s">
        <v>197</v>
      </c>
      <c r="J578" s="163">
        <v>4149.83</v>
      </c>
      <c r="K578" s="162" t="s">
        <v>198</v>
      </c>
      <c r="L578" s="162" t="s">
        <v>135</v>
      </c>
      <c r="M578" s="162" t="s">
        <v>280</v>
      </c>
      <c r="N578" s="162" t="s">
        <v>125</v>
      </c>
      <c r="O578" s="163">
        <v>4149.83</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c r="A579" s="172">
        <v>44013</v>
      </c>
      <c r="B579" s="180" t="s">
        <v>130</v>
      </c>
      <c r="C579" s="162" t="s">
        <v>131</v>
      </c>
      <c r="D579" s="162">
        <v>2890632020</v>
      </c>
      <c r="E579" s="162" t="s">
        <v>132</v>
      </c>
      <c r="F579" s="162">
        <v>775</v>
      </c>
      <c r="G579" s="162" t="s">
        <v>281</v>
      </c>
      <c r="H579" s="162" t="s">
        <v>139</v>
      </c>
      <c r="I579" s="162" t="s">
        <v>282</v>
      </c>
      <c r="J579" s="163">
        <v>1074.72</v>
      </c>
      <c r="K579" s="162" t="s">
        <v>282</v>
      </c>
      <c r="L579" s="162" t="s">
        <v>135</v>
      </c>
      <c r="M579" s="162" t="s">
        <v>283</v>
      </c>
      <c r="N579" s="162" t="s">
        <v>125</v>
      </c>
      <c r="O579" s="163">
        <v>1074.72</v>
      </c>
      <c r="P579" s="162" t="s">
        <v>136</v>
      </c>
      <c r="Q579" s="162" t="s">
        <v>136</v>
      </c>
      <c r="R579" s="162" t="s">
        <v>126</v>
      </c>
      <c r="S579" s="162" t="s">
        <v>2</v>
      </c>
      <c r="T579" s="162" t="s">
        <v>2</v>
      </c>
      <c r="U579" s="162" t="s">
        <v>127</v>
      </c>
      <c r="V579" s="162" t="s">
        <v>282</v>
      </c>
      <c r="W579" s="162" t="s">
        <v>282</v>
      </c>
      <c r="X579" s="162" t="s">
        <v>127</v>
      </c>
      <c r="Y579" s="164">
        <v>44013</v>
      </c>
      <c r="Z579" s="164">
        <v>44008</v>
      </c>
      <c r="AA579" s="164">
        <v>44008</v>
      </c>
      <c r="AB579" s="162" t="s">
        <v>137</v>
      </c>
      <c r="AC579" s="164">
        <v>44013</v>
      </c>
    </row>
    <row r="580" spans="1:29">
      <c r="A580" s="172">
        <v>44013</v>
      </c>
      <c r="B580" s="180" t="s">
        <v>130</v>
      </c>
      <c r="C580" s="162" t="s">
        <v>131</v>
      </c>
      <c r="D580" s="162">
        <v>2890642020</v>
      </c>
      <c r="E580" s="162" t="s">
        <v>132</v>
      </c>
      <c r="F580" s="162">
        <v>775</v>
      </c>
      <c r="G580" s="162" t="s">
        <v>281</v>
      </c>
      <c r="H580" s="162" t="s">
        <v>139</v>
      </c>
      <c r="I580" s="162" t="s">
        <v>282</v>
      </c>
      <c r="J580" s="163">
        <v>1083.75</v>
      </c>
      <c r="K580" s="162" t="s">
        <v>282</v>
      </c>
      <c r="L580" s="162" t="s">
        <v>135</v>
      </c>
      <c r="M580" s="162" t="s">
        <v>284</v>
      </c>
      <c r="N580" s="162" t="s">
        <v>125</v>
      </c>
      <c r="O580" s="163">
        <v>1083.75</v>
      </c>
      <c r="P580" s="162" t="s">
        <v>136</v>
      </c>
      <c r="Q580" s="162" t="s">
        <v>136</v>
      </c>
      <c r="R580" s="162" t="s">
        <v>126</v>
      </c>
      <c r="S580" s="162" t="s">
        <v>2</v>
      </c>
      <c r="T580" s="162" t="s">
        <v>2</v>
      </c>
      <c r="U580" s="162" t="s">
        <v>127</v>
      </c>
      <c r="V580" s="162" t="s">
        <v>282</v>
      </c>
      <c r="W580" s="162" t="s">
        <v>282</v>
      </c>
      <c r="X580" s="162" t="s">
        <v>127</v>
      </c>
      <c r="Y580" s="164">
        <v>44013</v>
      </c>
      <c r="Z580" s="164">
        <v>44008</v>
      </c>
      <c r="AA580" s="164">
        <v>44008</v>
      </c>
      <c r="AB580" s="162" t="s">
        <v>137</v>
      </c>
      <c r="AC580" s="164">
        <v>44013</v>
      </c>
    </row>
    <row r="581" spans="1:29">
      <c r="A581" s="172">
        <v>44013</v>
      </c>
      <c r="B581" s="180" t="s">
        <v>130</v>
      </c>
      <c r="C581" s="162" t="s">
        <v>131</v>
      </c>
      <c r="D581" s="162">
        <v>2890652020</v>
      </c>
      <c r="E581" s="162" t="s">
        <v>132</v>
      </c>
      <c r="F581" s="162">
        <v>775</v>
      </c>
      <c r="G581" s="162" t="s">
        <v>281</v>
      </c>
      <c r="H581" s="162" t="s">
        <v>139</v>
      </c>
      <c r="I581" s="162" t="s">
        <v>282</v>
      </c>
      <c r="J581" s="163">
        <v>903.13</v>
      </c>
      <c r="K581" s="162" t="s">
        <v>282</v>
      </c>
      <c r="L581" s="162" t="s">
        <v>135</v>
      </c>
      <c r="M581" s="162" t="s">
        <v>285</v>
      </c>
      <c r="N581" s="162" t="s">
        <v>125</v>
      </c>
      <c r="O581" s="163">
        <v>903.13</v>
      </c>
      <c r="P581" s="162" t="s">
        <v>136</v>
      </c>
      <c r="Q581" s="162" t="s">
        <v>136</v>
      </c>
      <c r="R581" s="162" t="s">
        <v>126</v>
      </c>
      <c r="S581" s="162" t="s">
        <v>2</v>
      </c>
      <c r="T581" s="162" t="s">
        <v>2</v>
      </c>
      <c r="U581" s="162" t="s">
        <v>127</v>
      </c>
      <c r="V581" s="162" t="s">
        <v>282</v>
      </c>
      <c r="W581" s="162" t="s">
        <v>282</v>
      </c>
      <c r="X581" s="162" t="s">
        <v>127</v>
      </c>
      <c r="Y581" s="164">
        <v>44013</v>
      </c>
      <c r="Z581" s="164">
        <v>44008</v>
      </c>
      <c r="AA581" s="164">
        <v>44008</v>
      </c>
      <c r="AB581" s="162" t="s">
        <v>137</v>
      </c>
      <c r="AC581" s="164">
        <v>44013</v>
      </c>
    </row>
    <row r="582" spans="1:29">
      <c r="A582" s="172">
        <v>44013</v>
      </c>
      <c r="B582" s="180" t="s">
        <v>130</v>
      </c>
      <c r="C582" s="162" t="s">
        <v>286</v>
      </c>
      <c r="D582" s="162" t="s">
        <v>287</v>
      </c>
      <c r="E582" s="162" t="s">
        <v>132</v>
      </c>
      <c r="F582" s="162">
        <v>0</v>
      </c>
      <c r="G582" s="162" t="s">
        <v>288</v>
      </c>
      <c r="H582" s="162" t="s">
        <v>289</v>
      </c>
      <c r="I582" s="162" t="s">
        <v>133</v>
      </c>
      <c r="J582" s="163">
        <v>60203.35</v>
      </c>
      <c r="K582" s="162" t="s">
        <v>134</v>
      </c>
      <c r="L582" s="162" t="s">
        <v>135</v>
      </c>
      <c r="M582" s="162" t="s">
        <v>290</v>
      </c>
      <c r="N582" s="162" t="s">
        <v>125</v>
      </c>
      <c r="O582" s="163">
        <v>60203.35</v>
      </c>
      <c r="P582" s="162" t="s">
        <v>136</v>
      </c>
      <c r="Q582" s="162" t="s">
        <v>136</v>
      </c>
      <c r="R582" s="162" t="s">
        <v>2</v>
      </c>
      <c r="S582" s="162" t="s">
        <v>2</v>
      </c>
      <c r="T582" s="162" t="s">
        <v>2</v>
      </c>
      <c r="U582" s="162" t="s">
        <v>127</v>
      </c>
      <c r="V582" s="162" t="s">
        <v>134</v>
      </c>
      <c r="W582" s="162" t="s">
        <v>134</v>
      </c>
      <c r="X582" s="162" t="s">
        <v>127</v>
      </c>
      <c r="Y582" s="164">
        <v>44014</v>
      </c>
      <c r="Z582" s="164">
        <v>44008</v>
      </c>
      <c r="AA582" s="164">
        <v>44008</v>
      </c>
      <c r="AB582" s="162" t="s">
        <v>137</v>
      </c>
      <c r="AC582" s="164">
        <v>43784</v>
      </c>
    </row>
    <row r="583" spans="1:29">
      <c r="A583" s="172">
        <v>44013</v>
      </c>
      <c r="B583" s="180" t="s">
        <v>130</v>
      </c>
      <c r="C583" s="162" t="s">
        <v>286</v>
      </c>
      <c r="D583" s="162" t="s">
        <v>293</v>
      </c>
      <c r="E583" s="162" t="s">
        <v>132</v>
      </c>
      <c r="F583" s="162">
        <v>801</v>
      </c>
      <c r="G583" s="162" t="s">
        <v>294</v>
      </c>
      <c r="H583" s="162" t="s">
        <v>140</v>
      </c>
      <c r="I583" s="162" t="s">
        <v>147</v>
      </c>
      <c r="J583" s="163">
        <v>0</v>
      </c>
      <c r="K583" s="162" t="s">
        <v>147</v>
      </c>
      <c r="L583" s="162" t="s">
        <v>135</v>
      </c>
      <c r="M583" s="162" t="s">
        <v>295</v>
      </c>
      <c r="N583" s="162" t="s">
        <v>296</v>
      </c>
      <c r="O583" s="163">
        <v>0</v>
      </c>
      <c r="P583" s="162" t="s">
        <v>136</v>
      </c>
      <c r="Q583" s="162" t="s">
        <v>136</v>
      </c>
      <c r="R583" s="162" t="s">
        <v>2</v>
      </c>
      <c r="S583" s="162" t="s">
        <v>2</v>
      </c>
      <c r="T583" s="162" t="s">
        <v>2</v>
      </c>
      <c r="U583" s="162" t="s">
        <v>127</v>
      </c>
      <c r="V583" s="162" t="s">
        <v>147</v>
      </c>
      <c r="W583" s="162" t="s">
        <v>147</v>
      </c>
      <c r="X583" s="162" t="s">
        <v>127</v>
      </c>
      <c r="Y583" s="164">
        <v>44013</v>
      </c>
      <c r="Z583" s="164">
        <v>44008</v>
      </c>
      <c r="AA583" s="164">
        <v>44008</v>
      </c>
      <c r="AB583" s="162" t="s">
        <v>137</v>
      </c>
      <c r="AC583" s="164">
        <v>44005</v>
      </c>
    </row>
    <row r="584" spans="1:29">
      <c r="A584" s="172">
        <v>44013</v>
      </c>
      <c r="B584" s="180" t="s">
        <v>130</v>
      </c>
      <c r="C584" s="162" t="s">
        <v>286</v>
      </c>
      <c r="D584" s="162" t="s">
        <v>298</v>
      </c>
      <c r="E584" s="162" t="s">
        <v>132</v>
      </c>
      <c r="F584" s="162">
        <v>621</v>
      </c>
      <c r="G584" s="162" t="s">
        <v>299</v>
      </c>
      <c r="H584" s="162" t="s">
        <v>300</v>
      </c>
      <c r="I584" s="162" t="s">
        <v>171</v>
      </c>
      <c r="J584" s="163">
        <v>444.72</v>
      </c>
      <c r="K584" s="162" t="s">
        <v>172</v>
      </c>
      <c r="L584" s="162" t="s">
        <v>135</v>
      </c>
      <c r="M584" s="162" t="s">
        <v>301</v>
      </c>
      <c r="N584" s="162" t="s">
        <v>302</v>
      </c>
      <c r="O584" s="163">
        <v>444.72</v>
      </c>
      <c r="P584" s="162" t="s">
        <v>149</v>
      </c>
      <c r="Q584" s="162" t="s">
        <v>149</v>
      </c>
      <c r="R584" s="162" t="s">
        <v>2</v>
      </c>
      <c r="S584" s="162" t="s">
        <v>2</v>
      </c>
      <c r="T584" s="162" t="s">
        <v>2</v>
      </c>
      <c r="U584" s="162" t="s">
        <v>127</v>
      </c>
      <c r="V584" s="162" t="s">
        <v>172</v>
      </c>
      <c r="W584" s="162" t="s">
        <v>172</v>
      </c>
      <c r="X584" s="162" t="s">
        <v>127</v>
      </c>
      <c r="Y584" s="164">
        <v>44013</v>
      </c>
      <c r="Z584" s="164">
        <v>44008</v>
      </c>
      <c r="AA584" s="164">
        <v>44008</v>
      </c>
      <c r="AB584" s="162" t="s">
        <v>137</v>
      </c>
    </row>
    <row r="585" spans="1:29">
      <c r="A585" s="172">
        <v>44013</v>
      </c>
      <c r="B585" s="180" t="s">
        <v>130</v>
      </c>
      <c r="C585" s="162" t="s">
        <v>286</v>
      </c>
      <c r="D585" s="162" t="s">
        <v>304</v>
      </c>
      <c r="E585" s="162" t="s">
        <v>132</v>
      </c>
      <c r="F585" s="162">
        <v>222</v>
      </c>
      <c r="G585" s="162">
        <v>48826</v>
      </c>
      <c r="H585" s="162" t="s">
        <v>305</v>
      </c>
      <c r="I585" s="162" t="s">
        <v>197</v>
      </c>
      <c r="J585" s="163">
        <v>823.36</v>
      </c>
      <c r="K585" s="162" t="s">
        <v>198</v>
      </c>
      <c r="L585" s="162" t="s">
        <v>135</v>
      </c>
      <c r="M585" s="162" t="s">
        <v>306</v>
      </c>
      <c r="N585" s="162" t="s">
        <v>302</v>
      </c>
      <c r="O585" s="163">
        <v>823.36</v>
      </c>
      <c r="P585" s="162" t="s">
        <v>149</v>
      </c>
      <c r="Q585" s="162" t="s">
        <v>149</v>
      </c>
      <c r="R585" s="162" t="s">
        <v>2</v>
      </c>
      <c r="S585" s="162" t="s">
        <v>2</v>
      </c>
      <c r="T585" s="162" t="s">
        <v>2</v>
      </c>
      <c r="U585" s="162" t="s">
        <v>127</v>
      </c>
      <c r="V585" s="162" t="s">
        <v>198</v>
      </c>
      <c r="W585" s="162" t="s">
        <v>198</v>
      </c>
      <c r="X585" s="162" t="s">
        <v>127</v>
      </c>
      <c r="Y585" s="164">
        <v>44013</v>
      </c>
      <c r="Z585" s="164">
        <v>44008</v>
      </c>
      <c r="AA585" s="164">
        <v>44008</v>
      </c>
      <c r="AB585" s="162" t="s">
        <v>137</v>
      </c>
    </row>
    <row r="586" spans="1:29">
      <c r="A586" s="172">
        <v>44013</v>
      </c>
      <c r="B586" s="180" t="s">
        <v>130</v>
      </c>
      <c r="C586" s="162" t="s">
        <v>286</v>
      </c>
      <c r="D586" s="162" t="s">
        <v>298</v>
      </c>
      <c r="E586" s="162" t="s">
        <v>132</v>
      </c>
      <c r="F586" s="162">
        <v>621</v>
      </c>
      <c r="G586" s="162" t="s">
        <v>299</v>
      </c>
      <c r="H586" s="162" t="s">
        <v>300</v>
      </c>
      <c r="I586" s="162" t="s">
        <v>197</v>
      </c>
      <c r="J586" s="163">
        <v>8914.3799999999992</v>
      </c>
      <c r="K586" s="162" t="s">
        <v>198</v>
      </c>
      <c r="L586" s="162" t="s">
        <v>135</v>
      </c>
      <c r="M586" s="162" t="s">
        <v>307</v>
      </c>
      <c r="N586" s="162" t="s">
        <v>302</v>
      </c>
      <c r="O586" s="163">
        <v>32457.26</v>
      </c>
      <c r="P586" s="162" t="s">
        <v>149</v>
      </c>
      <c r="Q586" s="162" t="s">
        <v>149</v>
      </c>
      <c r="R586" s="162" t="s">
        <v>2</v>
      </c>
      <c r="S586" s="162" t="s">
        <v>2</v>
      </c>
      <c r="T586" s="162" t="s">
        <v>2</v>
      </c>
      <c r="U586" s="162" t="s">
        <v>128</v>
      </c>
      <c r="V586" s="162" t="s">
        <v>308</v>
      </c>
      <c r="W586" s="162" t="s">
        <v>308</v>
      </c>
      <c r="X586" s="162" t="s">
        <v>127</v>
      </c>
      <c r="Y586" s="164">
        <v>44013</v>
      </c>
      <c r="Z586" s="164">
        <v>44008</v>
      </c>
      <c r="AA586" s="164">
        <v>44008</v>
      </c>
      <c r="AB586" s="162" t="s">
        <v>137</v>
      </c>
    </row>
    <row r="587" spans="1:29">
      <c r="A587" s="172">
        <v>44013</v>
      </c>
      <c r="B587" s="180" t="s">
        <v>130</v>
      </c>
      <c r="C587" s="162" t="s">
        <v>286</v>
      </c>
      <c r="D587" s="162" t="s">
        <v>309</v>
      </c>
      <c r="E587" s="162" t="s">
        <v>132</v>
      </c>
      <c r="F587" s="162">
        <v>793</v>
      </c>
      <c r="G587" s="162" t="s">
        <v>310</v>
      </c>
      <c r="H587" s="162" t="s">
        <v>311</v>
      </c>
      <c r="I587" s="162" t="s">
        <v>197</v>
      </c>
      <c r="J587" s="163">
        <v>16619.09</v>
      </c>
      <c r="K587" s="162" t="s">
        <v>198</v>
      </c>
      <c r="L587" s="162" t="s">
        <v>135</v>
      </c>
      <c r="M587" s="162" t="s">
        <v>312</v>
      </c>
      <c r="N587" s="162" t="s">
        <v>125</v>
      </c>
      <c r="O587" s="163">
        <v>62819.99</v>
      </c>
      <c r="P587" s="162" t="s">
        <v>136</v>
      </c>
      <c r="Q587" s="162" t="s">
        <v>136</v>
      </c>
      <c r="R587" s="162" t="s">
        <v>2</v>
      </c>
      <c r="S587" s="162" t="s">
        <v>2</v>
      </c>
      <c r="T587" s="162" t="s">
        <v>2</v>
      </c>
      <c r="U587" s="162" t="s">
        <v>128</v>
      </c>
      <c r="V587" s="162" t="s">
        <v>313</v>
      </c>
      <c r="W587" s="162" t="s">
        <v>313</v>
      </c>
      <c r="X587" s="162" t="s">
        <v>127</v>
      </c>
      <c r="Y587" s="164">
        <v>44013</v>
      </c>
      <c r="Z587" s="164">
        <v>44008</v>
      </c>
      <c r="AA587" s="164">
        <v>44008</v>
      </c>
      <c r="AB587" s="162" t="s">
        <v>137</v>
      </c>
      <c r="AC587" s="164">
        <v>44012</v>
      </c>
    </row>
  </sheetData>
  <phoneticPr fontId="67" type="noConversion"/>
  <conditionalFormatting sqref="AT4:AU10 A12:AC13 AT12:AU12 AF12:AR13 A4:AR5 AD7:AE13 AF7:AR10 A7:AC10">
    <cfRule type="expression" dxfId="78" priority="32">
      <formula>$AP4 = "in progress"</formula>
    </cfRule>
  </conditionalFormatting>
  <conditionalFormatting sqref="AT13:AU13">
    <cfRule type="expression" dxfId="77" priority="6">
      <formula>$AP13 = "in progress"</formula>
    </cfRule>
  </conditionalFormatting>
  <conditionalFormatting sqref="A11:AC11 AT11:AU11 AF11:AR11">
    <cfRule type="expression" dxfId="76" priority="5">
      <formula>$AP11 = "in progress"</formula>
    </cfRule>
  </conditionalFormatting>
  <conditionalFormatting sqref="A6:AR6">
    <cfRule type="expression" dxfId="75" priority="1">
      <formula>$AP6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c r="D2" s="65"/>
      <c r="E2" s="65"/>
      <c r="F2" s="65"/>
      <c r="G2" s="65"/>
      <c r="H2" s="65"/>
      <c r="I2" s="65"/>
      <c r="J2" s="65"/>
      <c r="N2" s="66" t="s">
        <v>19</v>
      </c>
      <c r="O2" s="66"/>
      <c r="P2" s="66"/>
      <c r="R2" s="67">
        <v>1234</v>
      </c>
    </row>
    <row r="3" spans="1:62" ht="19.5">
      <c r="D3" s="71" t="s">
        <v>20</v>
      </c>
      <c r="E3" s="65"/>
      <c r="F3" s="65"/>
      <c r="G3" s="65"/>
      <c r="H3" s="65"/>
      <c r="I3" s="65"/>
      <c r="J3" s="65"/>
      <c r="N3" s="66" t="s">
        <v>21</v>
      </c>
      <c r="O3" s="66"/>
      <c r="P3" s="66"/>
      <c r="R3" s="67">
        <v>0</v>
      </c>
    </row>
    <row r="4" spans="1:62" ht="19.5">
      <c r="D4" s="72" t="s">
        <v>22</v>
      </c>
      <c r="E4" s="72"/>
      <c r="F4" s="72"/>
      <c r="G4" s="72"/>
      <c r="H4" s="72"/>
      <c r="I4" s="72"/>
      <c r="J4" s="65"/>
      <c r="N4" s="67" t="s">
        <v>23</v>
      </c>
      <c r="O4" s="67"/>
      <c r="P4" s="67"/>
      <c r="Q4" s="67"/>
      <c r="R4" s="67">
        <v>0</v>
      </c>
    </row>
    <row r="5" spans="1:62" ht="19.5">
      <c r="D5" s="73" t="s">
        <v>24</v>
      </c>
      <c r="E5" s="73"/>
      <c r="F5" s="73"/>
      <c r="G5" s="73"/>
      <c r="H5" s="65"/>
      <c r="I5" s="65"/>
      <c r="J5" s="65"/>
      <c r="N5" s="67" t="s">
        <v>25</v>
      </c>
      <c r="O5" s="67"/>
      <c r="P5" s="67"/>
      <c r="Q5" s="67"/>
      <c r="R5" s="67">
        <v>0</v>
      </c>
    </row>
    <row r="6" spans="1:62" ht="19.5">
      <c r="D6" s="65"/>
      <c r="E6" s="65"/>
      <c r="F6" s="65"/>
      <c r="G6" s="65"/>
      <c r="H6" s="65"/>
      <c r="I6" s="65"/>
      <c r="J6" s="65"/>
      <c r="N6" s="67" t="s">
        <v>26</v>
      </c>
      <c r="O6" s="67"/>
      <c r="P6" s="67"/>
      <c r="Q6" s="67"/>
      <c r="R6" s="67">
        <v>0</v>
      </c>
    </row>
    <row r="8" spans="1:62" s="69" customFormat="1">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c r="AH158" s="105">
        <f t="shared" si="28"/>
        <v>0</v>
      </c>
      <c r="AS158" s="105">
        <f t="shared" si="27"/>
        <v>0</v>
      </c>
      <c r="AT158" s="105">
        <f t="shared" si="32"/>
        <v>0</v>
      </c>
      <c r="AV158" s="105" t="s">
        <v>93</v>
      </c>
      <c r="AW158" s="105">
        <v>38</v>
      </c>
      <c r="AX158" s="105">
        <v>22</v>
      </c>
      <c r="AY158" s="105">
        <v>2</v>
      </c>
      <c r="AZ158" s="106">
        <f t="shared" si="31"/>
        <v>0</v>
      </c>
      <c r="BJ158" s="105">
        <v>1</v>
      </c>
    </row>
    <row r="159" spans="33:62">
      <c r="AH159" s="105">
        <f t="shared" si="28"/>
        <v>0</v>
      </c>
      <c r="AS159" s="105">
        <f t="shared" si="27"/>
        <v>0</v>
      </c>
      <c r="AT159" s="105">
        <f t="shared" si="32"/>
        <v>0</v>
      </c>
      <c r="AV159" s="105" t="s">
        <v>93</v>
      </c>
      <c r="AW159" s="105">
        <v>38</v>
      </c>
      <c r="AX159" s="105">
        <v>22</v>
      </c>
      <c r="AY159" s="105">
        <v>2</v>
      </c>
      <c r="AZ159" s="106">
        <f t="shared" si="31"/>
        <v>0</v>
      </c>
      <c r="BJ159" s="105">
        <v>1</v>
      </c>
    </row>
    <row r="160" spans="33:62">
      <c r="AH160" s="105">
        <f t="shared" si="28"/>
        <v>0</v>
      </c>
      <c r="AS160" s="105">
        <f t="shared" si="27"/>
        <v>0</v>
      </c>
      <c r="AT160" s="105">
        <f t="shared" si="32"/>
        <v>0</v>
      </c>
      <c r="AV160" s="105" t="s">
        <v>93</v>
      </c>
      <c r="AW160" s="105">
        <v>38</v>
      </c>
      <c r="AX160" s="105">
        <v>22</v>
      </c>
      <c r="AY160" s="105">
        <v>2</v>
      </c>
      <c r="AZ160" s="106">
        <f t="shared" si="31"/>
        <v>0</v>
      </c>
      <c r="BJ160" s="105">
        <v>1</v>
      </c>
    </row>
    <row r="161" spans="34:62">
      <c r="AH161" s="105">
        <f t="shared" si="28"/>
        <v>0</v>
      </c>
      <c r="AS161" s="105">
        <f t="shared" si="27"/>
        <v>0</v>
      </c>
      <c r="AT161" s="105">
        <f t="shared" si="32"/>
        <v>0</v>
      </c>
      <c r="AV161" s="105" t="s">
        <v>93</v>
      </c>
      <c r="AW161" s="105">
        <v>38</v>
      </c>
      <c r="AX161" s="105">
        <v>22</v>
      </c>
      <c r="AY161" s="105">
        <v>2</v>
      </c>
      <c r="AZ161" s="106">
        <f t="shared" si="31"/>
        <v>0</v>
      </c>
      <c r="BJ161" s="105">
        <v>1</v>
      </c>
    </row>
    <row r="162" spans="34:62">
      <c r="AH162" s="105">
        <f t="shared" si="28"/>
        <v>0</v>
      </c>
      <c r="AS162" s="105">
        <f t="shared" si="27"/>
        <v>0</v>
      </c>
      <c r="AT162" s="105">
        <f t="shared" si="32"/>
        <v>0</v>
      </c>
      <c r="AV162" s="105" t="s">
        <v>93</v>
      </c>
      <c r="AW162" s="105">
        <v>38</v>
      </c>
      <c r="AX162" s="105">
        <v>22</v>
      </c>
      <c r="AY162" s="105">
        <v>2</v>
      </c>
      <c r="AZ162" s="106">
        <f t="shared" si="31"/>
        <v>0</v>
      </c>
      <c r="BJ162" s="105">
        <v>1</v>
      </c>
    </row>
    <row r="163" spans="34:62">
      <c r="AH163" s="105">
        <f t="shared" si="28"/>
        <v>0</v>
      </c>
      <c r="AS163" s="105">
        <f t="shared" si="27"/>
        <v>0</v>
      </c>
      <c r="AT163" s="105">
        <f t="shared" si="32"/>
        <v>0</v>
      </c>
      <c r="AV163" s="105" t="s">
        <v>93</v>
      </c>
      <c r="AW163" s="105">
        <v>38</v>
      </c>
      <c r="AX163" s="105">
        <v>22</v>
      </c>
      <c r="AY163" s="105">
        <v>2</v>
      </c>
      <c r="AZ163" s="106">
        <f t="shared" si="31"/>
        <v>0</v>
      </c>
      <c r="BJ163" s="105">
        <v>1</v>
      </c>
    </row>
    <row r="164" spans="34:62">
      <c r="AH164" s="105">
        <f t="shared" si="28"/>
        <v>0</v>
      </c>
      <c r="AS164" s="105">
        <f t="shared" si="27"/>
        <v>0</v>
      </c>
      <c r="AT164" s="105">
        <f t="shared" si="32"/>
        <v>0</v>
      </c>
      <c r="AV164" s="105" t="s">
        <v>93</v>
      </c>
      <c r="AW164" s="105">
        <v>38</v>
      </c>
      <c r="AX164" s="105">
        <v>22</v>
      </c>
      <c r="AY164" s="105">
        <v>2</v>
      </c>
      <c r="AZ164" s="106">
        <f t="shared" si="31"/>
        <v>0</v>
      </c>
      <c r="BJ164" s="105">
        <v>1</v>
      </c>
    </row>
    <row r="165" spans="34:6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c r="AH166" s="105">
        <f t="shared" si="28"/>
        <v>0</v>
      </c>
      <c r="AS166" s="105">
        <f t="shared" si="33"/>
        <v>0</v>
      </c>
      <c r="AT166" s="105">
        <f t="shared" si="32"/>
        <v>0</v>
      </c>
      <c r="AV166" s="105" t="s">
        <v>93</v>
      </c>
      <c r="AW166" s="105">
        <v>38</v>
      </c>
      <c r="AX166" s="105">
        <v>22</v>
      </c>
      <c r="AY166" s="105">
        <v>2</v>
      </c>
      <c r="AZ166" s="106">
        <f t="shared" si="31"/>
        <v>0</v>
      </c>
      <c r="BJ166" s="105">
        <v>1</v>
      </c>
    </row>
    <row r="167" spans="34:62">
      <c r="AH167" s="105">
        <f t="shared" si="28"/>
        <v>0</v>
      </c>
      <c r="AS167" s="105">
        <f t="shared" si="33"/>
        <v>0</v>
      </c>
      <c r="AT167" s="105">
        <f t="shared" si="32"/>
        <v>0</v>
      </c>
      <c r="AV167" s="105" t="s">
        <v>93</v>
      </c>
      <c r="AW167" s="105">
        <v>38</v>
      </c>
      <c r="AX167" s="105">
        <v>22</v>
      </c>
      <c r="AY167" s="105">
        <v>2</v>
      </c>
      <c r="AZ167" s="106">
        <f t="shared" si="31"/>
        <v>0</v>
      </c>
      <c r="BJ167" s="105">
        <v>1</v>
      </c>
    </row>
    <row r="168" spans="34:62">
      <c r="AH168" s="105">
        <f t="shared" si="28"/>
        <v>0</v>
      </c>
      <c r="AS168" s="105">
        <f t="shared" si="33"/>
        <v>0</v>
      </c>
      <c r="AT168" s="105">
        <f t="shared" si="32"/>
        <v>0</v>
      </c>
      <c r="AV168" s="105" t="s">
        <v>93</v>
      </c>
      <c r="AW168" s="105">
        <v>38</v>
      </c>
      <c r="AX168" s="105">
        <v>22</v>
      </c>
      <c r="AY168" s="105">
        <v>2</v>
      </c>
      <c r="AZ168" s="106">
        <f t="shared" si="31"/>
        <v>0</v>
      </c>
      <c r="BJ168" s="105">
        <v>1</v>
      </c>
    </row>
    <row r="169" spans="34:62">
      <c r="AH169" s="105">
        <f t="shared" si="28"/>
        <v>0</v>
      </c>
      <c r="AS169" s="105">
        <f t="shared" si="33"/>
        <v>0</v>
      </c>
      <c r="AT169" s="105">
        <f t="shared" si="32"/>
        <v>0</v>
      </c>
      <c r="AV169" s="105" t="s">
        <v>93</v>
      </c>
      <c r="AW169" s="105">
        <v>38</v>
      </c>
      <c r="AX169" s="105">
        <v>22</v>
      </c>
      <c r="AY169" s="105">
        <v>2</v>
      </c>
      <c r="AZ169" s="106">
        <f t="shared" si="31"/>
        <v>0</v>
      </c>
      <c r="BJ169" s="105">
        <v>1</v>
      </c>
    </row>
    <row r="170" spans="34:62">
      <c r="AH170" s="105">
        <f t="shared" si="28"/>
        <v>0</v>
      </c>
      <c r="AS170" s="105">
        <f t="shared" si="33"/>
        <v>0</v>
      </c>
      <c r="AT170" s="105">
        <f t="shared" si="32"/>
        <v>0</v>
      </c>
      <c r="AV170" s="105" t="s">
        <v>93</v>
      </c>
      <c r="AW170" s="105">
        <v>38</v>
      </c>
      <c r="AX170" s="105">
        <v>22</v>
      </c>
      <c r="AY170" s="105">
        <v>2</v>
      </c>
      <c r="AZ170" s="106">
        <f t="shared" si="31"/>
        <v>0</v>
      </c>
      <c r="BJ170" s="105">
        <v>1</v>
      </c>
    </row>
    <row r="171" spans="34:6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c r="AH172" s="105">
        <f t="shared" si="34"/>
        <v>0</v>
      </c>
      <c r="AS172" s="105">
        <f t="shared" si="33"/>
        <v>0</v>
      </c>
      <c r="AT172" s="105">
        <f t="shared" si="32"/>
        <v>0</v>
      </c>
      <c r="AV172" s="105" t="s">
        <v>93</v>
      </c>
      <c r="AW172" s="105">
        <v>38</v>
      </c>
      <c r="AX172" s="105">
        <v>22</v>
      </c>
      <c r="AY172" s="105">
        <v>2</v>
      </c>
      <c r="AZ172" s="106">
        <f t="shared" si="31"/>
        <v>0</v>
      </c>
      <c r="BJ172" s="105">
        <v>1</v>
      </c>
    </row>
    <row r="173" spans="34:62">
      <c r="AH173" s="105">
        <f t="shared" si="34"/>
        <v>0</v>
      </c>
      <c r="AS173" s="105">
        <f t="shared" si="33"/>
        <v>0</v>
      </c>
      <c r="AT173" s="105">
        <f t="shared" si="32"/>
        <v>0</v>
      </c>
      <c r="AV173" s="105" t="s">
        <v>93</v>
      </c>
      <c r="AW173" s="105">
        <v>38</v>
      </c>
      <c r="AX173" s="105">
        <v>22</v>
      </c>
      <c r="AY173" s="105">
        <v>2</v>
      </c>
      <c r="AZ173" s="106">
        <f t="shared" si="31"/>
        <v>0</v>
      </c>
      <c r="BJ173" s="105">
        <v>1</v>
      </c>
    </row>
    <row r="174" spans="34:62">
      <c r="AH174" s="105">
        <f t="shared" si="34"/>
        <v>0</v>
      </c>
      <c r="AS174" s="105">
        <f t="shared" si="33"/>
        <v>0</v>
      </c>
      <c r="AT174" s="105">
        <f t="shared" si="32"/>
        <v>0</v>
      </c>
      <c r="AV174" s="105" t="s">
        <v>93</v>
      </c>
      <c r="AW174" s="105">
        <v>38</v>
      </c>
      <c r="AX174" s="105">
        <v>22</v>
      </c>
      <c r="AY174" s="105">
        <v>2</v>
      </c>
      <c r="AZ174" s="106">
        <f t="shared" si="31"/>
        <v>0</v>
      </c>
      <c r="BJ174" s="105">
        <v>1</v>
      </c>
    </row>
    <row r="175" spans="34:62">
      <c r="AH175" s="105">
        <f t="shared" si="34"/>
        <v>0</v>
      </c>
      <c r="AS175" s="105">
        <f t="shared" si="33"/>
        <v>0</v>
      </c>
      <c r="AT175" s="105">
        <f t="shared" si="32"/>
        <v>0</v>
      </c>
      <c r="AV175" s="105" t="s">
        <v>93</v>
      </c>
      <c r="AW175" s="105">
        <v>38</v>
      </c>
      <c r="AX175" s="105">
        <v>22</v>
      </c>
      <c r="AY175" s="105">
        <v>2</v>
      </c>
      <c r="AZ175" s="106">
        <f t="shared" si="31"/>
        <v>0</v>
      </c>
      <c r="BJ175" s="105">
        <v>1</v>
      </c>
    </row>
    <row r="176" spans="34:6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c r="AH177" s="105">
        <f t="shared" si="34"/>
        <v>0</v>
      </c>
      <c r="AS177" s="105">
        <f t="shared" si="33"/>
        <v>0</v>
      </c>
      <c r="AT177" s="105">
        <f t="shared" si="35"/>
        <v>0</v>
      </c>
      <c r="AV177" s="105" t="s">
        <v>93</v>
      </c>
      <c r="AW177" s="105">
        <v>38</v>
      </c>
      <c r="AX177" s="105">
        <v>22</v>
      </c>
      <c r="AY177" s="105">
        <v>2</v>
      </c>
      <c r="AZ177" s="106">
        <f t="shared" si="31"/>
        <v>0</v>
      </c>
      <c r="BJ177" s="105">
        <v>1</v>
      </c>
    </row>
    <row r="178" spans="34:62">
      <c r="AH178" s="105">
        <f t="shared" si="34"/>
        <v>0</v>
      </c>
      <c r="AS178" s="105">
        <f t="shared" si="33"/>
        <v>0</v>
      </c>
      <c r="AT178" s="105">
        <f t="shared" si="35"/>
        <v>0</v>
      </c>
      <c r="AV178" s="105" t="s">
        <v>93</v>
      </c>
      <c r="AW178" s="105">
        <v>38</v>
      </c>
      <c r="AX178" s="105">
        <v>22</v>
      </c>
      <c r="AY178" s="105">
        <v>2</v>
      </c>
      <c r="AZ178" s="106">
        <f t="shared" si="31"/>
        <v>0</v>
      </c>
      <c r="BJ178" s="105">
        <v>1</v>
      </c>
    </row>
    <row r="179" spans="34:62">
      <c r="AH179" s="105">
        <f t="shared" si="34"/>
        <v>0</v>
      </c>
      <c r="AS179" s="105">
        <f t="shared" si="33"/>
        <v>0</v>
      </c>
      <c r="AT179" s="105">
        <f t="shared" si="35"/>
        <v>0</v>
      </c>
      <c r="AV179" s="105" t="s">
        <v>93</v>
      </c>
      <c r="AW179" s="105">
        <v>38</v>
      </c>
      <c r="AX179" s="105">
        <v>22</v>
      </c>
      <c r="AY179" s="105">
        <v>2</v>
      </c>
      <c r="AZ179" s="106">
        <f t="shared" si="31"/>
        <v>0</v>
      </c>
      <c r="BJ179" s="105">
        <v>1</v>
      </c>
    </row>
    <row r="180" spans="34:62">
      <c r="AH180" s="105">
        <f t="shared" si="34"/>
        <v>0</v>
      </c>
      <c r="AS180" s="105">
        <f t="shared" si="33"/>
        <v>0</v>
      </c>
      <c r="AT180" s="105">
        <f t="shared" si="35"/>
        <v>0</v>
      </c>
      <c r="AV180" s="105" t="s">
        <v>93</v>
      </c>
      <c r="AW180" s="105">
        <v>38</v>
      </c>
      <c r="AX180" s="105">
        <v>22</v>
      </c>
      <c r="AY180" s="105">
        <v>2</v>
      </c>
      <c r="AZ180" s="106">
        <f t="shared" si="31"/>
        <v>0</v>
      </c>
      <c r="BJ180" s="105">
        <v>1</v>
      </c>
    </row>
    <row r="181" spans="34:62">
      <c r="AH181" s="105">
        <f t="shared" si="34"/>
        <v>0</v>
      </c>
      <c r="AS181" s="105">
        <f t="shared" si="33"/>
        <v>0</v>
      </c>
      <c r="AT181" s="105">
        <f t="shared" si="35"/>
        <v>0</v>
      </c>
      <c r="AV181" s="105" t="s">
        <v>93</v>
      </c>
      <c r="AW181" s="105">
        <v>38</v>
      </c>
      <c r="AX181" s="105">
        <v>22</v>
      </c>
      <c r="AY181" s="105">
        <v>2</v>
      </c>
      <c r="AZ181" s="106">
        <f t="shared" si="31"/>
        <v>0</v>
      </c>
      <c r="BJ181" s="105">
        <v>1</v>
      </c>
    </row>
    <row r="182" spans="34:62">
      <c r="AH182" s="105">
        <f t="shared" si="34"/>
        <v>0</v>
      </c>
      <c r="AS182" s="105">
        <f t="shared" si="33"/>
        <v>0</v>
      </c>
      <c r="AT182" s="105">
        <f t="shared" si="35"/>
        <v>0</v>
      </c>
      <c r="AV182" s="105" t="s">
        <v>93</v>
      </c>
      <c r="AW182" s="105">
        <v>38</v>
      </c>
      <c r="AX182" s="105">
        <v>22</v>
      </c>
      <c r="AY182" s="105">
        <v>2</v>
      </c>
      <c r="AZ182" s="106">
        <f t="shared" si="31"/>
        <v>0</v>
      </c>
      <c r="BJ182" s="105">
        <v>1</v>
      </c>
    </row>
    <row r="183" spans="34:62">
      <c r="AH183" s="105">
        <f t="shared" si="34"/>
        <v>0</v>
      </c>
      <c r="AS183" s="105">
        <f t="shared" si="33"/>
        <v>0</v>
      </c>
      <c r="AT183" s="105">
        <f t="shared" si="35"/>
        <v>0</v>
      </c>
      <c r="AV183" s="105" t="s">
        <v>93</v>
      </c>
      <c r="AW183" s="105">
        <v>38</v>
      </c>
      <c r="AX183" s="105">
        <v>22</v>
      </c>
      <c r="AY183" s="105">
        <v>2</v>
      </c>
      <c r="AZ183" s="106">
        <f t="shared" si="31"/>
        <v>0</v>
      </c>
      <c r="BJ183" s="105">
        <v>1</v>
      </c>
    </row>
    <row r="184" spans="34:62">
      <c r="AH184" s="105">
        <f t="shared" si="34"/>
        <v>0</v>
      </c>
      <c r="AS184" s="105">
        <f t="shared" si="33"/>
        <v>0</v>
      </c>
      <c r="AT184" s="105">
        <f t="shared" si="35"/>
        <v>0</v>
      </c>
      <c r="AV184" s="105" t="s">
        <v>93</v>
      </c>
      <c r="AW184" s="105">
        <v>38</v>
      </c>
      <c r="AX184" s="105">
        <v>22</v>
      </c>
      <c r="AY184" s="105">
        <v>2</v>
      </c>
      <c r="AZ184" s="106">
        <f t="shared" si="31"/>
        <v>0</v>
      </c>
      <c r="BJ184" s="105">
        <v>1</v>
      </c>
    </row>
    <row r="185" spans="34:62">
      <c r="AH185" s="105">
        <f t="shared" si="34"/>
        <v>0</v>
      </c>
      <c r="AS185" s="105">
        <f t="shared" si="33"/>
        <v>0</v>
      </c>
      <c r="AT185" s="105">
        <f t="shared" si="35"/>
        <v>0</v>
      </c>
      <c r="AV185" s="105" t="s">
        <v>93</v>
      </c>
      <c r="AW185" s="105">
        <v>38</v>
      </c>
      <c r="AX185" s="105">
        <v>22</v>
      </c>
      <c r="AY185" s="105">
        <v>2</v>
      </c>
      <c r="AZ185" s="106">
        <f t="shared" si="31"/>
        <v>0</v>
      </c>
      <c r="BJ185" s="105">
        <v>1</v>
      </c>
    </row>
    <row r="186" spans="34:62">
      <c r="AH186" s="105">
        <f t="shared" si="34"/>
        <v>0</v>
      </c>
      <c r="AS186" s="105">
        <f t="shared" si="33"/>
        <v>0</v>
      </c>
      <c r="AT186" s="105">
        <f t="shared" si="35"/>
        <v>0</v>
      </c>
      <c r="AV186" s="105" t="s">
        <v>93</v>
      </c>
      <c r="AW186" s="105">
        <v>38</v>
      </c>
      <c r="AX186" s="105">
        <v>22</v>
      </c>
      <c r="AY186" s="105">
        <v>2</v>
      </c>
      <c r="AZ186" s="106">
        <f t="shared" si="31"/>
        <v>0</v>
      </c>
      <c r="BJ186" s="105">
        <v>1</v>
      </c>
    </row>
    <row r="187" spans="34:62">
      <c r="AH187" s="105">
        <f t="shared" si="34"/>
        <v>0</v>
      </c>
      <c r="AS187" s="105">
        <f t="shared" si="33"/>
        <v>0</v>
      </c>
      <c r="AT187" s="105">
        <f t="shared" si="35"/>
        <v>0</v>
      </c>
      <c r="AV187" s="105" t="s">
        <v>93</v>
      </c>
      <c r="AW187" s="105">
        <v>38</v>
      </c>
      <c r="AX187" s="105">
        <v>22</v>
      </c>
      <c r="AY187" s="105">
        <v>2</v>
      </c>
      <c r="AZ187" s="106">
        <f t="shared" si="31"/>
        <v>0</v>
      </c>
      <c r="BJ187" s="105">
        <v>1</v>
      </c>
    </row>
    <row r="188" spans="34:62">
      <c r="AH188" s="105">
        <f t="shared" si="34"/>
        <v>0</v>
      </c>
      <c r="AS188" s="105">
        <f t="shared" si="33"/>
        <v>0</v>
      </c>
      <c r="AT188" s="105">
        <f t="shared" si="35"/>
        <v>0</v>
      </c>
      <c r="AV188" s="105" t="s">
        <v>93</v>
      </c>
      <c r="AW188" s="105">
        <v>38</v>
      </c>
      <c r="AX188" s="105">
        <v>22</v>
      </c>
      <c r="AY188" s="105">
        <v>2</v>
      </c>
      <c r="AZ188" s="106">
        <f t="shared" si="31"/>
        <v>0</v>
      </c>
      <c r="BJ188" s="105">
        <v>1</v>
      </c>
    </row>
    <row r="189" spans="34:62">
      <c r="AH189" s="105">
        <f t="shared" si="34"/>
        <v>0</v>
      </c>
      <c r="AS189" s="105">
        <f t="shared" si="33"/>
        <v>0</v>
      </c>
      <c r="AT189" s="105">
        <f t="shared" si="35"/>
        <v>0</v>
      </c>
      <c r="AV189" s="105" t="s">
        <v>93</v>
      </c>
      <c r="AW189" s="105">
        <v>38</v>
      </c>
      <c r="AX189" s="105">
        <v>22</v>
      </c>
      <c r="AY189" s="105">
        <v>2</v>
      </c>
      <c r="AZ189" s="106">
        <f t="shared" si="31"/>
        <v>0</v>
      </c>
      <c r="BJ189" s="105">
        <v>1</v>
      </c>
    </row>
    <row r="190" spans="34:62">
      <c r="AH190" s="105">
        <f t="shared" si="34"/>
        <v>0</v>
      </c>
      <c r="AS190" s="105">
        <f t="shared" si="33"/>
        <v>0</v>
      </c>
      <c r="AT190" s="105">
        <f t="shared" si="35"/>
        <v>0</v>
      </c>
      <c r="AV190" s="105" t="s">
        <v>93</v>
      </c>
      <c r="AW190" s="105">
        <v>38</v>
      </c>
      <c r="AX190" s="105">
        <v>22</v>
      </c>
      <c r="AY190" s="105">
        <v>2</v>
      </c>
      <c r="AZ190" s="106">
        <f t="shared" si="31"/>
        <v>0</v>
      </c>
      <c r="BJ190" s="105">
        <v>1</v>
      </c>
    </row>
    <row r="191" spans="34:62">
      <c r="AH191" s="105">
        <f t="shared" si="34"/>
        <v>0</v>
      </c>
      <c r="AS191" s="105">
        <f t="shared" si="33"/>
        <v>0</v>
      </c>
      <c r="AT191" s="105">
        <f t="shared" si="35"/>
        <v>0</v>
      </c>
      <c r="AV191" s="105" t="s">
        <v>93</v>
      </c>
      <c r="AW191" s="105">
        <v>38</v>
      </c>
      <c r="AX191" s="105">
        <v>22</v>
      </c>
      <c r="AY191" s="105">
        <v>2</v>
      </c>
      <c r="AZ191" s="106">
        <f t="shared" si="31"/>
        <v>0</v>
      </c>
      <c r="BJ191" s="105">
        <v>1</v>
      </c>
    </row>
    <row r="192" spans="34:62">
      <c r="AH192" s="105">
        <f t="shared" si="34"/>
        <v>0</v>
      </c>
      <c r="AS192" s="105">
        <f t="shared" si="33"/>
        <v>0</v>
      </c>
      <c r="AT192" s="105">
        <f t="shared" si="35"/>
        <v>0</v>
      </c>
      <c r="AV192" s="105" t="s">
        <v>93</v>
      </c>
      <c r="AW192" s="105">
        <v>38</v>
      </c>
      <c r="AX192" s="105">
        <v>22</v>
      </c>
      <c r="AY192" s="105">
        <v>2</v>
      </c>
      <c r="AZ192" s="106">
        <f t="shared" si="31"/>
        <v>0</v>
      </c>
      <c r="BJ192" s="105">
        <v>1</v>
      </c>
    </row>
    <row r="193" spans="34:62">
      <c r="AH193" s="105">
        <f t="shared" si="34"/>
        <v>0</v>
      </c>
      <c r="AS193" s="105">
        <f t="shared" si="33"/>
        <v>0</v>
      </c>
      <c r="AT193" s="105">
        <f t="shared" si="35"/>
        <v>0</v>
      </c>
      <c r="AV193" s="105" t="s">
        <v>93</v>
      </c>
      <c r="AW193" s="105">
        <v>38</v>
      </c>
      <c r="AX193" s="105">
        <v>22</v>
      </c>
      <c r="AY193" s="105">
        <v>2</v>
      </c>
      <c r="AZ193" s="106">
        <f t="shared" si="31"/>
        <v>0</v>
      </c>
      <c r="BJ193" s="105">
        <v>1</v>
      </c>
    </row>
    <row r="194" spans="34:62">
      <c r="AH194" s="105">
        <f t="shared" si="34"/>
        <v>0</v>
      </c>
      <c r="AS194" s="105">
        <f t="shared" si="33"/>
        <v>0</v>
      </c>
      <c r="AT194" s="105">
        <f t="shared" si="35"/>
        <v>0</v>
      </c>
      <c r="AV194" s="105" t="s">
        <v>93</v>
      </c>
      <c r="AW194" s="105">
        <v>38</v>
      </c>
      <c r="AX194" s="105">
        <v>22</v>
      </c>
      <c r="AY194" s="105">
        <v>2</v>
      </c>
      <c r="AZ194" s="106">
        <f t="shared" si="31"/>
        <v>0</v>
      </c>
      <c r="BJ194" s="105">
        <v>1</v>
      </c>
    </row>
    <row r="195" spans="34:62">
      <c r="AH195" s="105">
        <f t="shared" si="34"/>
        <v>0</v>
      </c>
      <c r="AS195" s="105">
        <f t="shared" si="33"/>
        <v>0</v>
      </c>
      <c r="AT195" s="105">
        <f t="shared" si="35"/>
        <v>0</v>
      </c>
      <c r="AV195" s="105" t="s">
        <v>93</v>
      </c>
      <c r="AW195" s="105">
        <v>38</v>
      </c>
      <c r="AX195" s="105">
        <v>22</v>
      </c>
      <c r="AY195" s="105">
        <v>2</v>
      </c>
      <c r="AZ195" s="106">
        <f t="shared" si="31"/>
        <v>0</v>
      </c>
      <c r="BJ195" s="105">
        <v>1</v>
      </c>
    </row>
    <row r="196" spans="34:62">
      <c r="AH196" s="105">
        <f t="shared" si="34"/>
        <v>0</v>
      </c>
      <c r="AS196" s="105">
        <f t="shared" si="33"/>
        <v>0</v>
      </c>
      <c r="AT196" s="105">
        <f t="shared" si="35"/>
        <v>0</v>
      </c>
      <c r="AV196" s="105" t="s">
        <v>93</v>
      </c>
      <c r="AW196" s="105">
        <v>38</v>
      </c>
      <c r="AX196" s="105">
        <v>22</v>
      </c>
      <c r="AY196" s="105">
        <v>2</v>
      </c>
      <c r="AZ196" s="106">
        <f t="shared" si="31"/>
        <v>0</v>
      </c>
      <c r="BJ196" s="105">
        <v>1</v>
      </c>
    </row>
    <row r="197" spans="34:62">
      <c r="AH197" s="105">
        <f t="shared" si="34"/>
        <v>0</v>
      </c>
      <c r="AS197" s="105">
        <f t="shared" si="33"/>
        <v>0</v>
      </c>
      <c r="AT197" s="105">
        <f t="shared" si="35"/>
        <v>0</v>
      </c>
      <c r="AV197" s="105" t="s">
        <v>93</v>
      </c>
      <c r="AW197" s="105">
        <v>38</v>
      </c>
      <c r="AX197" s="105">
        <v>22</v>
      </c>
      <c r="AY197" s="105">
        <v>2</v>
      </c>
      <c r="AZ197" s="106">
        <f t="shared" si="31"/>
        <v>0</v>
      </c>
      <c r="BJ197" s="105">
        <v>1</v>
      </c>
    </row>
    <row r="198" spans="34:62">
      <c r="AH198" s="105">
        <f t="shared" si="34"/>
        <v>0</v>
      </c>
      <c r="AS198" s="105">
        <f t="shared" si="33"/>
        <v>0</v>
      </c>
      <c r="AT198" s="105">
        <f t="shared" si="35"/>
        <v>0</v>
      </c>
      <c r="AV198" s="105" t="s">
        <v>93</v>
      </c>
      <c r="AW198" s="105">
        <v>38</v>
      </c>
      <c r="AX198" s="105">
        <v>22</v>
      </c>
      <c r="AY198" s="105">
        <v>2</v>
      </c>
      <c r="AZ198" s="106">
        <f t="shared" si="31"/>
        <v>0</v>
      </c>
      <c r="BJ198" s="105">
        <v>1</v>
      </c>
    </row>
    <row r="199" spans="34:62">
      <c r="AH199" s="105">
        <f t="shared" si="34"/>
        <v>0</v>
      </c>
      <c r="AS199" s="105">
        <f t="shared" si="33"/>
        <v>0</v>
      </c>
      <c r="AT199" s="105">
        <f t="shared" si="35"/>
        <v>0</v>
      </c>
      <c r="AV199" s="105" t="s">
        <v>93</v>
      </c>
      <c r="AW199" s="105">
        <v>38</v>
      </c>
      <c r="AX199" s="105">
        <v>22</v>
      </c>
      <c r="AY199" s="105">
        <v>2</v>
      </c>
      <c r="AZ199" s="106">
        <f t="shared" si="31"/>
        <v>0</v>
      </c>
      <c r="BJ199" s="105">
        <v>1</v>
      </c>
    </row>
    <row r="200" spans="34:6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cols>
    <col min="1" max="1" width="30.83203125" style="14" customWidth="1"/>
    <col min="2" max="2" width="30.83203125" customWidth="1"/>
    <col min="3" max="4" width="30.83203125" style="43" customWidth="1"/>
    <col min="5" max="5" width="55.33203125" style="15" customWidth="1"/>
  </cols>
  <sheetData>
    <row r="1" spans="1:5" ht="63.95" customHeight="1">
      <c r="A1" s="16"/>
      <c r="C1" s="41"/>
      <c r="D1" s="41"/>
      <c r="E1" s="16"/>
    </row>
    <row r="2" spans="1:5" ht="32.1" customHeight="1">
      <c r="A2" s="3" t="str">
        <f>"Exceptions " &amp;COUNTA(A4:A9985)</f>
        <v>Exceptions 0</v>
      </c>
      <c r="C2" s="3"/>
      <c r="D2" s="3"/>
      <c r="E2" s="19"/>
    </row>
    <row r="3" spans="1:5">
      <c r="A3" s="17" t="s">
        <v>3</v>
      </c>
      <c r="B3" s="24" t="s">
        <v>4</v>
      </c>
      <c r="C3" s="42" t="s">
        <v>6</v>
      </c>
      <c r="D3" s="42" t="s">
        <v>7</v>
      </c>
      <c r="E3" s="18"/>
    </row>
    <row r="4" spans="1:5">
      <c r="B4" s="44"/>
    </row>
    <row r="5" spans="1:5">
      <c r="B5" s="44"/>
    </row>
    <row r="6" spans="1:5">
      <c r="B6" s="44"/>
    </row>
    <row r="7" spans="1:5">
      <c r="B7" s="44"/>
    </row>
    <row r="8" spans="1:5">
      <c r="B8" s="44"/>
    </row>
    <row r="9" spans="1:5">
      <c r="B9" s="44"/>
    </row>
    <row r="10" spans="1:5">
      <c r="B10" s="44"/>
    </row>
    <row r="11" spans="1:5">
      <c r="B11" s="44"/>
    </row>
    <row r="12" spans="1:5">
      <c r="B12" s="44"/>
    </row>
    <row r="13" spans="1:5">
      <c r="B13" s="44"/>
    </row>
    <row r="14" spans="1:5">
      <c r="B14" s="44"/>
    </row>
    <row r="15" spans="1:5">
      <c r="B15" s="44"/>
    </row>
    <row r="16" spans="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3" t="str">
        <f>oeFilename &amp; " v" &amp;TEXT(oeReleaseNumber,"0.00")</f>
        <v>Redwills v0.04</v>
      </c>
      <c r="B2" s="4"/>
      <c r="M2" s="27"/>
    </row>
    <row r="3" spans="1:13" ht="15">
      <c r="A3" s="1" t="s">
        <v>14</v>
      </c>
      <c r="B3" s="2" t="s">
        <v>15</v>
      </c>
      <c r="M3" s="28"/>
    </row>
    <row r="4" spans="1:13" ht="15">
      <c r="A4" s="6" t="s">
        <v>502</v>
      </c>
      <c r="B4" s="7" t="s">
        <v>487</v>
      </c>
      <c r="M4" s="28"/>
    </row>
    <row r="5" spans="1:13" ht="15">
      <c r="A5" s="6" t="s">
        <v>486</v>
      </c>
      <c r="B5" s="7" t="s">
        <v>487</v>
      </c>
      <c r="M5" s="28"/>
    </row>
    <row r="6" spans="1:13" ht="15">
      <c r="A6" s="6" t="s">
        <v>425</v>
      </c>
      <c r="B6" s="7" t="s">
        <v>426</v>
      </c>
      <c r="M6" s="28"/>
    </row>
    <row r="7" spans="1:13" ht="15">
      <c r="A7" s="6" t="s">
        <v>123</v>
      </c>
      <c r="B7" s="7" t="s">
        <v>124</v>
      </c>
      <c r="M7" s="28"/>
    </row>
    <row r="8" spans="1:13" ht="15">
      <c r="A8" s="6" t="s">
        <v>0</v>
      </c>
      <c r="B8" s="7" t="s">
        <v>122</v>
      </c>
      <c r="M8" s="28"/>
    </row>
    <row r="9" spans="1:13" ht="15">
      <c r="A9" s="6"/>
      <c r="B9" s="7"/>
      <c r="M9" s="28"/>
    </row>
    <row r="10" spans="1:13" ht="15">
      <c r="A10" s="6"/>
      <c r="B10" s="10"/>
      <c r="M10" s="28"/>
    </row>
    <row r="11" spans="1:13" ht="15">
      <c r="A11" s="6"/>
      <c r="B11" s="7"/>
      <c r="M11" s="28"/>
    </row>
    <row r="12" spans="1:13" ht="15">
      <c r="A12" s="6"/>
      <c r="B12" s="10"/>
      <c r="M12" s="28"/>
    </row>
    <row r="13" spans="1:13" ht="15">
      <c r="A13" s="6"/>
      <c r="B13" s="10"/>
      <c r="M13" s="28"/>
    </row>
    <row r="14" spans="1:13" ht="15">
      <c r="A14" s="6"/>
      <c r="B14" s="7"/>
      <c r="M14" s="28"/>
    </row>
    <row r="15" spans="1:13" ht="15">
      <c r="A15" s="6"/>
      <c r="B15" s="7"/>
      <c r="M15" s="28"/>
    </row>
    <row r="16" spans="1:13" ht="15">
      <c r="A16" s="6"/>
      <c r="B16" s="7"/>
      <c r="M16" s="28"/>
    </row>
    <row r="17" spans="1:13" ht="15">
      <c r="A17" s="6"/>
      <c r="B17" s="10"/>
      <c r="M17" s="28"/>
    </row>
    <row r="18" spans="1:13" ht="15">
      <c r="A18" s="6"/>
      <c r="B18" s="7"/>
      <c r="M18" s="28"/>
    </row>
    <row r="19" spans="1:13" ht="15">
      <c r="A19" s="6"/>
      <c r="B19" s="10"/>
      <c r="M19" s="28"/>
    </row>
    <row r="20" spans="1:13" ht="15">
      <c r="A20" s="6"/>
      <c r="B20" s="10"/>
      <c r="M20" s="28"/>
    </row>
    <row r="21" spans="1:13" ht="15">
      <c r="A21" s="6"/>
      <c r="B21" s="7"/>
      <c r="M21" s="28"/>
    </row>
    <row r="22" spans="1:13" ht="15">
      <c r="A22" s="6"/>
      <c r="B22" s="10"/>
      <c r="M22" s="28"/>
    </row>
    <row r="23" spans="1:13" ht="15">
      <c r="A23" s="6"/>
      <c r="B23" s="10"/>
      <c r="M23" s="28"/>
    </row>
    <row r="24" spans="1:13" ht="15">
      <c r="A24" s="6"/>
      <c r="B24" s="7"/>
      <c r="M24" s="28"/>
    </row>
    <row r="25" spans="1:13" ht="15">
      <c r="A25" s="6"/>
      <c r="B25" s="10"/>
      <c r="M25" s="28"/>
    </row>
    <row r="26" spans="1:13" ht="15">
      <c r="A26" s="6"/>
      <c r="B26" s="7"/>
      <c r="M26" s="28"/>
    </row>
    <row r="27" spans="1:13" ht="15">
      <c r="A27" s="6"/>
      <c r="B27" s="10"/>
      <c r="M27" s="28"/>
    </row>
    <row r="28" spans="1:13" ht="15">
      <c r="A28" s="6"/>
      <c r="B28" s="10"/>
      <c r="M28" s="28"/>
    </row>
    <row r="29" spans="1:13" ht="15">
      <c r="A29" s="6"/>
      <c r="B29" s="7"/>
      <c r="M29" s="28"/>
    </row>
    <row r="30" spans="1:13" ht="15">
      <c r="A30" s="6"/>
      <c r="B30" s="10"/>
      <c r="M30" s="28"/>
    </row>
    <row r="31" spans="1:13" ht="15">
      <c r="A31" s="11"/>
      <c r="B31" s="12"/>
      <c r="M31" s="28"/>
    </row>
    <row r="32" spans="1:13" ht="15">
      <c r="A32" s="6"/>
      <c r="B32" s="7"/>
      <c r="M32" s="28"/>
    </row>
    <row r="33" spans="1:13" ht="15">
      <c r="A33" s="6"/>
      <c r="B33" s="10" t="s">
        <v>13</v>
      </c>
      <c r="M33" s="28"/>
    </row>
    <row r="34" spans="1:13" ht="15">
      <c r="A34" s="11"/>
      <c r="B34" s="12"/>
      <c r="M34" s="28"/>
    </row>
    <row r="35" spans="1:13" ht="15">
      <c r="A35" s="6"/>
      <c r="B35" s="7"/>
      <c r="M35" s="28"/>
    </row>
    <row r="36" spans="1:13" ht="15">
      <c r="A36" s="6"/>
      <c r="B36" s="7"/>
      <c r="M36" s="28"/>
    </row>
    <row r="37" spans="1:13" ht="15">
      <c r="A37" s="6"/>
      <c r="B37" s="10"/>
      <c r="M37" s="28"/>
    </row>
    <row r="38" spans="1:13" ht="15">
      <c r="A38" s="6"/>
      <c r="B38" s="7"/>
      <c r="M38" s="28"/>
    </row>
    <row r="39" spans="1:13" ht="15">
      <c r="A39" s="6"/>
      <c r="B39" s="7"/>
      <c r="M39" s="28"/>
    </row>
    <row r="40" spans="1:13" ht="15">
      <c r="A40" s="6"/>
      <c r="B40" s="10"/>
      <c r="M40" s="28"/>
    </row>
    <row r="41" spans="1:13" ht="15">
      <c r="A41" s="6"/>
      <c r="B41" s="10"/>
      <c r="M41" s="28"/>
    </row>
    <row r="42" spans="1:13" ht="15">
      <c r="A42" s="6"/>
      <c r="B42" s="7"/>
      <c r="M42" s="28"/>
    </row>
    <row r="43" spans="1:13" ht="15">
      <c r="A43" s="6"/>
      <c r="B43" s="7"/>
      <c r="M43" s="28"/>
    </row>
    <row r="44" spans="1:13" ht="15">
      <c r="A44" s="6"/>
      <c r="B44" s="7"/>
      <c r="M44" s="28"/>
    </row>
    <row r="45" spans="1:13" ht="15">
      <c r="A45" s="6"/>
      <c r="B45" s="7"/>
      <c r="M45" s="28"/>
    </row>
    <row r="46" spans="1:13" ht="15">
      <c r="A46" s="6"/>
      <c r="B46" s="7"/>
      <c r="M46" s="28"/>
    </row>
    <row r="47" spans="1:13" ht="15">
      <c r="A47" s="6"/>
      <c r="B47" s="7"/>
      <c r="M47" s="28"/>
    </row>
    <row r="48" spans="1:13" ht="15">
      <c r="A48" s="6"/>
      <c r="B48" s="7"/>
      <c r="M48" s="28"/>
    </row>
    <row r="49" spans="1:13" ht="15">
      <c r="A49" s="6"/>
      <c r="B49" s="7"/>
      <c r="M49" s="28"/>
    </row>
    <row r="50" spans="1:13" ht="15">
      <c r="A50" s="6"/>
      <c r="B50" s="10"/>
      <c r="M50" s="28"/>
    </row>
    <row r="51" spans="1:13" ht="15">
      <c r="A51" s="6"/>
      <c r="B51" s="7"/>
      <c r="M51" s="28"/>
    </row>
    <row r="52" spans="1:13" ht="15">
      <c r="A52" s="6"/>
      <c r="B52" s="7"/>
      <c r="M52" s="28"/>
    </row>
    <row r="53" spans="1:13" ht="15">
      <c r="A53" s="6"/>
      <c r="B53" s="7"/>
      <c r="M53" s="28"/>
    </row>
    <row r="54" spans="1:13" ht="15">
      <c r="A54" s="6"/>
      <c r="B54" s="7"/>
      <c r="M54" s="28"/>
    </row>
    <row r="55" spans="1:13" ht="15">
      <c r="A55" s="6"/>
      <c r="B55" s="7"/>
      <c r="M55" s="28"/>
    </row>
    <row r="56" spans="1:13" ht="15">
      <c r="A56" s="6"/>
      <c r="B56" s="10"/>
      <c r="M56" s="28"/>
    </row>
    <row r="57" spans="1:13" ht="15">
      <c r="A57" s="6"/>
      <c r="B57" s="7"/>
      <c r="M57" s="28"/>
    </row>
    <row r="58" spans="1:13" ht="15">
      <c r="A58" s="6"/>
      <c r="B58" s="10"/>
      <c r="M58" s="28"/>
    </row>
    <row r="59" spans="1:13" ht="15">
      <c r="A59" s="6"/>
      <c r="B59" s="7"/>
      <c r="M59" s="28"/>
    </row>
    <row r="60" spans="1:13" ht="15">
      <c r="A60" s="6"/>
      <c r="B60" s="10"/>
      <c r="M60" s="28"/>
    </row>
    <row r="61" spans="1:13" ht="15">
      <c r="A61" s="11"/>
      <c r="B61" s="12"/>
      <c r="M61" s="28"/>
    </row>
    <row r="62" spans="1:13" ht="15">
      <c r="A62" s="11"/>
      <c r="B62" s="10"/>
      <c r="M62" s="28"/>
    </row>
    <row r="63" spans="1:13" ht="15">
      <c r="A63" s="6"/>
      <c r="B63" s="7"/>
      <c r="M63" s="28"/>
    </row>
    <row r="64" spans="1:13" ht="15">
      <c r="A64" s="6"/>
      <c r="B64" s="10"/>
      <c r="M64" s="28"/>
    </row>
    <row r="65" spans="1:13" ht="15">
      <c r="A65" s="6"/>
      <c r="B65" s="7"/>
      <c r="M65" s="28"/>
    </row>
    <row r="66" spans="1:13" ht="15">
      <c r="A66" s="6"/>
      <c r="B66" s="10"/>
      <c r="M66" s="28"/>
    </row>
    <row r="67" spans="1:13" ht="15">
      <c r="A67" s="6"/>
      <c r="B67" s="7"/>
      <c r="M67" s="28"/>
    </row>
    <row r="68" spans="1:13" ht="15">
      <c r="A68" s="6"/>
      <c r="B68" s="10"/>
      <c r="M68" s="28"/>
    </row>
    <row r="69" spans="1:13" ht="15">
      <c r="A69" s="11"/>
      <c r="B69" s="12"/>
      <c r="M69" s="28"/>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1"/>
      <c r="D1" s="41"/>
      <c r="E1" s="16"/>
    </row>
    <row r="2" spans="1:25" ht="32.1" customHeight="1">
      <c r="A2" s="3" t="s">
        <v>314</v>
      </c>
      <c r="C2" s="3"/>
      <c r="D2" s="3"/>
      <c r="E2" s="19"/>
    </row>
    <row r="3" spans="1:25" ht="12" customHeight="1">
      <c r="A3" s="14" t="s">
        <v>388</v>
      </c>
      <c r="C3" s="14" t="s">
        <v>399</v>
      </c>
      <c r="D3"/>
      <c r="E3" s="165" t="s">
        <v>400</v>
      </c>
      <c r="F3" s="44"/>
      <c r="G3" s="165" t="s">
        <v>397</v>
      </c>
      <c r="H3" s="165"/>
      <c r="I3" s="166" t="s">
        <v>40</v>
      </c>
      <c r="J3" s="165"/>
      <c r="K3" t="s">
        <v>46</v>
      </c>
      <c r="L3" s="165"/>
      <c r="M3" t="s">
        <v>407</v>
      </c>
      <c r="O3" t="s">
        <v>411</v>
      </c>
      <c r="Q3" t="s">
        <v>410</v>
      </c>
      <c r="S3" t="s">
        <v>31</v>
      </c>
      <c r="U3" t="s">
        <v>412</v>
      </c>
      <c r="W3" t="s">
        <v>413</v>
      </c>
      <c r="Y3" t="s">
        <v>32</v>
      </c>
    </row>
    <row r="4" spans="1:25" ht="12" customHeight="1">
      <c r="A4" s="14" t="s">
        <v>389</v>
      </c>
      <c r="C4" s="191" t="s">
        <v>398</v>
      </c>
      <c r="D4"/>
      <c r="E4" s="185" t="s">
        <v>396</v>
      </c>
      <c r="F4" s="44"/>
      <c r="G4" s="185" t="s">
        <v>418</v>
      </c>
      <c r="H4" s="185"/>
      <c r="I4" s="166" t="s">
        <v>96</v>
      </c>
      <c r="J4" s="185"/>
      <c r="K4" t="s">
        <v>315</v>
      </c>
      <c r="L4" s="185"/>
      <c r="M4" s="189">
        <v>0</v>
      </c>
      <c r="O4" t="s">
        <v>408</v>
      </c>
      <c r="Q4" s="189">
        <v>0</v>
      </c>
      <c r="S4" t="s">
        <v>104</v>
      </c>
      <c r="U4" s="189">
        <v>0</v>
      </c>
      <c r="W4" s="189">
        <v>0</v>
      </c>
      <c r="Y4" s="5" t="s">
        <v>107</v>
      </c>
    </row>
    <row r="5" spans="1:25" ht="12" customHeight="1">
      <c r="A5" s="14" t="s">
        <v>390</v>
      </c>
      <c r="C5" s="191" t="s">
        <v>94</v>
      </c>
      <c r="D5"/>
      <c r="E5" s="14" t="s">
        <v>393</v>
      </c>
      <c r="F5" s="44"/>
      <c r="G5" s="185" t="s">
        <v>404</v>
      </c>
      <c r="H5" s="14"/>
      <c r="I5" s="166" t="s">
        <v>99</v>
      </c>
      <c r="J5" s="14"/>
      <c r="K5" t="s">
        <v>316</v>
      </c>
      <c r="L5" s="14"/>
      <c r="M5" s="189">
        <v>1</v>
      </c>
      <c r="O5" t="s">
        <v>409</v>
      </c>
      <c r="Q5" s="189">
        <v>1</v>
      </c>
      <c r="S5" t="s">
        <v>416</v>
      </c>
      <c r="U5" s="189">
        <v>1</v>
      </c>
      <c r="W5" s="189">
        <v>1</v>
      </c>
      <c r="Y5" s="5" t="s">
        <v>419</v>
      </c>
    </row>
    <row r="6" spans="1:25" ht="12" customHeight="1">
      <c r="A6" s="14" t="s">
        <v>391</v>
      </c>
      <c r="C6" s="191" t="s">
        <v>97</v>
      </c>
      <c r="D6"/>
      <c r="E6" s="185" t="s">
        <v>395</v>
      </c>
      <c r="F6" s="44"/>
      <c r="G6" s="14" t="s">
        <v>405</v>
      </c>
      <c r="H6" s="43"/>
      <c r="I6" s="15"/>
      <c r="J6" s="185"/>
      <c r="K6" t="s">
        <v>317</v>
      </c>
      <c r="L6" s="185"/>
      <c r="M6" s="189">
        <v>2</v>
      </c>
      <c r="O6" s="43"/>
      <c r="Q6" s="189">
        <v>2</v>
      </c>
      <c r="S6" t="s">
        <v>417</v>
      </c>
      <c r="U6" s="189">
        <v>2</v>
      </c>
      <c r="W6" s="189">
        <v>2</v>
      </c>
      <c r="Y6" s="5" t="s">
        <v>420</v>
      </c>
    </row>
    <row r="7" spans="1:25" ht="12" customHeight="1">
      <c r="A7"/>
      <c r="C7" s="185"/>
      <c r="D7"/>
      <c r="E7" s="14" t="s">
        <v>394</v>
      </c>
      <c r="F7" s="44"/>
      <c r="G7" s="43"/>
      <c r="H7" s="43"/>
      <c r="I7" s="15"/>
      <c r="J7" s="14"/>
      <c r="L7" s="14"/>
      <c r="M7" s="189">
        <v>3</v>
      </c>
      <c r="O7" s="43"/>
      <c r="Q7" s="189">
        <v>3</v>
      </c>
      <c r="U7" s="189">
        <v>3</v>
      </c>
      <c r="W7" s="189">
        <v>3</v>
      </c>
      <c r="Y7" s="5" t="s">
        <v>421</v>
      </c>
    </row>
    <row r="8" spans="1:25" ht="12" customHeight="1">
      <c r="A8"/>
      <c r="C8"/>
      <c r="D8"/>
      <c r="E8" s="185" t="s">
        <v>556</v>
      </c>
      <c r="F8" s="44"/>
      <c r="G8" s="43"/>
      <c r="H8" s="43"/>
      <c r="I8" s="15"/>
      <c r="J8" s="185"/>
      <c r="L8" s="185"/>
      <c r="M8" s="189">
        <v>4</v>
      </c>
      <c r="O8" s="43"/>
      <c r="Q8" s="189">
        <v>4</v>
      </c>
      <c r="U8" s="189">
        <v>4</v>
      </c>
      <c r="W8" s="189">
        <v>4</v>
      </c>
      <c r="Y8" s="5" t="s">
        <v>109</v>
      </c>
    </row>
    <row r="9" spans="1:25" ht="12" customHeight="1">
      <c r="A9"/>
      <c r="C9"/>
      <c r="D9"/>
      <c r="E9" s="185" t="s">
        <v>557</v>
      </c>
      <c r="F9" s="44"/>
      <c r="G9" s="43"/>
      <c r="H9" s="43"/>
      <c r="I9" s="15"/>
      <c r="J9" s="185"/>
      <c r="L9" s="185"/>
      <c r="M9" s="189">
        <v>5</v>
      </c>
      <c r="O9" s="43"/>
      <c r="Q9" s="189">
        <v>5</v>
      </c>
      <c r="S9" s="43"/>
      <c r="U9" s="189">
        <v>5</v>
      </c>
      <c r="W9" s="189">
        <v>5</v>
      </c>
      <c r="Y9" s="5" t="s">
        <v>422</v>
      </c>
    </row>
    <row r="10" spans="1:25" ht="12" customHeight="1">
      <c r="A10"/>
      <c r="C10"/>
      <c r="D10"/>
      <c r="E10" s="185" t="s">
        <v>558</v>
      </c>
      <c r="F10" s="44"/>
      <c r="G10" s="43"/>
      <c r="H10" s="43"/>
      <c r="I10" s="43"/>
      <c r="J10" s="43"/>
      <c r="K10" s="43"/>
      <c r="L10" s="43"/>
      <c r="M10" s="189">
        <v>6</v>
      </c>
      <c r="N10" s="43"/>
      <c r="O10" s="43"/>
      <c r="P10" s="15"/>
      <c r="Q10" s="190">
        <v>6</v>
      </c>
      <c r="R10" s="43"/>
      <c r="S10" s="43"/>
      <c r="U10" s="190">
        <v>6</v>
      </c>
      <c r="W10" s="190">
        <v>6</v>
      </c>
      <c r="Y10" s="5" t="s">
        <v>423</v>
      </c>
    </row>
    <row r="11" spans="1:25">
      <c r="A11"/>
      <c r="C11"/>
      <c r="D11"/>
      <c r="E11" s="185" t="s">
        <v>555</v>
      </c>
      <c r="F11" s="44"/>
      <c r="G11" s="43"/>
      <c r="H11" s="43"/>
      <c r="I11" s="43"/>
      <c r="J11" s="43"/>
      <c r="K11" s="43"/>
      <c r="L11" s="43"/>
      <c r="M11" s="190">
        <v>7</v>
      </c>
      <c r="N11" s="43"/>
      <c r="O11" s="43"/>
      <c r="P11" s="15"/>
      <c r="Q11" s="190">
        <v>7</v>
      </c>
      <c r="R11" s="43"/>
      <c r="S11" s="43"/>
      <c r="U11" s="190">
        <v>7</v>
      </c>
      <c r="W11" s="190">
        <v>7</v>
      </c>
    </row>
    <row r="12" spans="1:25">
      <c r="A12"/>
      <c r="C12"/>
      <c r="D12"/>
      <c r="E12" s="14"/>
      <c r="F12" s="44"/>
      <c r="G12" s="43"/>
      <c r="H12" s="43"/>
      <c r="I12" s="43"/>
      <c r="J12" s="43"/>
      <c r="K12" s="43"/>
      <c r="L12" s="43"/>
      <c r="M12" s="190">
        <v>8</v>
      </c>
      <c r="N12" s="43"/>
      <c r="O12" s="43"/>
      <c r="P12" s="15"/>
      <c r="Q12" s="190">
        <v>8</v>
      </c>
      <c r="R12" s="43"/>
      <c r="S12" s="43"/>
      <c r="U12" s="190">
        <v>8</v>
      </c>
      <c r="W12" s="190">
        <v>8</v>
      </c>
      <c r="Y12" s="43"/>
    </row>
    <row r="13" spans="1:25">
      <c r="A13"/>
      <c r="C13"/>
      <c r="D13"/>
      <c r="E13" s="14"/>
      <c r="F13" s="44"/>
      <c r="G13" s="43"/>
      <c r="H13" s="43"/>
      <c r="I13" s="43"/>
      <c r="J13" s="43"/>
      <c r="K13" s="43"/>
      <c r="L13" s="43"/>
      <c r="M13" s="190">
        <v>9</v>
      </c>
      <c r="N13" s="43"/>
      <c r="O13" s="43"/>
      <c r="P13" s="15"/>
      <c r="Q13" s="190">
        <v>9</v>
      </c>
      <c r="R13" s="43"/>
      <c r="S13" s="43"/>
      <c r="U13" s="190">
        <v>9</v>
      </c>
      <c r="W13" s="190">
        <v>9</v>
      </c>
      <c r="Y13" s="43"/>
    </row>
    <row r="14" spans="1:25">
      <c r="A14" s="43"/>
      <c r="C14"/>
      <c r="D14"/>
      <c r="E14" s="14"/>
      <c r="F14" s="44"/>
      <c r="G14" s="43"/>
      <c r="H14" s="43"/>
      <c r="I14" s="43"/>
      <c r="J14" s="43"/>
      <c r="K14" s="43"/>
      <c r="L14" s="43"/>
      <c r="M14" s="190">
        <v>10</v>
      </c>
      <c r="N14" s="43"/>
      <c r="O14" s="43"/>
      <c r="P14" s="15"/>
      <c r="Q14" s="190">
        <v>10</v>
      </c>
      <c r="R14" s="43"/>
      <c r="S14" s="43"/>
      <c r="U14" s="190">
        <v>10</v>
      </c>
      <c r="W14" s="190">
        <v>10</v>
      </c>
      <c r="Y14" s="43"/>
    </row>
    <row r="15" spans="1:25">
      <c r="A15" s="43"/>
      <c r="D15"/>
      <c r="E15" s="14"/>
      <c r="F15" s="44"/>
      <c r="G15" s="43"/>
      <c r="H15" s="43"/>
      <c r="I15" s="43"/>
      <c r="J15" s="43"/>
      <c r="K15" s="43"/>
      <c r="L15" s="43"/>
      <c r="M15" s="43"/>
      <c r="N15" s="43"/>
      <c r="O15" s="43"/>
      <c r="P15" s="15"/>
      <c r="S15" s="43"/>
      <c r="Y15" s="43"/>
    </row>
    <row r="16" spans="1:25" s="43" customFormat="1">
      <c r="E16" s="14"/>
      <c r="F16" s="44"/>
      <c r="P16" s="15"/>
      <c r="Q16"/>
      <c r="R16"/>
    </row>
    <row r="17" spans="1:16" s="43" customFormat="1">
      <c r="E17" s="14"/>
      <c r="F17" s="44"/>
      <c r="P17" s="15"/>
    </row>
    <row r="18" spans="1:16" s="43" customFormat="1" ht="15">
      <c r="E18" s="234"/>
      <c r="F18" s="44"/>
      <c r="P18" s="15"/>
    </row>
    <row r="19" spans="1:16" s="43" customFormat="1" ht="15">
      <c r="E19" s="234"/>
      <c r="F19" s="44"/>
      <c r="P19" s="15"/>
    </row>
    <row r="20" spans="1:16" s="43" customFormat="1" ht="15">
      <c r="A20" s="14"/>
      <c r="E20" s="234"/>
      <c r="F20" s="44"/>
      <c r="P20" s="15"/>
    </row>
    <row r="21" spans="1:16" s="43" customFormat="1" ht="15">
      <c r="A21" s="14"/>
      <c r="E21" s="234"/>
      <c r="F21" s="44"/>
      <c r="P21" s="15"/>
    </row>
    <row r="22" spans="1:16" s="43" customFormat="1" ht="15">
      <c r="A22" s="14"/>
      <c r="B22" s="44"/>
      <c r="E22" s="234"/>
    </row>
    <row r="23" spans="1:16" s="43" customFormat="1" ht="15">
      <c r="A23" s="14"/>
      <c r="B23" s="44"/>
      <c r="E23" s="234"/>
    </row>
    <row r="24" spans="1:16" s="43" customFormat="1" ht="15">
      <c r="A24" s="14"/>
      <c r="B24" s="44"/>
      <c r="E24" s="234"/>
    </row>
    <row r="25" spans="1:16" s="43" customFormat="1" ht="15">
      <c r="A25" s="14"/>
      <c r="B25" s="44"/>
      <c r="E25" s="234"/>
    </row>
    <row r="26" spans="1:16" s="43" customFormat="1" ht="15">
      <c r="A26" s="14"/>
      <c r="B26" s="44"/>
      <c r="E26" s="234"/>
    </row>
    <row r="27" spans="1:16" s="43" customFormat="1">
      <c r="A27" s="14"/>
      <c r="B27" s="44"/>
      <c r="E27" s="15"/>
    </row>
    <row r="28" spans="1:16" s="43" customFormat="1">
      <c r="A28" s="14"/>
      <c r="B28" s="44"/>
      <c r="E28" s="15"/>
    </row>
    <row r="29" spans="1:16" s="43" customFormat="1">
      <c r="A29" s="14"/>
      <c r="B29" s="44"/>
      <c r="E29" s="15"/>
    </row>
    <row r="30" spans="1:16" s="43" customFormat="1">
      <c r="A30" s="14"/>
      <c r="B30" s="44"/>
      <c r="E30" s="15"/>
    </row>
    <row r="31" spans="1:16" s="43" customFormat="1">
      <c r="A31" s="14"/>
      <c r="B31" s="44"/>
      <c r="E31" s="15"/>
    </row>
    <row r="32" spans="1:16" s="43" customFormat="1">
      <c r="A32" s="14"/>
      <c r="B32" s="44"/>
      <c r="E32" s="15"/>
    </row>
    <row r="33" spans="1:5" s="43" customFormat="1">
      <c r="A33" s="14"/>
      <c r="B33" s="44"/>
      <c r="E33" s="15"/>
    </row>
    <row r="34" spans="1:5" s="43" customFormat="1">
      <c r="A34" s="14"/>
      <c r="B34" s="44"/>
      <c r="E34" s="15"/>
    </row>
    <row r="35" spans="1:5" s="43" customFormat="1">
      <c r="A35" s="14"/>
      <c r="B35" s="44"/>
      <c r="E35" s="15"/>
    </row>
    <row r="36" spans="1:5" s="43" customFormat="1">
      <c r="A36" s="14"/>
      <c r="B36" s="44"/>
      <c r="E36" s="15"/>
    </row>
    <row r="37" spans="1:5" s="43" customFormat="1">
      <c r="A37" s="14"/>
      <c r="B37" s="44"/>
      <c r="E37" s="15"/>
    </row>
    <row r="38" spans="1:5" s="43" customFormat="1">
      <c r="A38" s="14"/>
      <c r="B38" s="44"/>
      <c r="E38" s="15"/>
    </row>
    <row r="39" spans="1:5" s="43" customFormat="1">
      <c r="A39" s="14"/>
      <c r="B39" s="44"/>
      <c r="E39" s="15"/>
    </row>
    <row r="40" spans="1:5" s="43" customFormat="1">
      <c r="A40" s="14"/>
      <c r="B40" s="44"/>
      <c r="E40" s="15"/>
    </row>
    <row r="41" spans="1:5" s="43" customFormat="1">
      <c r="A41" s="14"/>
      <c r="B41" s="44"/>
      <c r="E41" s="15"/>
    </row>
    <row r="42" spans="1:5" s="43" customFormat="1">
      <c r="A42" s="14"/>
      <c r="B42" s="44"/>
      <c r="E42" s="15"/>
    </row>
    <row r="43" spans="1:5" s="43" customFormat="1">
      <c r="A43" s="14"/>
      <c r="B43" s="44"/>
      <c r="E43" s="15"/>
    </row>
    <row r="44" spans="1:5" s="43" customFormat="1">
      <c r="A44" s="14"/>
      <c r="B44" s="44"/>
      <c r="E44" s="15"/>
    </row>
    <row r="45" spans="1:5" s="43" customFormat="1">
      <c r="A45" s="14"/>
      <c r="B45" s="44"/>
      <c r="E45" s="15"/>
    </row>
    <row r="46" spans="1:5" s="43" customFormat="1">
      <c r="A46" s="14"/>
      <c r="B46" s="44"/>
      <c r="E46" s="15"/>
    </row>
    <row r="47" spans="1:5" s="43" customFormat="1">
      <c r="A47" s="14"/>
      <c r="B47" s="44"/>
      <c r="E47" s="15"/>
    </row>
    <row r="48" spans="1:5" s="43" customFormat="1">
      <c r="A48" s="14"/>
      <c r="B48" s="44"/>
      <c r="E48" s="15"/>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9" s="43" customFormat="1">
      <c r="A81" s="14"/>
      <c r="B81" s="44"/>
      <c r="E81" s="15"/>
    </row>
    <row r="82" spans="1:19" s="43" customFormat="1">
      <c r="A82" s="14"/>
      <c r="B82" s="44"/>
      <c r="E82" s="15"/>
    </row>
    <row r="83" spans="1:19" s="43" customFormat="1">
      <c r="A83" s="14"/>
      <c r="B83" s="44"/>
      <c r="E83" s="15"/>
    </row>
    <row r="84" spans="1:19" s="43" customFormat="1">
      <c r="A84" s="14"/>
      <c r="B84" s="44"/>
      <c r="E84" s="15"/>
    </row>
    <row r="85" spans="1:19" s="43" customFormat="1">
      <c r="A85" s="14"/>
      <c r="B85" s="44"/>
      <c r="E85" s="15"/>
    </row>
    <row r="86" spans="1:19" s="43" customFormat="1">
      <c r="A86" s="14"/>
      <c r="B86" s="44"/>
      <c r="E86" s="15"/>
    </row>
    <row r="87" spans="1:19" s="43" customFormat="1">
      <c r="A87" s="14"/>
      <c r="B87" s="44"/>
      <c r="E87" s="15"/>
    </row>
    <row r="88" spans="1:19" s="43" customFormat="1">
      <c r="A88" s="14"/>
      <c r="B88" s="44"/>
      <c r="E88" s="15"/>
    </row>
    <row r="89" spans="1:19" s="43" customFormat="1">
      <c r="A89" s="14"/>
      <c r="B89" s="44"/>
      <c r="E89" s="15"/>
    </row>
    <row r="90" spans="1:19" s="43" customFormat="1">
      <c r="A90" s="14"/>
      <c r="B90" s="44"/>
      <c r="E90" s="15"/>
    </row>
    <row r="91" spans="1:19" s="43" customFormat="1">
      <c r="A91" s="14"/>
      <c r="B91" s="44"/>
      <c r="E91" s="15"/>
    </row>
    <row r="92" spans="1:19" s="43" customFormat="1">
      <c r="A92" s="14"/>
      <c r="B92" s="44"/>
      <c r="E92" s="15"/>
    </row>
    <row r="93" spans="1:19" s="43" customFormat="1">
      <c r="A93" s="14"/>
      <c r="B93" s="44"/>
      <c r="E93" s="15"/>
      <c r="O93"/>
    </row>
    <row r="94" spans="1:19" s="43" customFormat="1">
      <c r="A94" s="14"/>
      <c r="B94" s="44"/>
      <c r="E94" s="15"/>
      <c r="O94"/>
    </row>
    <row r="95" spans="1:19" s="43" customFormat="1">
      <c r="A95" s="14"/>
      <c r="B95" s="44"/>
      <c r="E95" s="15"/>
      <c r="O95"/>
    </row>
    <row r="96" spans="1:19" s="43" customFormat="1">
      <c r="A96" s="14"/>
      <c r="B96" s="44"/>
      <c r="E96" s="15"/>
      <c r="O96"/>
      <c r="S96"/>
    </row>
    <row r="97" spans="1:25" s="43" customFormat="1">
      <c r="A97" s="14"/>
      <c r="B97" s="44"/>
      <c r="E97" s="15"/>
      <c r="O97"/>
      <c r="S97"/>
    </row>
    <row r="98" spans="1:25" s="43" customFormat="1">
      <c r="A98" s="14"/>
      <c r="B98" s="44"/>
      <c r="E98" s="15"/>
      <c r="O98"/>
      <c r="S98"/>
    </row>
    <row r="99" spans="1:25" s="43" customFormat="1">
      <c r="A99" s="14"/>
      <c r="B99" s="44"/>
      <c r="E99" s="15"/>
      <c r="M99"/>
      <c r="O99"/>
      <c r="S99"/>
      <c r="Y99"/>
    </row>
    <row r="100" spans="1:25" s="43" customFormat="1">
      <c r="A100" s="14"/>
      <c r="B100" s="44"/>
      <c r="E100" s="15"/>
      <c r="M100"/>
      <c r="O100"/>
      <c r="S100"/>
      <c r="Y100"/>
    </row>
    <row r="101" spans="1:25" s="43" customFormat="1">
      <c r="A101" s="14"/>
      <c r="B101" s="44"/>
      <c r="E101" s="15"/>
      <c r="H101"/>
      <c r="M101"/>
      <c r="O101"/>
      <c r="S101"/>
      <c r="Y101"/>
    </row>
    <row r="102" spans="1:25" s="43" customFormat="1">
      <c r="A102" s="14"/>
      <c r="B102" s="44"/>
      <c r="E102" s="15"/>
      <c r="G102"/>
      <c r="H102"/>
      <c r="M102"/>
      <c r="N102"/>
      <c r="O102"/>
      <c r="S102"/>
      <c r="Y102"/>
    </row>
    <row r="103" spans="1:25">
      <c r="I103" s="43"/>
      <c r="J103" s="43"/>
      <c r="K103" s="43"/>
      <c r="L103" s="43"/>
      <c r="Q103" s="43"/>
      <c r="R103" s="43"/>
    </row>
    <row r="104" spans="1:25">
      <c r="I104" s="43"/>
      <c r="J104" s="43"/>
      <c r="K104" s="43"/>
      <c r="L104" s="43"/>
    </row>
    <row r="189" spans="15:19">
      <c r="O189" s="9"/>
    </row>
    <row r="192" spans="15:19">
      <c r="S192" s="9"/>
    </row>
    <row r="195" spans="1:25">
      <c r="M195" s="9"/>
      <c r="Y195" s="9"/>
    </row>
    <row r="197" spans="1:25">
      <c r="H197" s="9"/>
    </row>
    <row r="198" spans="1:25">
      <c r="G198" s="9"/>
      <c r="N198" s="9"/>
    </row>
    <row r="199" spans="1:25" s="9" customFormat="1">
      <c r="A199" s="14"/>
      <c r="B199"/>
      <c r="C199" s="43"/>
      <c r="D199" s="43"/>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4"/>
  <sheetViews>
    <sheetView topLeftCell="A85" workbookViewId="0">
      <selection activeCell="A98" sqref="A98"/>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499</v>
      </c>
    </row>
    <row r="27" spans="1:2">
      <c r="A27" t="s">
        <v>498</v>
      </c>
    </row>
    <row r="30" spans="1:2">
      <c r="A30" t="s">
        <v>481</v>
      </c>
    </row>
    <row r="31" spans="1:2">
      <c r="A31" t="s">
        <v>480</v>
      </c>
      <c r="B31" t="s">
        <v>427</v>
      </c>
    </row>
    <row r="32" spans="1:2">
      <c r="A32" t="s">
        <v>496</v>
      </c>
      <c r="B32" t="s">
        <v>427</v>
      </c>
    </row>
    <row r="33" spans="1:2">
      <c r="A33" t="s">
        <v>484</v>
      </c>
      <c r="B33" t="s">
        <v>427</v>
      </c>
    </row>
    <row r="34" spans="1:2">
      <c r="A34" t="s">
        <v>485</v>
      </c>
      <c r="B34" t="s">
        <v>427</v>
      </c>
    </row>
    <row r="35" spans="1:2">
      <c r="A35" t="s">
        <v>491</v>
      </c>
      <c r="B35" t="s">
        <v>427</v>
      </c>
    </row>
    <row r="36" spans="1:2">
      <c r="A36" t="s">
        <v>492</v>
      </c>
      <c r="B36" t="s">
        <v>427</v>
      </c>
    </row>
    <row r="37" spans="1:2">
      <c r="A37" t="s">
        <v>501</v>
      </c>
      <c r="B37" t="s">
        <v>427</v>
      </c>
    </row>
    <row r="38" spans="1:2">
      <c r="A38" t="s">
        <v>494</v>
      </c>
      <c r="B38" t="s">
        <v>427</v>
      </c>
    </row>
    <row r="39" spans="1:2">
      <c r="A39" t="s">
        <v>495</v>
      </c>
      <c r="B39" t="s">
        <v>427</v>
      </c>
    </row>
    <row r="40" spans="1:2">
      <c r="A40" t="s">
        <v>489</v>
      </c>
    </row>
    <row r="41" spans="1:2">
      <c r="A41" t="s">
        <v>497</v>
      </c>
      <c r="B41" t="s">
        <v>427</v>
      </c>
    </row>
    <row r="43" spans="1:2">
      <c r="A43" t="s">
        <v>340</v>
      </c>
    </row>
    <row r="44" spans="1:2">
      <c r="A44" t="s">
        <v>339</v>
      </c>
    </row>
    <row r="45" spans="1:2">
      <c r="A45" t="s">
        <v>483</v>
      </c>
    </row>
    <row r="46" spans="1:2">
      <c r="A46" t="s">
        <v>493</v>
      </c>
    </row>
    <row r="47" spans="1:2">
      <c r="A47" t="s">
        <v>488</v>
      </c>
    </row>
    <row r="48" spans="1:2">
      <c r="A48" t="s">
        <v>490</v>
      </c>
    </row>
    <row r="49" spans="1:1">
      <c r="A49" t="s">
        <v>500</v>
      </c>
    </row>
    <row r="53" spans="1:1">
      <c r="A53" t="s">
        <v>504</v>
      </c>
    </row>
    <row r="54" spans="1:1">
      <c r="A54" t="s">
        <v>505</v>
      </c>
    </row>
    <row r="55" spans="1:1">
      <c r="A55" t="s">
        <v>506</v>
      </c>
    </row>
    <row r="56" spans="1:1">
      <c r="A56" t="s">
        <v>507</v>
      </c>
    </row>
    <row r="57" spans="1:1">
      <c r="A57" t="s">
        <v>508</v>
      </c>
    </row>
    <row r="58" spans="1:1">
      <c r="A58" t="s">
        <v>509</v>
      </c>
    </row>
    <row r="59" spans="1:1">
      <c r="A59" t="s">
        <v>510</v>
      </c>
    </row>
    <row r="60" spans="1:1">
      <c r="A60" t="s">
        <v>511</v>
      </c>
    </row>
    <row r="61" spans="1:1">
      <c r="A61" t="s">
        <v>512</v>
      </c>
    </row>
    <row r="62" spans="1:1">
      <c r="A62" t="s">
        <v>513</v>
      </c>
    </row>
    <row r="63" spans="1:1">
      <c r="A63" t="s">
        <v>514</v>
      </c>
    </row>
    <row r="64" spans="1:1">
      <c r="A64" t="s">
        <v>515</v>
      </c>
    </row>
    <row r="65" spans="1:1">
      <c r="A65" t="s">
        <v>516</v>
      </c>
    </row>
    <row r="66" spans="1:1">
      <c r="A66" t="s">
        <v>517</v>
      </c>
    </row>
    <row r="71" spans="1:1">
      <c r="A71" t="s">
        <v>526</v>
      </c>
    </row>
    <row r="72" spans="1:1">
      <c r="A72" t="s">
        <v>523</v>
      </c>
    </row>
    <row r="73" spans="1:1">
      <c r="A73" t="s">
        <v>524</v>
      </c>
    </row>
    <row r="74" spans="1:1">
      <c r="A74" t="s">
        <v>563</v>
      </c>
    </row>
    <row r="76" spans="1:1">
      <c r="A76" t="s">
        <v>567</v>
      </c>
    </row>
    <row r="77" spans="1:1">
      <c r="A77" t="s">
        <v>568</v>
      </c>
    </row>
    <row r="78" spans="1:1">
      <c r="A78" t="s">
        <v>569</v>
      </c>
    </row>
    <row r="79" spans="1:1">
      <c r="A79" t="s">
        <v>570</v>
      </c>
    </row>
    <row r="80" spans="1:1">
      <c r="A80" t="s">
        <v>571</v>
      </c>
    </row>
    <row r="81" spans="1:1">
      <c r="A81" t="s">
        <v>572</v>
      </c>
    </row>
    <row r="82" spans="1:1">
      <c r="A82" t="s">
        <v>573</v>
      </c>
    </row>
    <row r="83" spans="1:1">
      <c r="A83" t="s">
        <v>574</v>
      </c>
    </row>
    <row r="84" spans="1:1">
      <c r="A84" t="s">
        <v>575</v>
      </c>
    </row>
    <row r="85" spans="1:1">
      <c r="A85" t="s">
        <v>576</v>
      </c>
    </row>
    <row r="86" spans="1:1">
      <c r="A86" t="s">
        <v>577</v>
      </c>
    </row>
    <row r="87" spans="1:1">
      <c r="A87" t="s">
        <v>578</v>
      </c>
    </row>
    <row r="88" spans="1:1">
      <c r="A88" t="s">
        <v>579</v>
      </c>
    </row>
    <row r="89" spans="1:1">
      <c r="A89" t="s">
        <v>580</v>
      </c>
    </row>
    <row r="90" spans="1:1">
      <c r="A90" t="s">
        <v>581</v>
      </c>
    </row>
    <row r="92" spans="1:1">
      <c r="A92" t="s">
        <v>586</v>
      </c>
    </row>
    <row r="93" spans="1:1">
      <c r="A93" t="s">
        <v>587</v>
      </c>
    </row>
    <row r="94" spans="1:1">
      <c r="A94" t="s">
        <v>588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Page Page Ref</vt:lpstr>
      <vt:lpstr>Report1</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2020-09-21T14:07:49Z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