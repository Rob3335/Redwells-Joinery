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a.Joynson\Documents\only excel\Redwills\"/>
    </mc:Choice>
  </mc:AlternateContent>
  <xr:revisionPtr revIDLastSave="0" documentId="8_{CA4C2178-95E1-4CF4-9CCF-EDE5A7C7C0D8}" xr6:coauthVersionLast="45" xr6:coauthVersionMax="45" xr10:uidLastSave="{00000000-0000-0000-0000-000000000000}"/>
  <bookViews>
    <workbookView xWindow="-108" yWindow="-108" windowWidth="23256" windowHeight="12576" tabRatio="500" activeTab="7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lkDoorColour">tblDoorColour[Door Colour]</definedName>
    <definedName name="lkDoorsetLayout">tblDoorsetlayout[Doorset Layout]</definedName>
    <definedName name="lkFireRating">tblFireRating[Fire Rating]</definedName>
    <definedName name="lkHanding">tblHanding[Handing]</definedName>
    <definedName name="lkInstrumentStrip">tblInstrumentStrip[Instrument Strip]</definedName>
    <definedName name="oeFilename">"Redwills"</definedName>
    <definedName name="oeReleaseNumber">0.01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<sst xmlns="http://schemas.openxmlformats.org/spreadsheetml/2006/main" count="1978" uniqueCount="361">
  <si>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</si>
  <si>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</si>
  <si>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</si>
  <si>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</si>
  <si>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</si>
  <si>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</si>
  <si>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</si>
  <si>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</si>
  <si>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</si>
  <si>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</si>
  <si>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</si>
  <si>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</si>
  <si>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</si>
  <si>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</si>
  <si>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</si>
  <si>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</si>
  <si>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</si>
  <si>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</si>
  <si>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</si>
  <si>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</si>
  <si>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</si>
  <si>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</si>
  <si>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</si>
  <si>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</si>
  <si>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</si>
  <si>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</si>
  <si>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</si>
  <si>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</si>
  <si>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</si>
  <si>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</si>
  <si>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</si>
  <si>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</si>
  <si>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</si>
  <si>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</si>
  <si>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</si>
  <si>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</si>
  <si>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</si>
  <si>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</si>
  <si>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</si>
  <si>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</si>
  <si>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</si>
  <si>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</si>
  <si>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</si>
  <si>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</si>
  <si>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</si>
  <si>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</si>
  <si>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</si>
  <si>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</si>
  <si>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</si>
  <si>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</si>
  <si>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</si>
  <si>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</si>
  <si>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</si>
  <si>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</si>
  <si>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</si>
  <si>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</si>
  <si>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</si>
  <si>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</si>
  <si>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</si>
  <si>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</si>
  <si>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</si>
  <si>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</si>
  <si>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</si>
  <si>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</si>
  <si>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</si>
  <si>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</si>
  <si>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</si>
  <si>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</si>
  <si>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</si>
  <si>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</si>
  <si>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</si>
  <si>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</si>
  <si>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</si>
  <si>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</si>
  <si>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</si>
  <si>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</si>
  <si>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</si>
  <si>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</si>
  <si>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</si>
  <si>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</si>
  <si>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</si>
  <si>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</si>
  <si>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</si>
  <si>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</si>
  <si>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</si>
  <si>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</si>
  <si>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</si>
  <si>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</si>
  <si>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</si>
  <si>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</si>
  <si>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</si>
  <si>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</si>
  <si>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</si>
  <si>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</si>
  <si>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</si>
  <si>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</si>
  <si>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</si>
  <si>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</si>
  <si>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</si>
  <si>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</si>
  <si>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</si>
  <si>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</si>
  <si>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</si>
  <si>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</si>
  <si>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</si>
  <si>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</si>
  <si>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</si>
  <si>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</si>
  <si>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</si>
  <si>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</si>
  <si>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</si>
  <si>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</si>
  <si>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</si>
  <si>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</si>
  <si>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</si>
  <si>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</si>
  <si>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</si>
  <si>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</si>
  <si>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</si>
  <si>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</si>
  <si>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</si>
  <si>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</si>
  <si>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</si>
  <si>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</si>
  <si>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</si>
  <si>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</si>
  <si>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</si>
  <si>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</si>
  <si>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</si>
  <si>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</si>
  <si>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</si>
  <si>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</si>
  <si>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</si>
  <si>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</si>
  <si>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</si>
  <si>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</si>
  <si>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</si>
  <si>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</si>
  <si>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</si>
  <si>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</si>
  <si>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</si>
  <si>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</si>
  <si>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</si>
  <si>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</si>
  <si>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</si>
  <si>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</si>
  <si>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</si>
  <si>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</si>
  <si>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</si>
  <si>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</si>
  <si>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</si>
  <si>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</si>
  <si>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</si>
  <si>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</si>
  <si>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</si>
  <si>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</si>
  <si>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</si>
  <si>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</si>
  <si>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</si>
  <si>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</si>
  <si>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</si>
  <si>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</si>
  <si>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</si>
  <si>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</si>
  <si>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</si>
  <si>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</si>
  <si>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</si>
  <si>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</si>
  <si>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</si>
  <si>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</si>
  <si>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</si>
  <si>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</si>
  <si>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</si>
  <si>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</si>
  <si>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</si>
  <si>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</si>
  <si>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</si>
  <si>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</si>
  <si>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</si>
  <si>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</si>
  <si>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</si>
  <si>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</si>
  <si>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</si>
  <si>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</si>
  <si>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</si>
  <si>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</si>
  <si>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</si>
  <si>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</si>
  <si>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</si>
  <si>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</si>
  <si>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</si>
  <si>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</si>
  <si>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</si>
  <si>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</si>
  <si>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</si>
  <si>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</si>
  <si>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</si>
  <si>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</si>
  <si>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</si>
  <si>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</si>
  <si>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</si>
  <si>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</si>
  <si>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</si>
  <si>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</si>
  <si>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</si>
  <si>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</si>
  <si>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</si>
  <si>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</si>
  <si>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</si>
  <si>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</si>
  <si>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</si>
  <si>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</si>
  <si>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</si>
  <si>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</si>
  <si>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</si>
  <si>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</si>
  <si>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</si>
  <si>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</si>
  <si>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</si>
  <si>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</si>
  <si>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</si>
  <si>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</si>
  <si>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</si>
  <si>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</si>
  <si>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</si>
  <si>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</si>
  <si>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</si>
  <si>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</si>
  <si>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</si>
  <si>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</si>
  <si>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</si>
  <si>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</si>
  <si>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</si>
  <si>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</si>
  <si>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</si>
  <si>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</si>
  <si>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</si>
  <si>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</si>
  <si>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</si>
  <si>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</si>
  <si>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</si>
  <si>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</si>
  <si>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</si>
  <si>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</si>
  <si>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</si>
  <si>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</si>
  <si>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</si>
  <si>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</si>
  <si>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</si>
  <si>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</si>
  <si>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</si>
  <si>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</si>
  <si>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</si>
  <si>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</si>
  <si>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</si>
  <si>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</si>
  <si>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</si>
  <si>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</si>
  <si>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</si>
  <si>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</si>
  <si>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</si>
  <si>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</si>
  <si>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</si>
  <si>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</si>
  <si>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</si>
  <si>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</si>
  <si>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</si>
  <si>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</si>
  <si>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</si>
  <si>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</si>
  <si>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</si>
  <si>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</si>
  <si>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</si>
  <si>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</si>
  <si>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</si>
  <si>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</si>
  <si>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</si>
  <si>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</si>
  <si>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</si>
  <si>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</si>
  <si>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</si>
  <si>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</si>
  <si>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</si>
  <si>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</si>
  <si>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</si>
  <si>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</si>
  <si>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</si>
  <si>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</si>
  <si>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</si>
  <si>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</si>
  <si>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</si>
  <si>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</si>
  <si>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</si>
  <si>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</si>
  <si>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</si>
  <si>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</si>
  <si>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</si>
  <si>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</si>
  <si>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</si>
  <si>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</si>
  <si>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</si>
  <si>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</si>
  <si>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</si>
  <si>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</si>
  <si>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</si>
  <si>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</si>
  <si>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</si>
  <si>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</si>
  <si>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</si>
  <si>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</si>
  <si>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</si>
  <si>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</si>
  <si>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</si>
  <si>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</si>
  <si>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</si>
  <si>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Instrument Strip</t>
  </si>
  <si>
    <t>LH</t>
  </si>
  <si>
    <t>RH</t>
  </si>
  <si>
    <t>Both</t>
  </si>
  <si>
    <t>Door Colour</t>
  </si>
  <si>
    <t>Brown</t>
  </si>
  <si>
    <t>Light Brown</t>
  </si>
  <si>
    <t>Width2</t>
  </si>
  <si>
    <t>Number</t>
  </si>
  <si>
    <t>Location 1</t>
  </si>
  <si>
    <t>Door Spec 1</t>
  </si>
  <si>
    <t>Plot 2</t>
  </si>
  <si>
    <t>Ref 1</t>
  </si>
  <si>
    <t>Slave Door Width</t>
  </si>
  <si>
    <t>Ref 2</t>
  </si>
  <si>
    <t>Ref 3</t>
  </si>
  <si>
    <t>Loc 2</t>
  </si>
  <si>
    <t>Door 2</t>
  </si>
  <si>
    <t>PLot 1</t>
  </si>
  <si>
    <t>Door spec 3</t>
  </si>
  <si>
    <t>Plot 3</t>
  </si>
  <si>
    <t>Location 3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</si>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</sst>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</numFmts>
  <fonts count="62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charset val="134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3" fillId="0" borderId="1" applyNumberFormat="0" applyFill="0" applyAlignment="0" applyProtection="0"/>
    <xf numFmtId="0" fontId="25" fillId="0" borderId="0" applyNumberFormat="0" applyFill="0" applyBorder="0" applyAlignment="0" applyProtection="0"/>
    <xf numFmtId="0" fontId="17" fillId="0" borderId="0" applyFill="0" applyBorder="0">
      <alignment vertical="top"/>
    </xf>
    <xf numFmtId="0" fontId="18" fillId="2" borderId="0" applyFill="0" applyBorder="0">
      <alignment horizontal="left"/>
    </xf>
    <xf numFmtId="0" fontId="19" fillId="0" borderId="0" applyFill="0" applyBorder="0">
      <alignment vertical="top"/>
    </xf>
    <xf numFmtId="0" fontId="18" fillId="0" borderId="0" applyFill="0" applyBorder="0">
      <alignment horizontal="center"/>
    </xf>
    <xf numFmtId="0" fontId="18" fillId="0" borderId="0" applyFill="0" applyBorder="0">
      <alignment horizontal="center" wrapText="1"/>
    </xf>
    <xf numFmtId="0" fontId="20" fillId="0" borderId="0"/>
    <xf numFmtId="0" fontId="21" fillId="0" borderId="0" applyFill="0" applyBorder="0"/>
    <xf numFmtId="0" fontId="22" fillId="0" borderId="0" applyFill="0" applyBorder="0">
      <alignment vertical="top"/>
    </xf>
    <xf numFmtId="166" fontId="23" fillId="0" borderId="0" applyFill="0" applyBorder="0">
      <alignment vertical="top"/>
      <protection locked="0"/>
    </xf>
    <xf numFmtId="166" fontId="21" fillId="0" borderId="0" applyFill="0" applyBorder="0">
      <alignment vertical="top"/>
    </xf>
    <xf numFmtId="167" fontId="21" fillId="0" borderId="0" applyFill="0" applyBorder="0">
      <alignment vertical="top"/>
    </xf>
    <xf numFmtId="168" fontId="23" fillId="0" borderId="0" applyFill="0" applyBorder="0">
      <alignment vertical="top"/>
      <protection locked="0"/>
    </xf>
    <xf numFmtId="49" fontId="23" fillId="0" borderId="0" applyFill="0" applyBorder="0">
      <alignment vertical="top"/>
      <protection locked="0"/>
    </xf>
    <xf numFmtId="164" fontId="24" fillId="0" borderId="0" applyFont="0" applyFill="0" applyBorder="0" applyAlignment="0" applyProtection="0"/>
    <xf numFmtId="0" fontId="21" fillId="0" borderId="0" applyFill="0" applyBorder="0">
      <alignment horizontal="left" vertical="top" indent="1"/>
    </xf>
    <xf numFmtId="167" fontId="23" fillId="0" borderId="0" applyFill="0" applyBorder="0">
      <alignment vertical="top"/>
      <protection locked="0"/>
    </xf>
    <xf numFmtId="0" fontId="27" fillId="0" borderId="0">
      <alignment vertical="center"/>
    </xf>
    <xf numFmtId="0" fontId="57" fillId="0" borderId="0" applyNumberFormat="0" applyFill="0" applyBorder="0" applyAlignment="0" applyProtection="0">
      <alignment vertical="center"/>
    </xf>
  </cellStyleXfs>
  <cellXfs count="183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/>
    <xf numFmtId="0" fontId="3" fillId="0" borderId="0" xfId="1" applyBorder="1" applyAlignment="1">
      <alignment horizontal="left" vertical="center"/>
    </xf>
    <xf numFmtId="0" fontId="3" fillId="0" borderId="0" xfId="1" applyBorder="1" applyAlignment="1">
      <alignment vertical="center"/>
    </xf>
    <xf numFmtId="0" fontId="0" fillId="0" borderId="0" xfId="0" applyAlignment="1">
      <alignment vertical="center"/>
    </xf>
    <xf numFmtId="0" fontId="5" fillId="0" borderId="0" xfId="0" quotePrefix="1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7" fillId="0" borderId="0" xfId="0" applyFont="1"/>
    <xf numFmtId="0" fontId="9" fillId="0" borderId="0" xfId="0" applyFont="1" applyAlignment="1">
      <alignment horizontal="left"/>
    </xf>
    <xf numFmtId="0" fontId="11" fillId="0" borderId="0" xfId="0" quotePrefix="1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top" wrapText="1"/>
    </xf>
    <xf numFmtId="0" fontId="12" fillId="0" borderId="0" xfId="0" applyFont="1" applyFill="1" applyAlignment="1">
      <alignment horizontal="left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6" fillId="0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8" fillId="0" borderId="0" xfId="0" applyFont="1"/>
    <xf numFmtId="0" fontId="0" fillId="0" borderId="0" xfId="0" applyFill="1" applyAlignment="1">
      <alignment horizontal="left"/>
    </xf>
    <xf numFmtId="0" fontId="10" fillId="0" borderId="0" xfId="0" applyFont="1" applyFill="1"/>
    <xf numFmtId="0" fontId="0" fillId="0" borderId="0" xfId="0" applyFont="1" applyAlignment="1">
      <alignment horizontal="left" vertical="center" readingOrder="1"/>
    </xf>
    <xf numFmtId="0" fontId="14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5" fillId="0" borderId="0" xfId="0" applyFont="1" applyBorder="1" applyAlignment="1">
      <alignment vertical="center" wrapText="1"/>
    </xf>
    <xf numFmtId="0" fontId="0" fillId="0" borderId="0" xfId="0" applyBorder="1"/>
    <xf numFmtId="0" fontId="8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6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0" fontId="7" fillId="0" borderId="0" xfId="0" applyFont="1" applyAlignment="1">
      <alignment vertical="top"/>
    </xf>
    <xf numFmtId="0" fontId="25" fillId="0" borderId="0" xfId="2"/>
    <xf numFmtId="0" fontId="26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6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6" fillId="0" borderId="5" xfId="0" applyFont="1" applyFill="1" applyBorder="1" applyAlignment="1">
      <alignment horizontal="left" vertical="center" wrapText="1"/>
    </xf>
    <xf numFmtId="0" fontId="26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6" fillId="0" borderId="6" xfId="0" applyFont="1" applyFill="1" applyBorder="1" applyAlignment="1">
      <alignment horizontal="left" vertical="center" wrapText="1"/>
    </xf>
    <xf numFmtId="0" fontId="26" fillId="0" borderId="6" xfId="0" applyFont="1" applyFill="1" applyBorder="1" applyAlignment="1">
      <alignment horizontal="center" vertical="center" wrapText="1"/>
    </xf>
    <xf numFmtId="0" fontId="27" fillId="0" borderId="0" xfId="19" applyProtection="1">
      <alignment vertical="center"/>
      <protection locked="0"/>
    </xf>
    <xf numFmtId="0" fontId="27" fillId="3" borderId="2" xfId="19" applyFill="1" applyBorder="1" applyProtection="1">
      <alignment vertical="center"/>
      <protection locked="0"/>
    </xf>
    <xf numFmtId="0" fontId="28" fillId="0" borderId="0" xfId="19" applyFont="1" applyAlignment="1" applyProtection="1">
      <alignment horizontal="left" vertical="center"/>
      <protection locked="0"/>
    </xf>
    <xf numFmtId="0" fontId="29" fillId="0" borderId="0" xfId="19" applyFont="1" applyProtection="1">
      <alignment vertical="center"/>
      <protection locked="0"/>
    </xf>
    <xf numFmtId="0" fontId="30" fillId="0" borderId="0" xfId="19" applyFont="1" applyProtection="1">
      <alignment vertical="center"/>
      <protection locked="0"/>
    </xf>
    <xf numFmtId="0" fontId="4" fillId="0" borderId="0" xfId="19" applyFont="1" applyProtection="1">
      <alignment vertical="center"/>
      <protection locked="0"/>
    </xf>
    <xf numFmtId="0" fontId="27" fillId="0" borderId="0" xfId="19" applyAlignment="1" applyProtection="1">
      <alignment horizontal="center" vertical="center"/>
      <protection locked="0"/>
    </xf>
    <xf numFmtId="0" fontId="30" fillId="3" borderId="2" xfId="19" applyFont="1" applyFill="1" applyBorder="1" applyProtection="1">
      <alignment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4" fillId="3" borderId="2" xfId="19" applyFont="1" applyFill="1" applyBorder="1" applyProtection="1">
      <alignment vertical="center"/>
      <protection locked="0"/>
    </xf>
    <xf numFmtId="0" fontId="4" fillId="0" borderId="7" xfId="19" applyFont="1" applyBorder="1" applyProtection="1">
      <alignment vertical="center"/>
      <protection locked="0"/>
    </xf>
    <xf numFmtId="0" fontId="30" fillId="0" borderId="7" xfId="19" applyFont="1" applyBorder="1" applyProtection="1">
      <alignment vertical="center"/>
      <protection locked="0"/>
    </xf>
    <xf numFmtId="0" fontId="4" fillId="4" borderId="0" xfId="19" applyFont="1" applyFill="1" applyProtection="1">
      <alignment vertical="center"/>
      <protection locked="0"/>
    </xf>
    <xf numFmtId="0" fontId="4" fillId="0" borderId="0" xfId="19" applyFont="1" applyAlignment="1" applyProtection="1">
      <alignment horizontal="center" vertical="center"/>
      <protection locked="0"/>
    </xf>
    <xf numFmtId="0" fontId="32" fillId="5" borderId="4" xfId="19" applyFont="1" applyFill="1" applyBorder="1" applyAlignment="1" applyProtection="1">
      <alignment horizontal="center" vertical="center" textRotation="90" wrapText="1"/>
      <protection locked="0"/>
    </xf>
    <xf numFmtId="0" fontId="32" fillId="5" borderId="2" xfId="19" applyFont="1" applyFill="1" applyBorder="1" applyAlignment="1" applyProtection="1">
      <alignment horizontal="center" vertical="center" wrapText="1"/>
      <protection locked="0"/>
    </xf>
    <xf numFmtId="0" fontId="32" fillId="5" borderId="2" xfId="19" applyFont="1" applyFill="1" applyBorder="1" applyAlignment="1" applyProtection="1">
      <alignment horizontal="center" vertical="center" textRotation="90" wrapText="1"/>
      <protection locked="0"/>
    </xf>
    <xf numFmtId="0" fontId="32" fillId="5" borderId="3" xfId="19" applyFont="1" applyFill="1" applyBorder="1" applyAlignment="1" applyProtection="1">
      <alignment horizontal="center" vertical="center" textRotation="90" wrapText="1"/>
      <protection locked="0"/>
    </xf>
    <xf numFmtId="0" fontId="32" fillId="3" borderId="2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6" borderId="2" xfId="19" applyFont="1" applyFill="1" applyBorder="1" applyAlignment="1" applyProtection="1">
      <alignment horizontal="center" vertical="center" textRotation="90" wrapText="1"/>
      <protection locked="0"/>
    </xf>
    <xf numFmtId="0" fontId="34" fillId="6" borderId="2" xfId="19" applyFont="1" applyFill="1" applyBorder="1" applyAlignment="1" applyProtection="1">
      <alignment horizontal="center" vertical="center" textRotation="90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 wrapText="1"/>
      <protection locked="0"/>
    </xf>
    <xf numFmtId="0" fontId="39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7" borderId="2" xfId="19" applyFont="1" applyFill="1" applyBorder="1" applyAlignment="1" applyProtection="1">
      <alignment horizontal="center" vertical="center" textRotation="90"/>
      <protection locked="0"/>
    </xf>
    <xf numFmtId="0" fontId="38" fillId="7" borderId="2" xfId="19" applyFont="1" applyFill="1" applyBorder="1" applyAlignment="1" applyProtection="1">
      <alignment horizontal="center" vertical="center" textRotation="90"/>
      <protection locked="0"/>
    </xf>
    <xf numFmtId="0" fontId="44" fillId="0" borderId="2" xfId="19" applyFont="1" applyBorder="1" applyAlignment="1" applyProtection="1">
      <alignment horizontal="center" vertical="center" wrapText="1"/>
      <protection locked="0"/>
    </xf>
    <xf numFmtId="0" fontId="27" fillId="0" borderId="2" xfId="19" applyBorder="1" applyAlignment="1" applyProtection="1">
      <alignment horizontal="center" vertical="center"/>
      <protection locked="0"/>
    </xf>
    <xf numFmtId="0" fontId="45" fillId="0" borderId="8" xfId="19" applyFont="1" applyBorder="1" applyAlignment="1" applyProtection="1">
      <alignment horizontal="center" vertical="center"/>
      <protection locked="0"/>
    </xf>
    <xf numFmtId="0" fontId="2" fillId="0" borderId="3" xfId="19" applyFont="1" applyBorder="1" applyProtection="1">
      <alignment vertical="center"/>
      <protection locked="0"/>
    </xf>
    <xf numFmtId="0" fontId="2" fillId="0" borderId="2" xfId="19" applyFont="1" applyBorder="1" applyProtection="1">
      <alignment vertical="center"/>
      <protection locked="0"/>
    </xf>
    <xf numFmtId="0" fontId="27" fillId="0" borderId="4" xfId="19" applyBorder="1" applyProtection="1">
      <alignment vertical="center"/>
      <protection locked="0"/>
    </xf>
    <xf numFmtId="0" fontId="46" fillId="0" borderId="4" xfId="19" applyFont="1" applyBorder="1" applyAlignment="1" applyProtection="1">
      <alignment horizontal="center" vertical="center" wrapText="1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27" fillId="0" borderId="2" xfId="19" applyBorder="1" applyProtection="1">
      <alignment vertical="center"/>
      <protection locked="0"/>
    </xf>
    <xf numFmtId="0" fontId="27" fillId="0" borderId="3" xfId="19" applyBorder="1" applyProtection="1">
      <alignment vertical="center"/>
      <protection locked="0"/>
    </xf>
    <xf numFmtId="0" fontId="4" fillId="0" borderId="4" xfId="19" applyFont="1" applyBorder="1" applyProtection="1">
      <alignment vertical="center"/>
      <protection locked="0"/>
    </xf>
    <xf numFmtId="0" fontId="21" fillId="0" borderId="3" xfId="19" applyFont="1" applyBorder="1" applyAlignment="1" applyProtection="1">
      <alignment horizontal="center" vertical="center" wrapText="1"/>
      <protection locked="0"/>
    </xf>
    <xf numFmtId="0" fontId="46" fillId="0" borderId="2" xfId="19" applyFont="1" applyBorder="1" applyAlignment="1" applyProtection="1">
      <alignment horizontal="center" vertical="center" wrapText="1"/>
      <protection locked="0"/>
    </xf>
    <xf numFmtId="1" fontId="45" fillId="0" borderId="9" xfId="19" applyNumberFormat="1" applyFont="1" applyBorder="1" applyAlignment="1" applyProtection="1">
      <alignment horizontal="center" vertical="center"/>
      <protection locked="0"/>
    </xf>
    <xf numFmtId="1" fontId="45" fillId="0" borderId="0" xfId="19" applyNumberFormat="1" applyFont="1" applyAlignment="1" applyProtection="1">
      <alignment horizontal="center" vertical="center"/>
      <protection locked="0"/>
    </xf>
    <xf numFmtId="0" fontId="47" fillId="8" borderId="2" xfId="19" applyFont="1" applyFill="1" applyBorder="1" applyAlignment="1" applyProtection="1">
      <alignment horizontal="center" vertical="center" wrapText="1"/>
      <protection locked="0"/>
    </xf>
    <xf numFmtId="0" fontId="30" fillId="0" borderId="2" xfId="19" applyFont="1" applyBorder="1" applyProtection="1">
      <alignment vertical="center"/>
      <protection locked="0"/>
    </xf>
    <xf numFmtId="0" fontId="30" fillId="0" borderId="2" xfId="19" applyFont="1" applyBorder="1" applyAlignment="1" applyProtection="1">
      <alignment horizontal="center" vertical="center"/>
      <protection locked="0"/>
    </xf>
    <xf numFmtId="0" fontId="27" fillId="0" borderId="2" xfId="19" applyBorder="1">
      <alignment vertical="center"/>
    </xf>
    <xf numFmtId="0" fontId="27" fillId="3" borderId="3" xfId="19" applyFill="1" applyBorder="1" applyProtection="1">
      <alignment vertical="center"/>
      <protection locked="0"/>
    </xf>
    <xf numFmtId="0" fontId="48" fillId="0" borderId="4" xfId="19" applyFont="1" applyBorder="1" applyAlignment="1" applyProtection="1">
      <alignment horizontal="left" vertical="center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0" fontId="47" fillId="0" borderId="3" xfId="19" applyFont="1" applyBorder="1" applyAlignment="1" applyProtection="1">
      <alignment horizontal="center" vertical="center"/>
      <protection locked="0"/>
    </xf>
    <xf numFmtId="0" fontId="47" fillId="0" borderId="3" xfId="19" applyFont="1" applyBorder="1" applyAlignment="1" applyProtection="1">
      <alignment horizontal="center" vertical="center" wrapText="1"/>
      <protection locked="0"/>
    </xf>
    <xf numFmtId="0" fontId="27" fillId="0" borderId="2" xfId="19" applyBorder="1" applyAlignment="1" applyProtection="1">
      <alignment horizontal="left" vertical="center"/>
      <protection locked="0"/>
    </xf>
    <xf numFmtId="0" fontId="27" fillId="0" borderId="3" xfId="19" applyBorder="1" applyAlignment="1" applyProtection="1">
      <alignment horizontal="left" vertical="center"/>
      <protection locked="0"/>
    </xf>
    <xf numFmtId="0" fontId="45" fillId="0" borderId="2" xfId="19" applyFont="1" applyBorder="1" applyAlignment="1" applyProtection="1">
      <alignment horizontal="center" vertical="center"/>
      <protection locked="0"/>
    </xf>
    <xf numFmtId="0" fontId="47" fillId="0" borderId="2" xfId="19" applyFont="1" applyBorder="1" applyAlignment="1" applyProtection="1">
      <alignment horizontal="center" vertical="center"/>
      <protection locked="0"/>
    </xf>
    <xf numFmtId="0" fontId="27" fillId="0" borderId="3" xfId="19" applyBorder="1">
      <alignment vertical="center"/>
    </xf>
    <xf numFmtId="0" fontId="2" fillId="0" borderId="2" xfId="19" applyFont="1" applyBorder="1" applyAlignment="1" applyProtection="1">
      <alignment horizontal="center" vertical="center"/>
      <protection locked="0"/>
    </xf>
    <xf numFmtId="0" fontId="49" fillId="0" borderId="8" xfId="19" applyFont="1" applyBorder="1" applyAlignment="1" applyProtection="1">
      <alignment horizontal="center" vertical="center"/>
      <protection locked="0"/>
    </xf>
    <xf numFmtId="0" fontId="49" fillId="0" borderId="9" xfId="19" applyFont="1" applyBorder="1" applyAlignment="1" applyProtection="1">
      <alignment horizontal="center" vertical="center"/>
      <protection locked="0"/>
    </xf>
    <xf numFmtId="0" fontId="50" fillId="0" borderId="3" xfId="19" applyFont="1" applyBorder="1" applyAlignment="1" applyProtection="1">
      <alignment horizontal="center" vertical="center"/>
      <protection locked="0"/>
    </xf>
    <xf numFmtId="0" fontId="2" fillId="0" borderId="4" xfId="19" applyFont="1" applyBorder="1" applyAlignment="1" applyProtection="1">
      <alignment horizontal="left" vertical="center"/>
      <protection locked="0"/>
    </xf>
    <xf numFmtId="0" fontId="51" fillId="0" borderId="4" xfId="19" applyFont="1" applyBorder="1" applyAlignment="1" applyProtection="1">
      <alignment horizontal="center" vertical="center" wrapText="1"/>
      <protection locked="0"/>
    </xf>
    <xf numFmtId="0" fontId="2" fillId="0" borderId="3" xfId="19" applyFont="1" applyBorder="1" applyAlignment="1" applyProtection="1">
      <alignment horizontal="center" vertical="center"/>
      <protection locked="0"/>
    </xf>
    <xf numFmtId="0" fontId="52" fillId="0" borderId="4" xfId="19" applyFont="1" applyBorder="1" applyAlignment="1" applyProtection="1">
      <alignment horizontal="center" vertical="center"/>
      <protection locked="0"/>
    </xf>
    <xf numFmtId="0" fontId="2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Protection="1">
      <alignment vertical="center"/>
      <protection locked="0"/>
    </xf>
    <xf numFmtId="0" fontId="2" fillId="0" borderId="2" xfId="19" applyFont="1" applyBorder="1" applyAlignment="1" applyProtection="1">
      <alignment horizontal="left" vertical="center"/>
      <protection locked="0"/>
    </xf>
    <xf numFmtId="0" fontId="2" fillId="0" borderId="3" xfId="19" applyFont="1" applyBorder="1" applyAlignment="1" applyProtection="1">
      <alignment horizontal="left" vertical="center"/>
      <protection locked="0"/>
    </xf>
    <xf numFmtId="0" fontId="7" fillId="0" borderId="2" xfId="19" applyFont="1" applyBorder="1" applyAlignment="1" applyProtection="1">
      <alignment horizontal="center" vertical="center" wrapText="1"/>
      <protection locked="0"/>
    </xf>
    <xf numFmtId="0" fontId="49" fillId="0" borderId="2" xfId="19" applyFont="1" applyBorder="1" applyAlignment="1" applyProtection="1">
      <alignment horizontal="center" vertical="center"/>
      <protection locked="0"/>
    </xf>
    <xf numFmtId="0" fontId="2" fillId="0" borderId="0" xfId="19" applyFont="1" applyProtection="1">
      <alignment vertical="center"/>
      <protection locked="0"/>
    </xf>
    <xf numFmtId="0" fontId="53" fillId="0" borderId="2" xfId="19" applyFont="1" applyBorder="1" applyAlignment="1" applyProtection="1">
      <alignment horizontal="center" vertical="center"/>
      <protection locked="0"/>
    </xf>
    <xf numFmtId="0" fontId="27" fillId="0" borderId="4" xfId="19" applyBorder="1" applyAlignment="1" applyProtection="1">
      <alignment horizontal="left" vertical="center"/>
      <protection locked="0"/>
    </xf>
    <xf numFmtId="0" fontId="27" fillId="0" borderId="0" xfId="19" applyAlignment="1" applyProtection="1">
      <alignment horizontal="left" vertical="center"/>
      <protection locked="0"/>
    </xf>
    <xf numFmtId="0" fontId="27" fillId="0" borderId="0" xfId="19">
      <alignment vertical="center"/>
    </xf>
    <xf numFmtId="0" fontId="27" fillId="3" borderId="0" xfId="19" applyFill="1" applyAlignment="1">
      <alignment horizontal="left" vertical="center"/>
    </xf>
    <xf numFmtId="0" fontId="54" fillId="3" borderId="0" xfId="19" applyFont="1" applyFill="1" applyAlignment="1">
      <alignment horizontal="left" vertical="center"/>
    </xf>
    <xf numFmtId="0" fontId="27" fillId="0" borderId="0" xfId="19" applyAlignment="1">
      <alignment horizontal="right" vertical="center"/>
    </xf>
    <xf numFmtId="0" fontId="28" fillId="0" borderId="0" xfId="19" applyFont="1" applyAlignment="1">
      <alignment horizontal="left" vertical="center"/>
    </xf>
    <xf numFmtId="0" fontId="29" fillId="0" borderId="0" xfId="19" applyFont="1" applyAlignment="1">
      <alignment horizontal="right" vertical="center"/>
    </xf>
    <xf numFmtId="0" fontId="29" fillId="0" borderId="0" xfId="19" applyFont="1">
      <alignment vertical="center"/>
    </xf>
    <xf numFmtId="0" fontId="55" fillId="0" borderId="0" xfId="19" applyFont="1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56" fillId="0" borderId="0" xfId="19" applyFont="1">
      <alignment vertical="center"/>
    </xf>
    <xf numFmtId="0" fontId="50" fillId="0" borderId="0" xfId="19" applyFont="1">
      <alignment vertical="center"/>
    </xf>
    <xf numFmtId="14" fontId="29" fillId="0" borderId="0" xfId="19" applyNumberFormat="1" applyFont="1" applyAlignment="1">
      <alignment horizontal="right" vertical="center"/>
    </xf>
    <xf numFmtId="0" fontId="58" fillId="0" borderId="0" xfId="20" applyFont="1">
      <alignment vertical="center"/>
    </xf>
    <xf numFmtId="0" fontId="59" fillId="0" borderId="0" xfId="19" applyFont="1" applyAlignment="1">
      <alignment horizontal="right" vertical="center"/>
    </xf>
    <xf numFmtId="0" fontId="60" fillId="0" borderId="0" xfId="20" applyFont="1">
      <alignment vertical="center"/>
    </xf>
    <xf numFmtId="0" fontId="15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1" fillId="0" borderId="2" xfId="19" applyFont="1" applyBorder="1" applyProtection="1">
      <alignment vertical="center"/>
      <protection locked="0"/>
    </xf>
    <xf numFmtId="0" fontId="61" fillId="9" borderId="10" xfId="8" applyFont="1" applyFill="1" applyBorder="1"/>
    <xf numFmtId="2" fontId="0" fillId="0" borderId="0" xfId="0" applyNumberFormat="1" applyAlignment="1">
      <alignment wrapText="1"/>
    </xf>
    <xf numFmtId="2" fontId="6" fillId="0" borderId="0" xfId="0" applyNumberFormat="1" applyFont="1" applyAlignment="1">
      <alignment vertical="center"/>
    </xf>
    <xf numFmtId="2" fontId="61" fillId="9" borderId="10" xfId="8" applyNumberFormat="1" applyFont="1" applyFill="1" applyBorder="1"/>
    <xf numFmtId="2" fontId="7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14" fontId="0" fillId="0" borderId="0" xfId="8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1" fillId="9" borderId="10" xfId="8" applyNumberFormat="1" applyFont="1" applyFill="1" applyBorder="1"/>
    <xf numFmtId="0" fontId="0" fillId="0" borderId="0" xfId="8" applyNumberFormat="1" applyFont="1" applyFill="1" applyBorder="1"/>
    <xf numFmtId="0" fontId="7" fillId="0" borderId="0" xfId="0" applyNumberFormat="1" applyFont="1" applyAlignment="1">
      <alignment horizontal="center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81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80"/>
      <tableStyleElement type="secondSubtotalRow" dxfId="79"/>
      <tableStyleElement type="thirdSubtotalRow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58420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15240</xdr:rowOff>
    </xdr:from>
    <xdr:to>
      <xdr:col>1</xdr:col>
      <xdr:colOff>58420</xdr:colOff>
      <xdr:row>18</xdr:row>
      <xdr:rowOff>66040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1082040</xdr:colOff>
      <xdr:row>0</xdr:row>
      <xdr:rowOff>38100</xdr:rowOff>
    </xdr:from>
    <xdr:to>
      <xdr:col>2</xdr:col>
      <xdr:colOff>1971040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27940</xdr:rowOff>
    </xdr:from>
    <xdr:to>
      <xdr:col>1</xdr:col>
      <xdr:colOff>58420</xdr:colOff>
      <xdr:row>3</xdr:row>
      <xdr:rowOff>383540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96520</xdr:colOff>
      <xdr:row>0</xdr:row>
      <xdr:rowOff>38100</xdr:rowOff>
    </xdr:from>
    <xdr:to>
      <xdr:col>2</xdr:col>
      <xdr:colOff>116840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38100</xdr:rowOff>
    </xdr:from>
    <xdr:to>
      <xdr:col>1</xdr:col>
      <xdr:colOff>58420</xdr:colOff>
      <xdr:row>6</xdr:row>
      <xdr:rowOff>5080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12700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50800</xdr:colOff>
      <xdr:row>0</xdr:row>
      <xdr:rowOff>38100</xdr:rowOff>
    </xdr:from>
    <xdr:to>
      <xdr:col>2</xdr:col>
      <xdr:colOff>269240</xdr:colOff>
      <xdr:row>0</xdr:row>
      <xdr:rowOff>393700</xdr:rowOff>
    </xdr:to>
    <xdr:sp macro="" textlink="">
      <xdr:nvSpPr>
        <xdr:cNvPr id="3" name="Rectangle: Rounded Corners 2" title="1|2|Curren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525780</xdr:colOff>
      <xdr:row>0</xdr:row>
      <xdr:rowOff>38100</xdr:rowOff>
    </xdr:from>
    <xdr:to>
      <xdr:col>4</xdr:col>
      <xdr:colOff>751840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208280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1173480</xdr:colOff>
      <xdr:row>0</xdr:row>
      <xdr:rowOff>38100</xdr:rowOff>
    </xdr:from>
    <xdr:to>
      <xdr:col>2</xdr:col>
      <xdr:colOff>416560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2</xdr:col>
      <xdr:colOff>20320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2</xdr:col>
      <xdr:colOff>58420</xdr:colOff>
      <xdr:row>0</xdr:row>
      <xdr:rowOff>38100</xdr:rowOff>
    </xdr:from>
    <xdr:to>
      <xdr:col>2</xdr:col>
      <xdr:colOff>947420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289560</xdr:colOff>
      <xdr:row>0</xdr:row>
      <xdr:rowOff>38100</xdr:rowOff>
    </xdr:from>
    <xdr:to>
      <xdr:col>6</xdr:col>
      <xdr:colOff>66040</xdr:colOff>
      <xdr:row>0</xdr:row>
      <xdr:rowOff>393700</xdr:rowOff>
    </xdr:to>
    <xdr:sp macro="" textlink="">
      <xdr:nvSpPr>
        <xdr:cNvPr id="4" name="Rectangle: Rounded Corners 3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3:BK6" totalsRowShown="0" headerRowDxfId="65" dataDxfId="2" headerRowBorderDxfId="66" tableBorderDxfId="67" headerRowCellStyle="Normal 2">
  <autoFilter ref="A3:BK6" xr:uid="{F4A8F5CE-B3BA-491F-B4A1-D3C7F089C524}"/>
  <tableColumns count="63">
    <tableColumn id="63" xr3:uid="{EE02FA41-B767-4EDA-8A42-16775A1CE61D}" name="Number" dataDxfId="64"/>
    <tableColumn id="1" xr3:uid="{C2547AE1-A085-4B64-A835-5930DF641EFF}" name="Flat / Plot" dataDxfId="1"/>
    <tableColumn id="2" xr3:uid="{5E685CB6-772D-43F5-947F-8F004694B5D8}" name="Door Spec" dataDxfId="63"/>
    <tableColumn id="3" xr3:uid="{DA6E3C03-A706-4B73-8852-6750B4D70BA0}" name="Location" dataDxfId="62"/>
    <tableColumn id="4" xr3:uid="{0C4D87F5-5C2B-466D-9A4E-1F3B3731B622}" name="Door Ref/Number" dataDxfId="61"/>
    <tableColumn id="5" xr3:uid="{C2DF3D45-E4A7-461C-9D39-335EDF5260F8}" name="Fire Rating" dataDxfId="60"/>
    <tableColumn id="6" xr3:uid="{2C999091-B956-44CC-822F-AB4EDFD7E332}" name="Instrument Strip" dataDxfId="59"/>
    <tableColumn id="7" xr3:uid="{B064A130-78DC-431E-9521-58512D72A4DC}" name="Colour" dataDxfId="58"/>
    <tableColumn id="8" xr3:uid="{3B94FCCB-CC65-47C5-8377-A8CC723E2C77}" name="Doorset Layout" dataDxfId="57"/>
    <tableColumn id="9" xr3:uid="{648CC17C-1403-4838-9C11-DCE9FE411B0C}" name="Lead Door Width" dataDxfId="56"/>
    <tableColumn id="10" xr3:uid="{6B663A8E-A3E3-4365-B5A0-635C3DC26C51}" name="Slave Door Width" dataDxfId="55"/>
    <tableColumn id="11" xr3:uid="{DC51496B-E561-4AB0-912D-42DE11D3FD11}" name="Door Height" dataDxfId="54"/>
    <tableColumn id="12" xr3:uid="{A91C5037-F37B-4806-92A5-7C8F8E02DF77}" name="Door Thickness " dataDxfId="53"/>
    <tableColumn id="13" xr3:uid="{811715EE-8154-491E-853B-04119F5D1B3C}" name="Aperture" dataDxfId="52"/>
    <tableColumn id="14" xr3:uid="{D5527189-CEBA-49D3-B4D4-411F61006300}" name="Aperture Quantity" dataDxfId="51"/>
    <tableColumn id="15" xr3:uid="{3269E6B6-E84F-44CD-8C91-C37A6F692CBA}" name="Handing" dataDxfId="50"/>
    <tableColumn id="16" xr3:uid="{61B44BE8-7015-4DA9-B8FC-8E3AED49F8A8}" name="Hinges" dataDxfId="49"/>
    <tableColumn id="17" xr3:uid="{BFEB86BD-1D6F-4779-A2E0-6F771B7275F3}" name="Hinge Quantity" dataDxfId="48"/>
    <tableColumn id="18" xr3:uid="{2B44A9FC-919B-42B5-8270-212A48A74DBF}" name="Ironmongery" dataDxfId="47"/>
    <tableColumn id="19" xr3:uid="{D0325A9D-6F8B-43AA-BA29-613A006ED5AD}" name="Flush Bolts " dataDxfId="46"/>
    <tableColumn id="20" xr3:uid="{64A84D9A-0E9B-44A9-8B8D-21722651638C}" name="Roller Catch" dataDxfId="45"/>
    <tableColumn id="21" xr3:uid="{BF743E01-BC3C-4C71-8C45-A44A4E19D021}" name="Frame Timber" dataDxfId="44"/>
    <tableColumn id="22" xr3:uid="{85E42A7A-6DE8-4DC6-88A0-FECE51C842E1}" name="Frame Thickness" dataDxfId="43"/>
    <tableColumn id="23" xr3:uid="{F5C26954-B720-489D-8F32-7EA10C8532B8}" name="Frame Width" dataDxfId="42"/>
    <tableColumn id="24" xr3:uid="{02CB49B1-90B8-4CEC-9E34-7844CF63B008}" name="Lintol thickness" dataDxfId="41"/>
    <tableColumn id="25" xr3:uid="{08F24E03-6DF2-48DC-88E7-7EEF8460001D}" name="Stop Timber" dataDxfId="40"/>
    <tableColumn id="26" xr3:uid="{73748A60-7FED-45DC-B4F3-0C5D10635A35}" name="Stop Thickness" dataDxfId="39"/>
    <tableColumn id="27" xr3:uid="{92495BFC-5E5E-428F-B5DC-E22977F1228D}" name="Stop Width" dataDxfId="38"/>
    <tableColumn id="28" xr3:uid="{41E3299C-E614-4A4C-BF04-DB83D466CF8F}" name="Undercut" dataDxfId="37"/>
    <tableColumn id="29" xr3:uid="{90DED4C9-765F-40C9-B705-3807CD706C45}" name=" Leg Quantity" dataDxfId="36"/>
    <tableColumn id="30" xr3:uid="{BC7CDA11-9EF7-413B-8669-341B172A521E}" name="Trench " dataDxfId="35"/>
    <tableColumn id="31" xr3:uid="{DD5AD3F5-23E8-4CFB-A9EF-31F1C240E815}" name="Width Clearance " dataDxfId="34"/>
    <tableColumn id="32" xr3:uid="{E0BB2231-3D9D-45FC-8106-CC33E8092669}" name=" Head Clearance" dataDxfId="33"/>
    <tableColumn id="33" xr3:uid="{C7E64173-718B-41B2-A1AC-0328DBE5A181}" name="Meeting Style Clearance" dataDxfId="32"/>
    <tableColumn id="34" xr3:uid="{D79DB058-373A-4D09-BB4F-5D604BE3E6C0}" name="Leg" dataDxfId="31"/>
    <tableColumn id="35" xr3:uid="{5285FF10-4A14-4A40-8CD2-BE8BDEE2750E}" name="Lintol" dataDxfId="30"/>
    <tableColumn id="36" xr3:uid="{EE10BCB3-2276-424E-804C-5707CA316687}" name="Stop Leg" dataDxfId="29"/>
    <tableColumn id="37" xr3:uid="{B4FD732A-E965-4E14-BA5D-8B3E44091374}" name="Stop Lintiol" dataDxfId="28"/>
    <tableColumn id="38" xr3:uid="{CE9DF7B3-E259-433F-8EE2-870DD96BAFD8}" name="Facing Type" dataDxfId="27"/>
    <tableColumn id="39" xr3:uid="{130FB667-CC1E-4063-AAE5-8999783296B1}" name="Facings Width" dataDxfId="26"/>
    <tableColumn id="40" xr3:uid="{C212C7BC-E011-4BDE-8EF9-8CE19C37DC7C}" name="Facings Depth" dataDxfId="25"/>
    <tableColumn id="41" xr3:uid="{415981EC-391A-43F2-8468-2D20EB2877BB}" name="Margin For Hinge Clearance" dataDxfId="24"/>
    <tableColumn id="42" xr3:uid="{1F6A3F5C-0B5E-489A-86D0-AABB907C110F}" name="Facings Leg Hinge Side" dataDxfId="23"/>
    <tableColumn id="43" xr3:uid="{4C1A8D07-FB1C-4BCD-AF77-D379AC68F4ED}" name="Facing Lintol Hinge Side" dataDxfId="22"/>
    <tableColumn id="44" xr3:uid="{78DCA3FD-3CA2-453F-9505-73D0618C5724}" name="Facings Leg Hinge Side Quantity" dataDxfId="21"/>
    <tableColumn id="45" xr3:uid="{90D01B7C-43EF-495D-9602-97FB4F9B4DCF}" name="Facings Leg Non Hinge Side" dataDxfId="20"/>
    <tableColumn id="46" xr3:uid="{7A554DD9-2AB3-4DF1-8865-F805D70F003A}" name="Facings Lintol Non Hinge Side" dataDxfId="19"/>
    <tableColumn id="47" xr3:uid="{80B79599-DEB6-43A9-8D64-B4A0DAA05A1A}" name="Facings Non Hinge Side Quantity" dataDxfId="18"/>
    <tableColumn id="48" xr3:uid="{A7332B73-6CE0-47C7-91CC-5C8A0E435BDF}" name="Strapping Timber" dataDxfId="17"/>
    <tableColumn id="49" xr3:uid="{98649AB9-257E-4C19-9727-FCA3CBC54787}" name="Strapping Width " dataDxfId="16"/>
    <tableColumn id="50" xr3:uid="{2573CE71-96BF-4EF1-9235-9FC0E6625B30}" name="Strapping Thickness" dataDxfId="15"/>
    <tableColumn id="51" xr3:uid="{83382027-2549-4172-A93E-A44CBAD25F51}" name="Strapping Quantity" dataDxfId="14"/>
    <tableColumn id="52" xr3:uid="{5D097E82-1E98-45D2-B4B8-EE52A4ECFF54}" name="Cutting Length" dataDxfId="13"/>
    <tableColumn id="53" xr3:uid="{AA3A7732-0599-41A9-9469-87DEB2005E18}" name="Base Blocks Timber" dataDxfId="12"/>
    <tableColumn id="54" xr3:uid="{99E2F268-6497-4453-BB53-CA7498EB1C54}" name="Width" dataDxfId="11"/>
    <tableColumn id="55" xr3:uid="{07E735BC-053B-4BA3-B976-58661EEB43C1}" name="Thickness " dataDxfId="10"/>
    <tableColumn id="56" xr3:uid="{00DDC031-77F6-4E6E-B630-DF2C6F62015B}" name="Height" dataDxfId="9"/>
    <tableColumn id="57" xr3:uid="{1BD45F6A-3B96-4446-89D8-000BD54C544C}" name="Quantity" dataDxfId="8"/>
    <tableColumn id="58" xr3:uid="{EC09E856-2FFB-4D2D-87FB-695D7DB56EDC}" name="Threshold Timber" dataDxfId="7"/>
    <tableColumn id="59" xr3:uid="{5AF331AE-019F-406E-B557-AAB3DBD57A85}" name="Thickness" dataDxfId="6"/>
    <tableColumn id="60" xr3:uid="{440F6002-C5D6-4D89-8806-CBA2507D6FB7}" name="Width2" dataDxfId="5"/>
    <tableColumn id="61" xr3:uid="{6C5F4C8F-327E-4782-A6C0-9F38838FED62}" name="Length " dataDxfId="4"/>
    <tableColumn id="62" xr3:uid="{D3A130B6-009A-47C5-9707-D6032CF1F2EB}" name="Quantity 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A3:A6" totalsRowShown="0" headerRowDxfId="75" dataDxfId="76">
  <autoFilter ref="A3:A6" xr:uid="{0902FF45-95D7-4CB3-B877-36956C4D8363}"/>
  <tableColumns count="1">
    <tableColumn id="1" xr3:uid="{50D2381B-209A-4F94-BAC9-AD26CCC2B599}" name="Fire Rating" dataDxfId="7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C3:C5" totalsRowShown="0" headerRowDxfId="73" dataDxfId="71" tableBorderDxfId="74">
  <autoFilter ref="C3:C5" xr:uid="{00B1724C-3B19-4B0D-8442-AA99743F92FF}"/>
  <tableColumns count="1">
    <tableColumn id="1" xr3:uid="{C9F49D4B-53E2-488D-9EB3-647AEE3F192C}" name="Instrument Strip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E3:E5" totalsRowShown="0" headerRowDxfId="68" dataDxfId="69">
  <autoFilter ref="E3:E5" xr:uid="{E68C8121-B1C7-4F44-88A0-4760005BA04B}"/>
  <tableColumns count="1">
    <tableColumn id="1" xr3:uid="{EF3492D1-961F-4120-9E07-95AC7765D076}" name="Doorset Layout" dataDxfId="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G3:G6" totalsRowShown="0">
  <autoFilter ref="G3:G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637236-C51F-4DE2-9695-D0E7A2DB6F5E}" name="tblDoorColour" displayName="tblDoorColour" ref="I3:I5" totalsRowShown="0">
  <autoFilter ref="I3:I5" xr:uid="{44C09F56-BC99-42D0-B8C2-0295F9F71FFA}"/>
  <tableColumns count="1">
    <tableColumn id="1" xr3:uid="{59B383ED-11C4-4876-88AB-699CAC4B730A}" name="Door Colou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3" sqref="C3"/>
    </sheetView>
  </sheetViews>
  <sheetFormatPr defaultColWidth="9" defaultRowHeight="12"/>
  <cols>
    <col min="1" max="2" width="16.28515625" customWidth="1"/>
    <col min="3" max="3" width="50.7109375" bestFit="1" customWidth="1"/>
    <col min="4" max="4" width="91.7109375" customWidth="1"/>
    <col min="5" max="5" width="12.42578125" style="46" bestFit="1" customWidth="1"/>
    <col min="6" max="6" width="44.140625" customWidth="1"/>
  </cols>
  <sheetData>
    <row r="1" spans="1:15" ht="63.9" customHeight="1">
      <c r="A1" t="s">
        <v>2</v>
      </c>
      <c r="F1" t="s">
        <v>2</v>
      </c>
    </row>
    <row r="2" spans="1:15" ht="30.9" customHeight="1">
      <c r="A2" s="8" t="s">
        <v>1</v>
      </c>
    </row>
    <row r="3" spans="1:15" ht="30.9" customHeight="1">
      <c r="A3" s="8" t="s">
        <v>5</v>
      </c>
      <c r="C3" s="8" t="s">
        <v>354</v>
      </c>
      <c r="D3" s="22"/>
      <c r="E3" s="47"/>
      <c r="F3" s="20"/>
      <c r="G3" s="13"/>
      <c r="O3" t="s">
        <v>2</v>
      </c>
    </row>
    <row r="4" spans="1:15" ht="30.9" customHeight="1">
      <c r="A4" s="21"/>
      <c r="C4" s="58">
        <v>44026.634062500001</v>
      </c>
      <c r="D4" s="59"/>
      <c r="E4" s="60"/>
      <c r="F4" s="20"/>
      <c r="G4" s="13"/>
    </row>
    <row r="5" spans="1:15" ht="30.9" customHeight="1">
      <c r="A5" s="21"/>
      <c r="C5" s="61"/>
      <c r="D5" s="62"/>
      <c r="E5" s="63"/>
      <c r="F5" s="20"/>
      <c r="G5" s="13"/>
    </row>
    <row r="6" spans="1:15" ht="30.9" customHeight="1">
      <c r="C6" s="45"/>
      <c r="E6" s="48"/>
    </row>
    <row r="7" spans="1:15" ht="30.9" customHeight="1">
      <c r="C7" s="23"/>
    </row>
    <row r="8" spans="1:15" ht="30.9" customHeight="1">
      <c r="A8" s="8" t="s">
        <v>12</v>
      </c>
      <c r="D8" s="33"/>
      <c r="E8" s="49"/>
      <c r="F8" s="34"/>
    </row>
    <row r="9" spans="1:15" s="5" customFormat="1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>
      <c r="A10" s="5" t="s">
        <v>9</v>
      </c>
      <c r="B10" s="5" t="s">
        <v>17</v>
      </c>
      <c r="C10" s="27"/>
      <c r="D10" s="37"/>
      <c r="E10" s="51"/>
      <c r="F10" s="36"/>
    </row>
    <row r="11" spans="1:15">
      <c r="A11" s="5" t="s">
        <v>11</v>
      </c>
      <c r="B11" t="s">
        <v>18</v>
      </c>
      <c r="C11" s="27"/>
      <c r="D11" s="37"/>
      <c r="E11" s="51"/>
      <c r="F11" s="36"/>
    </row>
    <row r="12" spans="1:15">
      <c r="C12" s="27"/>
      <c r="D12" s="35"/>
      <c r="E12" s="50"/>
      <c r="F12" s="36"/>
    </row>
    <row r="13" spans="1:15">
      <c r="C13" s="27"/>
      <c r="D13" s="35"/>
      <c r="E13" s="50"/>
      <c r="F13" s="35"/>
    </row>
    <row r="14" spans="1:15">
      <c r="C14" s="29"/>
      <c r="D14" s="38"/>
      <c r="E14" s="52"/>
      <c r="F14" s="38"/>
    </row>
    <row r="15" spans="1:15">
      <c r="C15" s="29"/>
      <c r="D15" s="39"/>
      <c r="E15" s="53"/>
      <c r="F15" s="39"/>
    </row>
    <row r="16" spans="1:15">
      <c r="C16" s="29"/>
      <c r="D16" s="159"/>
      <c r="E16" s="54"/>
      <c r="F16" s="31"/>
    </row>
    <row r="17" spans="1:6">
      <c r="C17" s="29"/>
      <c r="D17" s="159"/>
      <c r="E17" s="54"/>
      <c r="F17" s="31"/>
    </row>
    <row r="18" spans="1:6">
      <c r="C18" s="29"/>
      <c r="D18" s="159"/>
      <c r="E18" s="54"/>
      <c r="F18" s="31"/>
    </row>
    <row r="19" spans="1:6">
      <c r="C19" s="29"/>
      <c r="D19" s="159"/>
      <c r="E19" s="54"/>
      <c r="F19" s="31"/>
    </row>
    <row r="20" spans="1:6">
      <c r="C20" s="29"/>
      <c r="D20" s="159"/>
      <c r="E20" s="54"/>
      <c r="F20" s="31"/>
    </row>
    <row r="21" spans="1:6">
      <c r="A21" s="20"/>
      <c r="B21" s="20"/>
      <c r="C21" s="29"/>
      <c r="D21" s="159"/>
      <c r="E21" s="54"/>
      <c r="F21" s="31"/>
    </row>
    <row r="22" spans="1:6">
      <c r="A22" s="20"/>
      <c r="B22" s="20"/>
      <c r="C22" s="29"/>
      <c r="D22" s="159"/>
      <c r="E22" s="54"/>
      <c r="F22" s="31"/>
    </row>
    <row r="23" spans="1:6">
      <c r="A23" s="20"/>
      <c r="B23" s="20"/>
      <c r="C23" s="29"/>
      <c r="D23" s="159"/>
      <c r="E23" s="54"/>
      <c r="F23" s="31"/>
    </row>
    <row r="24" spans="1:6">
      <c r="A24" s="20"/>
      <c r="B24" s="20"/>
      <c r="C24" s="29"/>
      <c r="D24" s="159"/>
      <c r="E24" s="54"/>
      <c r="F24" s="31"/>
    </row>
    <row r="25" spans="1:6">
      <c r="A25" s="20"/>
      <c r="B25" s="20"/>
      <c r="C25" s="29"/>
      <c r="D25" s="159"/>
      <c r="E25" s="54"/>
      <c r="F25" s="31"/>
    </row>
    <row r="26" spans="1:6">
      <c r="A26" s="20"/>
      <c r="B26" s="20"/>
      <c r="C26" s="29"/>
      <c r="D26" s="159"/>
      <c r="E26" s="54"/>
      <c r="F26" s="31"/>
    </row>
    <row r="27" spans="1:6">
      <c r="A27" s="20"/>
      <c r="B27" s="20"/>
      <c r="C27" s="29"/>
      <c r="D27" s="159"/>
      <c r="E27" s="54"/>
      <c r="F27" s="31"/>
    </row>
    <row r="28" spans="1:6">
      <c r="A28" s="20"/>
      <c r="B28" s="20"/>
      <c r="C28" s="29"/>
      <c r="D28" s="159"/>
      <c r="E28" s="54"/>
      <c r="F28" s="31"/>
    </row>
    <row r="29" spans="1:6">
      <c r="A29" s="20"/>
      <c r="B29" s="20"/>
      <c r="C29" s="29"/>
      <c r="D29" s="32"/>
      <c r="E29" s="55"/>
      <c r="F29" s="31"/>
    </row>
    <row r="30" spans="1:6">
      <c r="A30" s="25"/>
      <c r="B30" s="20"/>
      <c r="C30" s="29"/>
      <c r="D30" s="32"/>
      <c r="E30" s="55"/>
      <c r="F30" s="31"/>
    </row>
    <row r="31" spans="1:6">
      <c r="A31" s="20"/>
      <c r="B31" s="20"/>
      <c r="C31" s="29"/>
      <c r="D31" s="159"/>
      <c r="E31" s="54"/>
      <c r="F31" s="31"/>
    </row>
    <row r="32" spans="1:6" ht="15.6">
      <c r="A32" s="26"/>
      <c r="B32" s="20"/>
      <c r="C32" s="29"/>
      <c r="D32" s="159"/>
      <c r="E32" s="54"/>
      <c r="F32" s="31"/>
    </row>
    <row r="33" spans="1:6" ht="223.5" customHeight="1">
      <c r="A33" s="20"/>
      <c r="B33" s="20"/>
      <c r="C33" s="29"/>
      <c r="D33" s="29"/>
      <c r="E33" s="56"/>
      <c r="F33" s="30"/>
    </row>
    <row r="34" spans="1:6" ht="15.6">
      <c r="A34" s="26"/>
      <c r="B34" s="20"/>
      <c r="F34" s="20"/>
    </row>
    <row r="35" spans="1:6">
      <c r="A35" s="20"/>
      <c r="B35" s="20"/>
      <c r="C35" s="20"/>
      <c r="D35" s="20"/>
      <c r="E35" s="57"/>
      <c r="F35" s="20"/>
    </row>
    <row r="36" spans="1:6">
      <c r="A36" s="20"/>
      <c r="B36" s="20"/>
      <c r="C36" s="20"/>
      <c r="D36" s="20"/>
      <c r="E36" s="57"/>
      <c r="F36" s="20"/>
    </row>
    <row r="37" spans="1:6">
      <c r="A37" s="20"/>
      <c r="B37" s="20"/>
      <c r="C37" s="20"/>
      <c r="D37" s="20"/>
      <c r="E37" s="57"/>
      <c r="F37" s="20"/>
    </row>
    <row r="38" spans="1:6">
      <c r="A38" s="20"/>
      <c r="B38" s="20"/>
      <c r="C38" s="20"/>
      <c r="D38" s="20"/>
      <c r="E38" s="57"/>
      <c r="F38" s="20"/>
    </row>
    <row r="39" spans="1:6">
      <c r="A39" s="20"/>
      <c r="B39" s="20"/>
      <c r="C39" s="20"/>
      <c r="D39" s="20"/>
      <c r="E39" s="57"/>
      <c r="F39" s="20"/>
    </row>
    <row r="40" spans="1:6">
      <c r="A40" s="20"/>
      <c r="B40" s="20"/>
      <c r="C40" s="20"/>
      <c r="D40" s="20"/>
      <c r="E40" s="57"/>
      <c r="F40" s="20"/>
    </row>
    <row r="41" spans="1:6">
      <c r="A41" s="20"/>
      <c r="B41" s="20"/>
      <c r="C41" s="20"/>
      <c r="D41" s="20"/>
      <c r="E41" s="57"/>
      <c r="F41" s="20"/>
    </row>
    <row r="42" spans="1:6">
      <c r="A42" s="20"/>
      <c r="B42" s="20"/>
      <c r="C42" s="20"/>
      <c r="D42" s="20"/>
      <c r="E42" s="57"/>
      <c r="F42" s="20"/>
    </row>
    <row r="43" spans="1:6">
      <c r="A43" s="20"/>
      <c r="B43" s="20"/>
      <c r="C43" s="20"/>
      <c r="D43" s="20"/>
      <c r="E43" s="57"/>
      <c r="F43" s="20"/>
    </row>
    <row r="44" spans="1:6">
      <c r="A44" s="20"/>
      <c r="B44" s="20"/>
      <c r="C44" s="20"/>
      <c r="D44" s="20"/>
      <c r="E44" s="57"/>
      <c r="F44" s="20"/>
    </row>
    <row r="45" spans="1:6">
      <c r="A45" s="20"/>
      <c r="B45" s="20"/>
      <c r="C45" s="20"/>
      <c r="D45" s="20"/>
      <c r="E45" s="57"/>
      <c r="F45" s="20"/>
    </row>
    <row r="46" spans="1:6">
      <c r="A46" s="20"/>
      <c r="B46" s="20"/>
      <c r="C46" s="20"/>
      <c r="D46" s="20"/>
      <c r="E46" s="57"/>
      <c r="F46" s="20"/>
    </row>
    <row r="47" spans="1:6">
      <c r="A47" s="20"/>
      <c r="B47" s="20"/>
      <c r="C47" s="20"/>
      <c r="D47" s="20"/>
      <c r="E47" s="57"/>
      <c r="F47" s="20"/>
    </row>
    <row r="48" spans="1:6">
      <c r="A48" s="20"/>
      <c r="B48" s="20"/>
      <c r="C48" s="20"/>
      <c r="D48" s="20"/>
      <c r="E48" s="57"/>
      <c r="F48" s="20"/>
    </row>
    <row r="49" spans="1:6">
      <c r="A49" s="20"/>
      <c r="B49" s="20"/>
      <c r="C49" s="20"/>
      <c r="D49" s="20"/>
      <c r="E49" s="57"/>
      <c r="F49" s="20"/>
    </row>
    <row r="50" spans="1:6">
      <c r="A50" s="20"/>
      <c r="B50" s="20"/>
      <c r="C50" s="20"/>
      <c r="D50" s="20"/>
      <c r="E50" s="57"/>
      <c r="F50" s="20"/>
    </row>
    <row r="51" spans="1:6">
      <c r="A51" s="20"/>
      <c r="B51" s="20"/>
      <c r="C51" s="20"/>
      <c r="D51" s="20"/>
      <c r="E51" s="57"/>
      <c r="F51" s="20"/>
    </row>
    <row r="52" spans="1:6">
      <c r="A52" s="20"/>
      <c r="B52" s="20"/>
      <c r="C52" s="20"/>
      <c r="D52" s="20"/>
      <c r="E52" s="57"/>
      <c r="F52" s="20"/>
    </row>
    <row r="53" spans="1:6">
      <c r="A53" s="20"/>
      <c r="B53" s="20"/>
      <c r="C53" s="20"/>
      <c r="D53" s="20"/>
      <c r="E53" s="57"/>
      <c r="F53" s="20"/>
    </row>
    <row r="54" spans="1:6">
      <c r="A54" s="20"/>
      <c r="B54" s="20"/>
      <c r="C54" s="20"/>
      <c r="D54" s="20"/>
      <c r="E54" s="57"/>
      <c r="F54" s="20"/>
    </row>
    <row r="55" spans="1:6">
      <c r="A55" s="20"/>
      <c r="B55" s="20"/>
      <c r="C55" s="20"/>
      <c r="D55" s="20"/>
      <c r="E55" s="57"/>
      <c r="F55" s="20"/>
    </row>
    <row r="56" spans="1:6">
      <c r="A56" s="20"/>
      <c r="B56" s="20"/>
      <c r="C56" s="20"/>
      <c r="D56" s="20"/>
      <c r="E56" s="57"/>
      <c r="F56" s="20"/>
    </row>
    <row r="57" spans="1:6">
      <c r="A57" s="20"/>
      <c r="B57" s="20"/>
      <c r="C57" s="20"/>
      <c r="D57" s="20"/>
      <c r="E57" s="57"/>
      <c r="F57" s="20"/>
    </row>
    <row r="58" spans="1:6">
      <c r="A58" s="20"/>
      <c r="B58" s="20"/>
      <c r="C58" s="20"/>
      <c r="D58" s="20"/>
      <c r="E58" s="57"/>
      <c r="F58" s="20"/>
    </row>
    <row r="59" spans="1:6">
      <c r="A59" s="20"/>
      <c r="B59" s="20"/>
      <c r="C59" s="20"/>
      <c r="D59" s="20"/>
      <c r="E59" s="57"/>
      <c r="F59" s="20"/>
    </row>
    <row r="60" spans="1:6">
      <c r="A60" s="20"/>
      <c r="B60" s="20"/>
      <c r="C60" s="20"/>
      <c r="D60" s="20"/>
      <c r="E60" s="57"/>
      <c r="F60" s="20"/>
    </row>
    <row r="61" spans="1:6">
      <c r="A61" s="20"/>
      <c r="B61" s="20"/>
      <c r="C61" s="20"/>
      <c r="D61" s="20"/>
      <c r="E61" s="57"/>
      <c r="F61" s="20"/>
    </row>
    <row r="62" spans="1:6">
      <c r="A62" s="20"/>
      <c r="B62" s="20"/>
      <c r="C62" s="20"/>
      <c r="D62" s="20"/>
      <c r="E62" s="57"/>
      <c r="F62" s="20"/>
    </row>
    <row r="63" spans="1:6">
      <c r="A63" s="20"/>
      <c r="B63" s="20"/>
      <c r="C63" s="20"/>
      <c r="D63" s="20"/>
      <c r="E63" s="57"/>
      <c r="F63" s="20"/>
    </row>
    <row r="64" spans="1:6">
      <c r="A64" s="20"/>
      <c r="B64" s="20"/>
      <c r="C64" s="20"/>
      <c r="D64" s="20"/>
      <c r="E64" s="57"/>
      <c r="F64" s="20"/>
    </row>
    <row r="65" spans="1:6">
      <c r="A65" s="20"/>
      <c r="B65" s="20"/>
      <c r="C65" s="20"/>
      <c r="D65" s="20"/>
      <c r="E65" s="57"/>
      <c r="F65" s="20"/>
    </row>
    <row r="66" spans="1:6">
      <c r="A66" s="20"/>
      <c r="B66" s="20"/>
      <c r="C66" s="20"/>
      <c r="D66" s="20"/>
      <c r="E66" s="57"/>
      <c r="F66" s="20"/>
    </row>
    <row r="67" spans="1:6">
      <c r="A67" s="20"/>
      <c r="B67" s="20"/>
      <c r="C67" s="20"/>
      <c r="D67" s="20"/>
      <c r="E67" s="57"/>
      <c r="F67" s="20"/>
    </row>
    <row r="68" spans="1:6">
      <c r="A68" s="20"/>
      <c r="B68" s="20"/>
      <c r="C68" s="20"/>
      <c r="D68" s="20"/>
      <c r="E68" s="57"/>
      <c r="F68" s="20"/>
    </row>
    <row r="69" spans="1:6">
      <c r="A69" s="20"/>
      <c r="B69" s="20"/>
      <c r="C69" s="20"/>
      <c r="D69" s="20"/>
      <c r="E69" s="57"/>
      <c r="F69" s="20"/>
    </row>
    <row r="70" spans="1:6">
      <c r="A70" s="20"/>
      <c r="B70" s="20"/>
      <c r="C70" s="20"/>
      <c r="D70" s="20"/>
      <c r="E70" s="57"/>
      <c r="F70" s="20"/>
    </row>
    <row r="71" spans="1:6">
      <c r="A71" s="20"/>
      <c r="B71" s="20"/>
      <c r="C71" s="20"/>
      <c r="D71" s="20"/>
      <c r="E71" s="57"/>
      <c r="F71" s="20"/>
    </row>
    <row r="72" spans="1:6">
      <c r="A72" s="20"/>
      <c r="B72" s="20"/>
      <c r="C72" s="20"/>
      <c r="D72" s="20"/>
      <c r="E72" s="57"/>
      <c r="F72" s="20"/>
    </row>
    <row r="73" spans="1:6">
      <c r="A73" s="20"/>
      <c r="B73" s="20"/>
      <c r="C73" s="20"/>
      <c r="D73" s="20"/>
      <c r="E73" s="57"/>
      <c r="F73" s="20"/>
    </row>
    <row r="74" spans="1:6">
      <c r="A74" s="20"/>
      <c r="B74" s="20"/>
      <c r="C74" s="20"/>
      <c r="D74" s="20"/>
      <c r="E74" s="57"/>
      <c r="F74" s="20"/>
    </row>
    <row r="75" spans="1:6">
      <c r="A75" s="20"/>
      <c r="B75" s="20"/>
      <c r="C75" s="20"/>
      <c r="D75" s="20"/>
      <c r="E75" s="57"/>
      <c r="F75" s="20"/>
    </row>
    <row r="76" spans="1:6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workbookViewId="0">
      <selection activeCell="J6" sqref="J6"/>
    </sheetView>
  </sheetViews>
  <sheetFormatPr defaultColWidth="11.42578125" defaultRowHeight="14.4"/>
  <cols>
    <col min="1" max="3" width="11.42578125" style="144"/>
    <col min="4" max="4" width="15.42578125" style="144" customWidth="1"/>
    <col min="5" max="8" width="11.42578125" style="144"/>
    <col min="9" max="9" width="13.7109375" style="144" customWidth="1"/>
    <col min="10" max="16384" width="11.42578125" style="144"/>
  </cols>
  <sheetData>
    <row r="3" spans="1:13" ht="23.4">
      <c r="G3" s="145"/>
      <c r="H3" s="146" t="s">
        <v>111</v>
      </c>
      <c r="I3" s="146"/>
      <c r="J3" s="146"/>
      <c r="K3" s="145"/>
      <c r="L3" s="145"/>
      <c r="M3" s="145"/>
    </row>
    <row r="4" spans="1:13">
      <c r="J4" s="147"/>
    </row>
    <row r="5" spans="1:13">
      <c r="J5" s="147"/>
    </row>
    <row r="6" spans="1:13" ht="18.600000000000001">
      <c r="G6" s="148" t="s">
        <v>112</v>
      </c>
      <c r="H6" s="148"/>
      <c r="I6" s="148"/>
      <c r="J6" s="149">
        <v>1234</v>
      </c>
    </row>
    <row r="7" spans="1:13" ht="18.600000000000001">
      <c r="G7" s="148" t="s">
        <v>113</v>
      </c>
      <c r="H7" s="148"/>
      <c r="I7" s="148"/>
      <c r="J7" s="149"/>
    </row>
    <row r="8" spans="1:13" ht="18.600000000000001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</row>
    <row r="9" spans="1:13" ht="18.600000000000001">
      <c r="A9" s="150" t="s">
        <v>116</v>
      </c>
      <c r="B9" s="150"/>
      <c r="C9" s="150"/>
      <c r="J9" s="151"/>
    </row>
    <row r="10" spans="1:13" ht="18.600000000000001">
      <c r="A10" s="150" t="s">
        <v>117</v>
      </c>
      <c r="B10" s="150"/>
      <c r="C10" s="150"/>
      <c r="G10" s="67" t="s">
        <v>23</v>
      </c>
      <c r="H10" s="67"/>
      <c r="I10" s="67"/>
      <c r="J10" s="67"/>
    </row>
    <row r="11" spans="1:13" ht="18.600000000000001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</row>
    <row r="12" spans="1:13" ht="18.600000000000001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</row>
    <row r="13" spans="1:13" ht="18.600000000000001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ht="15">
      <c r="A14" s="153"/>
      <c r="B14" s="153"/>
      <c r="C14" s="153"/>
      <c r="J14" s="147"/>
    </row>
    <row r="15" spans="1:13">
      <c r="J15" s="147"/>
    </row>
    <row r="16" spans="1:13" ht="18.600000000000001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44085</v>
      </c>
      <c r="K16" s="150"/>
    </row>
    <row r="17" spans="1:11" ht="18.600000000000001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</row>
    <row r="18" spans="1:11">
      <c r="A18" s="154"/>
      <c r="B18" s="158"/>
      <c r="C18" s="154"/>
      <c r="D18" s="154"/>
      <c r="J18" s="147"/>
    </row>
    <row r="22" spans="1:11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595"/>
  <sheetViews>
    <sheetView showGridLines="0" workbookViewId="0">
      <selection activeCell="BI3" sqref="BI3"/>
    </sheetView>
  </sheetViews>
  <sheetFormatPr defaultColWidth="9.28515625" defaultRowHeight="12"/>
  <cols>
    <col min="1" max="1" width="17.140625" style="173" bestFit="1" customWidth="1"/>
    <col min="2" max="2" width="12.5703125" style="182" bestFit="1" customWidth="1"/>
    <col min="3" max="3" width="13.28515625" style="163" bestFit="1" customWidth="1"/>
    <col min="4" max="4" width="12.42578125" style="163" bestFit="1" customWidth="1"/>
    <col min="5" max="5" width="19.5703125" style="163" bestFit="1" customWidth="1"/>
    <col min="6" max="6" width="13.85546875" style="163" bestFit="1" customWidth="1"/>
    <col min="7" max="7" width="20.42578125" style="163" bestFit="1" customWidth="1"/>
    <col min="8" max="8" width="22.85546875" style="163" bestFit="1" customWidth="1"/>
    <col min="9" max="9" width="17.5703125" style="163" bestFit="1" customWidth="1"/>
    <col min="10" max="10" width="19.28515625" style="163" bestFit="1" customWidth="1"/>
    <col min="11" max="11" width="19.85546875" style="163" bestFit="1" customWidth="1"/>
    <col min="12" max="12" width="15.28515625" style="163" bestFit="1" customWidth="1"/>
    <col min="13" max="13" width="18.28515625" style="163" bestFit="1" customWidth="1"/>
    <col min="14" max="14" width="11.7109375" style="164" bestFit="1" customWidth="1"/>
    <col min="15" max="15" width="20.140625" style="163" bestFit="1" customWidth="1"/>
    <col min="16" max="16" width="11.42578125" style="164" bestFit="1" customWidth="1"/>
    <col min="17" max="17" width="10" style="163" bestFit="1" customWidth="1"/>
    <col min="18" max="18" width="17.42578125" style="163" bestFit="1" customWidth="1"/>
    <col min="19" max="19" width="15.42578125" style="163" bestFit="1" customWidth="1"/>
    <col min="20" max="20" width="14.28515625" style="163" bestFit="1" customWidth="1"/>
    <col min="21" max="21" width="15" style="163" bestFit="1" customWidth="1"/>
    <col min="22" max="22" width="16.85546875" style="163" bestFit="1" customWidth="1"/>
    <col min="23" max="23" width="19.28515625" style="163" bestFit="1" customWidth="1"/>
    <col min="24" max="24" width="15.5703125" style="163" bestFit="1" customWidth="1"/>
    <col min="25" max="25" width="18" style="163" bestFit="1" customWidth="1"/>
    <col min="26" max="26" width="15" style="163" bestFit="1" customWidth="1"/>
    <col min="27" max="27" width="17.5703125" style="163" bestFit="1" customWidth="1"/>
    <col min="28" max="28" width="13.85546875" style="163" bestFit="1" customWidth="1"/>
    <col min="29" max="29" width="12" style="163" bestFit="1" customWidth="1"/>
    <col min="30" max="30" width="16.140625" style="163" bestFit="1" customWidth="1"/>
    <col min="31" max="31" width="10.7109375" style="163" bestFit="1" customWidth="1"/>
    <col min="32" max="32" width="19.7109375" style="163" bestFit="1" customWidth="1"/>
    <col min="33" max="33" width="19.140625" style="163" bestFit="1" customWidth="1"/>
    <col min="34" max="34" width="26.5703125" style="163" bestFit="1" customWidth="1"/>
    <col min="35" max="35" width="10" style="163" bestFit="1" customWidth="1"/>
    <col min="36" max="36" width="12" style="163" bestFit="1" customWidth="1"/>
    <col min="37" max="37" width="14.140625" style="163" customWidth="1"/>
    <col min="38" max="38" width="14.85546875" style="163" customWidth="1"/>
    <col min="39" max="40" width="16.5703125" style="163" customWidth="1"/>
    <col min="41" max="41" width="29.28515625" style="163" customWidth="1"/>
    <col min="42" max="42" width="25.28515625" style="163" customWidth="1"/>
    <col min="43" max="43" width="26.140625" style="163" customWidth="1"/>
    <col min="44" max="44" width="33.42578125" style="163" customWidth="1"/>
    <col min="45" max="45" width="29.42578125" style="163" customWidth="1"/>
    <col min="46" max="46" width="31.140625" style="163" customWidth="1"/>
    <col min="47" max="47" width="33.5703125" style="163" customWidth="1"/>
    <col min="48" max="48" width="19.5703125" style="163" customWidth="1"/>
    <col min="49" max="49" width="19" style="163" customWidth="1"/>
    <col min="50" max="50" width="22" style="163" customWidth="1"/>
    <col min="51" max="51" width="20.7109375" style="163" customWidth="1"/>
    <col min="52" max="52" width="17" style="163" customWidth="1"/>
    <col min="53" max="53" width="21.5703125" style="163" customWidth="1"/>
    <col min="54" max="54" width="9" style="163" customWidth="1"/>
    <col min="55" max="55" width="13.140625" style="163" customWidth="1"/>
    <col min="56" max="56" width="9.5703125" style="163" customWidth="1"/>
    <col min="57" max="57" width="11.28515625" style="163" customWidth="1"/>
    <col min="58" max="58" width="19.7109375" style="163" customWidth="1"/>
    <col min="59" max="59" width="12.5703125" style="163" customWidth="1"/>
    <col min="60" max="60" width="10" style="163" customWidth="1"/>
    <col min="61" max="61" width="10.5703125" style="163" customWidth="1"/>
    <col min="62" max="62" width="11.85546875" style="163" customWidth="1"/>
    <col min="63" max="16384" width="9.28515625" style="163"/>
  </cols>
  <sheetData>
    <row r="1" spans="1:63" s="160" customFormat="1" ht="63.9" customHeight="1">
      <c r="A1" s="170"/>
      <c r="B1" s="179"/>
      <c r="N1" s="161"/>
      <c r="P1" s="161"/>
    </row>
    <row r="2" spans="1:63" s="160" customFormat="1" ht="32.1" customHeight="1">
      <c r="A2" s="171" t="s">
        <v>27</v>
      </c>
      <c r="B2" s="179"/>
      <c r="F2" s="160" t="s">
        <v>28</v>
      </c>
      <c r="H2" s="160" t="s">
        <v>29</v>
      </c>
      <c r="N2" s="160" t="s">
        <v>30</v>
      </c>
      <c r="Q2" s="161" t="s">
        <v>31</v>
      </c>
      <c r="U2" s="160" t="s">
        <v>32</v>
      </c>
      <c r="AM2" s="160" t="s">
        <v>33</v>
      </c>
      <c r="AW2" s="160" t="s">
        <v>34</v>
      </c>
    </row>
    <row r="3" spans="1:63" s="162" customFormat="1">
      <c r="A3" s="172" t="s">
        <v>323</v>
      </c>
      <c r="B3" s="180" t="s">
        <v>35</v>
      </c>
      <c r="C3" s="169" t="s">
        <v>36</v>
      </c>
      <c r="D3" s="169" t="s">
        <v>4</v>
      </c>
      <c r="E3" s="169" t="s">
        <v>37</v>
      </c>
      <c r="F3" s="169" t="s">
        <v>28</v>
      </c>
      <c r="G3" s="169" t="s">
        <v>315</v>
      </c>
      <c r="H3" s="169" t="s">
        <v>39</v>
      </c>
      <c r="I3" s="169" t="s">
        <v>40</v>
      </c>
      <c r="J3" s="169" t="s">
        <v>41</v>
      </c>
      <c r="K3" s="169" t="s">
        <v>328</v>
      </c>
      <c r="L3" s="169" t="s">
        <v>43</v>
      </c>
      <c r="M3" s="169" t="s">
        <v>44</v>
      </c>
      <c r="N3" s="169" t="s">
        <v>30</v>
      </c>
      <c r="O3" s="169" t="s">
        <v>45</v>
      </c>
      <c r="P3" s="169" t="s">
        <v>46</v>
      </c>
      <c r="Q3" s="169" t="s">
        <v>47</v>
      </c>
      <c r="R3" s="169" t="s">
        <v>48</v>
      </c>
      <c r="S3" s="169" t="s">
        <v>31</v>
      </c>
      <c r="T3" s="169" t="s">
        <v>49</v>
      </c>
      <c r="U3" s="169" t="s">
        <v>50</v>
      </c>
      <c r="V3" s="169" t="s">
        <v>51</v>
      </c>
      <c r="W3" s="169" t="s">
        <v>52</v>
      </c>
      <c r="X3" s="169" t="s">
        <v>53</v>
      </c>
      <c r="Y3" s="169" t="s">
        <v>54</v>
      </c>
      <c r="Z3" s="169" t="s">
        <v>55</v>
      </c>
      <c r="AA3" s="169" t="s">
        <v>56</v>
      </c>
      <c r="AB3" s="169" t="s">
        <v>57</v>
      </c>
      <c r="AC3" s="169" t="s">
        <v>58</v>
      </c>
      <c r="AD3" s="169" t="s">
        <v>59</v>
      </c>
      <c r="AE3" s="169" t="s">
        <v>60</v>
      </c>
      <c r="AF3" s="169" t="s">
        <v>61</v>
      </c>
      <c r="AG3" s="169" t="s">
        <v>62</v>
      </c>
      <c r="AH3" s="169" t="s">
        <v>63</v>
      </c>
      <c r="AI3" s="169" t="s">
        <v>64</v>
      </c>
      <c r="AJ3" s="169" t="s">
        <v>65</v>
      </c>
      <c r="AK3" s="169" t="s">
        <v>66</v>
      </c>
      <c r="AL3" s="169" t="s">
        <v>67</v>
      </c>
      <c r="AM3" s="169" t="s">
        <v>68</v>
      </c>
      <c r="AN3" s="169" t="s">
        <v>69</v>
      </c>
      <c r="AO3" s="169" t="s">
        <v>70</v>
      </c>
      <c r="AP3" s="169" t="s">
        <v>71</v>
      </c>
      <c r="AQ3" s="169" t="s">
        <v>72</v>
      </c>
      <c r="AR3" s="169" t="s">
        <v>73</v>
      </c>
      <c r="AS3" s="169" t="s">
        <v>74</v>
      </c>
      <c r="AT3" s="169" t="s">
        <v>75</v>
      </c>
      <c r="AU3" s="169" t="s">
        <v>76</v>
      </c>
      <c r="AV3" s="169" t="s">
        <v>77</v>
      </c>
      <c r="AW3" s="169" t="s">
        <v>78</v>
      </c>
      <c r="AX3" s="169" t="s">
        <v>79</v>
      </c>
      <c r="AY3" s="169" t="s">
        <v>80</v>
      </c>
      <c r="AZ3" s="169" t="s">
        <v>81</v>
      </c>
      <c r="BA3" s="169" t="s">
        <v>82</v>
      </c>
      <c r="BB3" s="169" t="s">
        <v>83</v>
      </c>
      <c r="BC3" s="169" t="s">
        <v>84</v>
      </c>
      <c r="BD3" s="169" t="s">
        <v>85</v>
      </c>
      <c r="BE3" s="169" t="s">
        <v>86</v>
      </c>
      <c r="BF3" s="169" t="s">
        <v>87</v>
      </c>
      <c r="BG3" s="169" t="s">
        <v>88</v>
      </c>
      <c r="BH3" s="169" t="s">
        <v>89</v>
      </c>
      <c r="BI3" s="169" t="s">
        <v>322</v>
      </c>
      <c r="BJ3" s="169" t="s">
        <v>90</v>
      </c>
      <c r="BK3" s="169" t="s">
        <v>91</v>
      </c>
    </row>
    <row r="4" spans="1:63" s="178" customFormat="1">
      <c r="A4" s="174">
        <v>1</v>
      </c>
      <c r="B4" s="181" t="s">
        <v>333</v>
      </c>
      <c r="C4" s="175" t="s">
        <v>325</v>
      </c>
      <c r="D4" s="175" t="s">
        <v>324</v>
      </c>
      <c r="E4" s="175" t="s">
        <v>327</v>
      </c>
      <c r="F4" s="175" t="s">
        <v>94</v>
      </c>
      <c r="G4" s="175" t="s">
        <v>95</v>
      </c>
      <c r="H4" s="175" t="s">
        <v>320</v>
      </c>
      <c r="I4" s="175" t="s">
        <v>96</v>
      </c>
      <c r="J4" s="175">
        <v>100</v>
      </c>
      <c r="K4" s="175">
        <v>200</v>
      </c>
      <c r="L4" s="175">
        <v>20</v>
      </c>
      <c r="M4" s="175">
        <v>200</v>
      </c>
      <c r="N4" s="175"/>
      <c r="O4" s="176"/>
      <c r="P4" s="175"/>
      <c r="Q4" s="176"/>
      <c r="R4" s="175"/>
      <c r="S4" s="175"/>
      <c r="T4" s="175"/>
      <c r="U4" s="175"/>
      <c r="V4" s="175"/>
      <c r="W4" s="175"/>
      <c r="X4" s="175"/>
      <c r="Y4" s="175"/>
      <c r="Z4" s="177"/>
      <c r="AA4" s="177"/>
      <c r="AB4" s="177"/>
      <c r="AC4" s="175"/>
      <c r="AD4" s="177"/>
      <c r="AE4" s="175"/>
      <c r="AF4" s="175"/>
      <c r="AG4" s="175"/>
      <c r="AH4" s="175"/>
      <c r="AI4" s="175"/>
      <c r="AJ4" s="175"/>
      <c r="AK4" s="175"/>
      <c r="AL4" s="175"/>
      <c r="AM4" s="175"/>
      <c r="AN4" s="175"/>
      <c r="AO4" s="175"/>
      <c r="AP4" s="175"/>
      <c r="AQ4" s="175"/>
      <c r="AR4" s="175"/>
      <c r="AS4" s="175"/>
      <c r="AT4" s="175"/>
      <c r="AU4" s="175"/>
      <c r="AV4" s="175"/>
      <c r="AW4" s="175"/>
      <c r="AX4" s="175"/>
      <c r="AY4" s="175"/>
      <c r="AZ4" s="175"/>
      <c r="BA4" s="175"/>
      <c r="BB4" s="175"/>
      <c r="BC4" s="175"/>
      <c r="BD4" s="175"/>
      <c r="BE4" s="175"/>
      <c r="BF4" s="175"/>
      <c r="BG4" s="175"/>
      <c r="BH4" s="175"/>
      <c r="BI4" s="175"/>
      <c r="BJ4" s="175"/>
      <c r="BK4" s="175"/>
    </row>
    <row r="5" spans="1:63">
      <c r="A5" s="174">
        <v>2</v>
      </c>
      <c r="B5" s="181" t="s">
        <v>326</v>
      </c>
      <c r="C5" s="175" t="s">
        <v>332</v>
      </c>
      <c r="D5" s="175" t="s">
        <v>331</v>
      </c>
      <c r="E5" s="175" t="s">
        <v>329</v>
      </c>
      <c r="F5" s="175" t="s">
        <v>92</v>
      </c>
      <c r="G5" s="175"/>
      <c r="H5" s="175"/>
      <c r="I5" s="175"/>
      <c r="J5" s="175"/>
      <c r="K5" s="175"/>
      <c r="L5" s="175"/>
      <c r="M5" s="175"/>
      <c r="N5" s="175"/>
      <c r="O5" s="176"/>
      <c r="P5" s="175"/>
      <c r="Q5" s="176"/>
      <c r="R5" s="175"/>
      <c r="S5" s="175"/>
      <c r="T5" s="175"/>
      <c r="U5" s="175"/>
      <c r="V5" s="175"/>
      <c r="W5" s="175"/>
      <c r="X5" s="175"/>
      <c r="Y5" s="175"/>
      <c r="Z5" s="177"/>
      <c r="AA5" s="177"/>
      <c r="AB5" s="177"/>
      <c r="AC5" s="175"/>
      <c r="AD5" s="177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</row>
    <row r="6" spans="1:63">
      <c r="A6" s="174">
        <v>3</v>
      </c>
      <c r="B6" s="181" t="s">
        <v>335</v>
      </c>
      <c r="C6" s="175" t="s">
        <v>334</v>
      </c>
      <c r="D6" s="175" t="s">
        <v>336</v>
      </c>
      <c r="E6" s="175" t="s">
        <v>330</v>
      </c>
      <c r="F6" s="175" t="s">
        <v>94</v>
      </c>
      <c r="G6" s="175"/>
      <c r="H6" s="175"/>
      <c r="I6" s="175"/>
      <c r="J6" s="175"/>
      <c r="K6" s="175"/>
      <c r="L6" s="175"/>
      <c r="M6" s="175"/>
      <c r="N6" s="175"/>
      <c r="O6" s="176"/>
      <c r="P6" s="175"/>
      <c r="Q6" s="176"/>
      <c r="R6" s="175"/>
      <c r="S6" s="175"/>
      <c r="T6" s="175"/>
      <c r="U6" s="175"/>
      <c r="V6" s="175"/>
      <c r="W6" s="175"/>
      <c r="X6" s="175"/>
      <c r="Y6" s="175"/>
      <c r="Z6" s="177"/>
      <c r="AA6" s="177"/>
      <c r="AB6" s="177"/>
      <c r="AC6" s="175"/>
      <c r="AD6" s="177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</row>
    <row r="7" spans="1:63">
      <c r="Y7" s="165"/>
      <c r="Z7" s="165"/>
      <c r="AA7" s="165"/>
      <c r="AC7" s="165"/>
    </row>
    <row r="8" spans="1:63">
      <c r="Y8" s="165"/>
      <c r="Z8" s="165"/>
      <c r="AA8" s="165"/>
      <c r="AC8" s="165"/>
    </row>
    <row r="9" spans="1:63">
      <c r="Y9" s="165"/>
      <c r="Z9" s="165"/>
      <c r="AA9" s="165"/>
      <c r="AC9" s="165"/>
    </row>
    <row r="10" spans="1:63">
      <c r="Y10" s="165"/>
      <c r="Z10" s="165"/>
      <c r="AA10" s="165"/>
      <c r="AC10" s="165"/>
    </row>
    <row r="11" spans="1:63">
      <c r="Y11" s="165"/>
      <c r="Z11" s="165"/>
      <c r="AA11" s="165"/>
      <c r="AC11" s="165"/>
    </row>
    <row r="12" spans="1:63">
      <c r="Y12" s="165"/>
      <c r="Z12" s="165"/>
      <c r="AA12" s="165"/>
      <c r="AC12" s="165"/>
    </row>
    <row r="13" spans="1:63">
      <c r="Y13" s="165"/>
      <c r="Z13" s="165"/>
      <c r="AA13" s="165"/>
      <c r="AC13" s="165"/>
    </row>
    <row r="14" spans="1:63">
      <c r="Y14" s="165"/>
      <c r="Z14" s="165"/>
      <c r="AA14" s="165"/>
      <c r="AC14" s="165"/>
    </row>
    <row r="15" spans="1:63">
      <c r="Y15" s="165"/>
      <c r="Z15" s="165"/>
      <c r="AA15" s="165"/>
      <c r="AC15" s="165"/>
    </row>
    <row r="16" spans="1:63">
      <c r="Y16" s="165"/>
      <c r="Z16" s="165"/>
      <c r="AA16" s="165"/>
      <c r="AC16" s="165"/>
    </row>
    <row r="17" spans="25:29">
      <c r="Y17" s="165"/>
      <c r="Z17" s="165"/>
      <c r="AA17" s="165"/>
      <c r="AC17" s="165"/>
    </row>
    <row r="18" spans="25:29">
      <c r="Y18" s="165"/>
      <c r="Z18" s="165"/>
      <c r="AA18" s="165"/>
      <c r="AC18" s="165"/>
    </row>
    <row r="19" spans="25:29">
      <c r="Y19" s="165"/>
      <c r="Z19" s="165"/>
      <c r="AA19" s="165"/>
      <c r="AC19" s="165"/>
    </row>
    <row r="20" spans="25:29">
      <c r="Y20" s="165"/>
      <c r="Z20" s="165"/>
      <c r="AA20" s="165"/>
      <c r="AC20" s="165"/>
    </row>
    <row r="21" spans="25:29">
      <c r="Y21" s="165"/>
      <c r="Z21" s="165"/>
      <c r="AA21" s="165"/>
      <c r="AC21" s="165"/>
    </row>
    <row r="22" spans="25:29">
      <c r="Y22" s="165"/>
      <c r="Z22" s="165"/>
      <c r="AA22" s="165"/>
      <c r="AC22" s="165"/>
    </row>
    <row r="23" spans="25:29">
      <c r="Y23" s="165"/>
      <c r="Z23" s="165"/>
      <c r="AA23" s="165"/>
      <c r="AC23" s="165"/>
    </row>
    <row r="24" spans="25:29">
      <c r="Y24" s="165"/>
      <c r="Z24" s="165"/>
      <c r="AA24" s="165"/>
      <c r="AC24" s="165"/>
    </row>
    <row r="25" spans="25:29">
      <c r="Y25" s="165"/>
      <c r="Z25" s="165"/>
      <c r="AA25" s="165"/>
      <c r="AC25" s="165"/>
    </row>
    <row r="26" spans="25:29">
      <c r="Y26" s="165"/>
      <c r="Z26" s="165"/>
      <c r="AA26" s="165"/>
      <c r="AC26" s="165"/>
    </row>
    <row r="27" spans="25:29">
      <c r="Y27" s="165"/>
      <c r="Z27" s="165"/>
      <c r="AA27" s="165"/>
      <c r="AC27" s="165"/>
    </row>
    <row r="28" spans="25:29">
      <c r="Y28" s="165"/>
      <c r="Z28" s="165"/>
      <c r="AA28" s="165"/>
      <c r="AC28" s="165"/>
    </row>
    <row r="29" spans="25:29">
      <c r="Y29" s="165"/>
      <c r="Z29" s="165"/>
      <c r="AA29" s="165"/>
      <c r="AC29" s="165"/>
    </row>
    <row r="30" spans="25:29">
      <c r="Y30" s="165"/>
      <c r="Z30" s="165"/>
      <c r="AA30" s="165"/>
      <c r="AC30" s="165"/>
    </row>
    <row r="31" spans="25:29">
      <c r="Y31" s="165"/>
      <c r="Z31" s="165"/>
      <c r="AA31" s="165"/>
      <c r="AC31" s="165"/>
    </row>
    <row r="32" spans="25:29">
      <c r="Y32" s="165"/>
      <c r="Z32" s="165"/>
      <c r="AA32" s="165"/>
      <c r="AC32" s="165"/>
    </row>
    <row r="33" spans="25:29">
      <c r="Y33" s="165"/>
      <c r="Z33" s="165"/>
      <c r="AA33" s="165"/>
      <c r="AC33" s="165"/>
    </row>
    <row r="34" spans="25:29">
      <c r="Y34" s="165"/>
      <c r="Z34" s="165"/>
      <c r="AA34" s="165"/>
      <c r="AC34" s="165"/>
    </row>
    <row r="35" spans="25:29">
      <c r="Y35" s="165"/>
      <c r="Z35" s="165"/>
      <c r="AA35" s="165"/>
      <c r="AC35" s="165"/>
    </row>
    <row r="36" spans="25:29">
      <c r="Y36" s="165"/>
      <c r="Z36" s="165"/>
      <c r="AA36" s="165"/>
      <c r="AC36" s="165"/>
    </row>
    <row r="37" spans="25:29">
      <c r="Y37" s="165"/>
      <c r="Z37" s="165"/>
      <c r="AA37" s="165"/>
      <c r="AC37" s="165"/>
    </row>
    <row r="38" spans="25:29">
      <c r="Y38" s="165"/>
      <c r="Z38" s="165"/>
      <c r="AA38" s="165"/>
      <c r="AC38" s="165"/>
    </row>
    <row r="39" spans="25:29">
      <c r="Y39" s="165"/>
      <c r="Z39" s="165"/>
      <c r="AA39" s="165"/>
      <c r="AC39" s="165"/>
    </row>
    <row r="40" spans="25:29">
      <c r="Y40" s="165"/>
      <c r="Z40" s="165"/>
      <c r="AA40" s="165"/>
      <c r="AC40" s="165"/>
    </row>
    <row r="41" spans="25:29">
      <c r="Y41" s="165"/>
      <c r="Z41" s="165"/>
      <c r="AA41" s="165"/>
      <c r="AC41" s="165"/>
    </row>
    <row r="42" spans="25:29">
      <c r="Y42" s="165"/>
      <c r="Z42" s="165"/>
      <c r="AA42" s="165"/>
      <c r="AC42" s="165"/>
    </row>
    <row r="43" spans="25:29">
      <c r="Y43" s="165"/>
      <c r="Z43" s="165"/>
      <c r="AA43" s="165"/>
      <c r="AC43" s="165"/>
    </row>
    <row r="44" spans="25:29">
      <c r="Y44" s="165"/>
      <c r="Z44" s="165"/>
      <c r="AA44" s="165"/>
      <c r="AC44" s="165"/>
    </row>
    <row r="45" spans="25:29">
      <c r="Y45" s="165"/>
      <c r="Z45" s="165"/>
      <c r="AA45" s="165"/>
      <c r="AC45" s="165"/>
    </row>
    <row r="46" spans="25:29">
      <c r="Y46" s="165"/>
      <c r="Z46" s="165"/>
      <c r="AA46" s="165"/>
      <c r="AC46" s="165"/>
    </row>
    <row r="47" spans="25:29">
      <c r="Y47" s="165"/>
      <c r="Z47" s="165"/>
      <c r="AA47" s="165"/>
      <c r="AC47" s="165"/>
    </row>
    <row r="48" spans="25:29">
      <c r="Y48" s="165"/>
      <c r="Z48" s="165"/>
      <c r="AA48" s="165"/>
      <c r="AC48" s="165"/>
    </row>
    <row r="49" spans="25:29">
      <c r="Y49" s="165"/>
      <c r="Z49" s="165"/>
      <c r="AA49" s="165"/>
      <c r="AC49" s="165"/>
    </row>
    <row r="50" spans="25:29">
      <c r="Y50" s="165"/>
      <c r="Z50" s="165"/>
      <c r="AA50" s="165"/>
      <c r="AC50" s="165"/>
    </row>
    <row r="51" spans="25:29">
      <c r="Y51" s="165"/>
      <c r="Z51" s="165"/>
      <c r="AA51" s="165"/>
      <c r="AC51" s="165"/>
    </row>
    <row r="52" spans="25:29">
      <c r="Y52" s="165"/>
      <c r="Z52" s="165"/>
      <c r="AA52" s="165"/>
      <c r="AC52" s="165"/>
    </row>
    <row r="53" spans="25:29">
      <c r="Y53" s="165"/>
      <c r="Z53" s="165"/>
      <c r="AA53" s="165"/>
      <c r="AC53" s="165"/>
    </row>
    <row r="54" spans="25:29">
      <c r="Y54" s="165"/>
      <c r="Z54" s="165"/>
      <c r="AA54" s="165"/>
      <c r="AC54" s="165"/>
    </row>
    <row r="55" spans="25:29">
      <c r="Y55" s="165"/>
      <c r="Z55" s="165"/>
      <c r="AA55" s="165"/>
      <c r="AC55" s="165"/>
    </row>
    <row r="56" spans="25:29">
      <c r="Y56" s="165"/>
      <c r="Z56" s="165"/>
      <c r="AA56" s="165"/>
      <c r="AC56" s="165"/>
    </row>
    <row r="57" spans="25:29">
      <c r="Y57" s="165"/>
      <c r="Z57" s="165"/>
      <c r="AA57" s="165"/>
      <c r="AC57" s="165"/>
    </row>
    <row r="58" spans="25:29">
      <c r="Y58" s="165"/>
      <c r="Z58" s="165"/>
      <c r="AA58" s="165"/>
      <c r="AC58" s="165"/>
    </row>
    <row r="59" spans="25:29">
      <c r="Y59" s="165"/>
      <c r="Z59" s="165"/>
      <c r="AA59" s="165"/>
      <c r="AC59" s="165"/>
    </row>
    <row r="60" spans="25:29">
      <c r="Y60" s="165"/>
      <c r="Z60" s="165"/>
      <c r="AA60" s="165"/>
      <c r="AC60" s="165"/>
    </row>
    <row r="61" spans="25:29">
      <c r="Y61" s="165"/>
      <c r="Z61" s="165"/>
      <c r="AA61" s="165"/>
      <c r="AC61" s="165"/>
    </row>
    <row r="62" spans="25:29">
      <c r="Y62" s="165"/>
      <c r="Z62" s="165"/>
      <c r="AA62" s="165"/>
      <c r="AC62" s="165"/>
    </row>
    <row r="63" spans="25:29">
      <c r="Y63" s="165"/>
      <c r="Z63" s="165"/>
      <c r="AA63" s="165"/>
      <c r="AC63" s="165"/>
    </row>
    <row r="64" spans="25:29">
      <c r="Y64" s="165"/>
      <c r="Z64" s="165"/>
      <c r="AA64" s="165"/>
      <c r="AC64" s="165"/>
    </row>
    <row r="65" spans="25:29">
      <c r="Y65" s="165"/>
      <c r="Z65" s="165"/>
      <c r="AA65" s="165"/>
      <c r="AC65" s="165"/>
    </row>
    <row r="66" spans="25:29">
      <c r="Y66" s="165"/>
      <c r="Z66" s="165"/>
      <c r="AA66" s="165"/>
      <c r="AC66" s="165"/>
    </row>
    <row r="67" spans="25:29">
      <c r="Y67" s="165"/>
      <c r="Z67" s="165"/>
      <c r="AA67" s="165"/>
      <c r="AC67" s="165"/>
    </row>
    <row r="68" spans="25:29">
      <c r="Y68" s="165"/>
      <c r="Z68" s="165"/>
      <c r="AA68" s="165"/>
      <c r="AC68" s="165"/>
    </row>
    <row r="69" spans="25:29">
      <c r="Y69" s="165"/>
      <c r="Z69" s="165"/>
      <c r="AA69" s="165"/>
      <c r="AC69" s="165"/>
    </row>
    <row r="70" spans="25:29">
      <c r="Y70" s="165"/>
      <c r="Z70" s="165"/>
      <c r="AA70" s="165"/>
      <c r="AC70" s="165"/>
    </row>
    <row r="71" spans="25:29">
      <c r="Y71" s="165"/>
      <c r="Z71" s="165"/>
      <c r="AA71" s="165"/>
      <c r="AC71" s="165"/>
    </row>
    <row r="72" spans="25:29">
      <c r="Y72" s="165"/>
      <c r="Z72" s="165"/>
      <c r="AA72" s="165"/>
      <c r="AC72" s="165"/>
    </row>
    <row r="73" spans="25:29">
      <c r="Y73" s="165"/>
      <c r="Z73" s="165"/>
      <c r="AA73" s="165"/>
      <c r="AC73" s="165"/>
    </row>
    <row r="74" spans="25:29">
      <c r="Y74" s="165"/>
      <c r="Z74" s="165"/>
      <c r="AA74" s="165"/>
      <c r="AC74" s="165"/>
    </row>
    <row r="75" spans="25:29">
      <c r="Y75" s="165"/>
      <c r="Z75" s="165"/>
      <c r="AA75" s="165"/>
      <c r="AC75" s="165"/>
    </row>
    <row r="76" spans="25:29">
      <c r="Y76" s="165"/>
      <c r="Z76" s="165"/>
      <c r="AA76" s="165"/>
      <c r="AC76" s="165"/>
    </row>
    <row r="77" spans="25:29">
      <c r="Y77" s="165"/>
      <c r="Z77" s="165"/>
      <c r="AA77" s="165"/>
      <c r="AC77" s="165"/>
    </row>
    <row r="78" spans="25:29">
      <c r="Y78" s="165"/>
      <c r="Z78" s="165"/>
      <c r="AA78" s="165"/>
      <c r="AC78" s="165"/>
    </row>
    <row r="79" spans="25:29">
      <c r="Y79" s="165"/>
      <c r="Z79" s="165"/>
      <c r="AA79" s="165"/>
      <c r="AC79" s="165"/>
    </row>
    <row r="80" spans="25:29">
      <c r="Y80" s="165"/>
      <c r="Z80" s="165"/>
      <c r="AA80" s="165"/>
      <c r="AC80" s="165"/>
    </row>
    <row r="81" spans="25:29">
      <c r="Y81" s="165"/>
      <c r="Z81" s="165"/>
      <c r="AA81" s="165"/>
      <c r="AC81" s="165"/>
    </row>
    <row r="82" spans="25:29">
      <c r="Y82" s="165"/>
      <c r="Z82" s="165"/>
      <c r="AA82" s="165"/>
      <c r="AC82" s="165"/>
    </row>
    <row r="83" spans="25:29">
      <c r="Y83" s="165"/>
      <c r="Z83" s="165"/>
      <c r="AA83" s="165"/>
      <c r="AC83" s="165"/>
    </row>
    <row r="84" spans="25:29">
      <c r="Y84" s="165"/>
      <c r="Z84" s="165"/>
      <c r="AA84" s="165"/>
      <c r="AC84" s="165"/>
    </row>
    <row r="85" spans="25:29">
      <c r="Y85" s="165"/>
      <c r="Z85" s="165"/>
      <c r="AA85" s="165"/>
      <c r="AC85" s="165"/>
    </row>
    <row r="86" spans="25:29">
      <c r="Y86" s="165"/>
      <c r="Z86" s="165"/>
      <c r="AA86" s="165"/>
      <c r="AC86" s="165"/>
    </row>
    <row r="87" spans="25:29">
      <c r="Y87" s="165"/>
      <c r="Z87" s="165"/>
      <c r="AA87" s="165"/>
      <c r="AC87" s="165"/>
    </row>
    <row r="88" spans="25:29">
      <c r="Y88" s="165"/>
      <c r="Z88" s="165"/>
      <c r="AA88" s="165"/>
      <c r="AC88" s="165"/>
    </row>
    <row r="89" spans="25:29">
      <c r="Y89" s="165"/>
      <c r="Z89" s="165"/>
      <c r="AA89" s="165"/>
      <c r="AC89" s="165"/>
    </row>
    <row r="90" spans="25:29">
      <c r="Y90" s="165"/>
      <c r="Z90" s="165"/>
      <c r="AA90" s="165"/>
      <c r="AC90" s="165"/>
    </row>
    <row r="91" spans="25:29">
      <c r="Y91" s="165"/>
      <c r="Z91" s="165"/>
      <c r="AA91" s="165"/>
      <c r="AC91" s="165"/>
    </row>
    <row r="92" spans="25:29">
      <c r="Y92" s="165"/>
      <c r="Z92" s="165"/>
      <c r="AA92" s="165"/>
      <c r="AC92" s="165"/>
    </row>
    <row r="93" spans="25:29">
      <c r="Y93" s="165"/>
      <c r="Z93" s="165"/>
      <c r="AA93" s="165"/>
      <c r="AC93" s="165"/>
    </row>
    <row r="94" spans="25:29">
      <c r="Y94" s="165"/>
      <c r="Z94" s="165"/>
      <c r="AA94" s="165"/>
      <c r="AC94" s="165"/>
    </row>
    <row r="95" spans="25:29">
      <c r="Y95" s="165"/>
      <c r="Z95" s="165"/>
      <c r="AA95" s="165"/>
      <c r="AC95" s="165"/>
    </row>
    <row r="96" spans="25:29">
      <c r="Y96" s="165"/>
      <c r="Z96" s="165"/>
      <c r="AA96" s="165"/>
      <c r="AC96" s="165"/>
    </row>
    <row r="97" spans="25:29">
      <c r="Y97" s="165"/>
      <c r="Z97" s="165"/>
      <c r="AA97" s="165"/>
      <c r="AC97" s="165"/>
    </row>
    <row r="98" spans="25:29">
      <c r="Y98" s="165"/>
      <c r="Z98" s="165"/>
      <c r="AA98" s="165"/>
      <c r="AC98" s="165"/>
    </row>
    <row r="99" spans="25:29">
      <c r="Y99" s="165"/>
      <c r="Z99" s="165"/>
      <c r="AA99" s="165"/>
      <c r="AC99" s="165"/>
    </row>
    <row r="100" spans="25:29">
      <c r="Y100" s="165"/>
      <c r="Z100" s="165"/>
      <c r="AA100" s="165"/>
      <c r="AC100" s="165"/>
    </row>
    <row r="101" spans="25:29">
      <c r="Y101" s="165"/>
      <c r="Z101" s="165"/>
      <c r="AA101" s="165"/>
      <c r="AC101" s="165"/>
    </row>
    <row r="102" spans="25:29">
      <c r="Y102" s="165"/>
      <c r="Z102" s="165"/>
      <c r="AA102" s="165"/>
      <c r="AC102" s="165"/>
    </row>
    <row r="103" spans="25:29">
      <c r="Y103" s="165"/>
      <c r="Z103" s="165"/>
      <c r="AA103" s="165"/>
      <c r="AC103" s="165"/>
    </row>
    <row r="104" spans="25:29">
      <c r="Y104" s="165"/>
      <c r="Z104" s="165"/>
      <c r="AA104" s="165"/>
      <c r="AC104" s="165"/>
    </row>
    <row r="105" spans="25:29">
      <c r="Y105" s="165"/>
      <c r="Z105" s="165"/>
      <c r="AA105" s="165"/>
      <c r="AC105" s="165"/>
    </row>
    <row r="106" spans="25:29">
      <c r="Y106" s="165"/>
      <c r="Z106" s="165"/>
      <c r="AA106" s="165"/>
      <c r="AC106" s="165"/>
    </row>
    <row r="107" spans="25:29">
      <c r="Y107" s="165"/>
      <c r="Z107" s="165"/>
      <c r="AA107" s="165"/>
      <c r="AC107" s="165"/>
    </row>
    <row r="108" spans="25:29">
      <c r="Y108" s="165"/>
      <c r="Z108" s="165"/>
      <c r="AA108" s="165"/>
      <c r="AC108" s="165"/>
    </row>
    <row r="109" spans="25:29">
      <c r="Y109" s="165"/>
      <c r="Z109" s="165"/>
      <c r="AA109" s="165"/>
      <c r="AC109" s="165"/>
    </row>
    <row r="110" spans="25:29">
      <c r="Y110" s="165"/>
      <c r="Z110" s="165"/>
      <c r="AA110" s="165"/>
      <c r="AC110" s="165"/>
    </row>
    <row r="111" spans="25:29">
      <c r="Y111" s="165"/>
      <c r="Z111" s="165"/>
      <c r="AA111" s="165"/>
      <c r="AC111" s="165"/>
    </row>
    <row r="112" spans="25:29">
      <c r="Y112" s="165"/>
      <c r="Z112" s="165"/>
      <c r="AA112" s="165"/>
      <c r="AC112" s="165"/>
    </row>
    <row r="113" spans="25:29">
      <c r="Y113" s="165"/>
      <c r="Z113" s="165"/>
      <c r="AA113" s="165"/>
      <c r="AC113" s="165"/>
    </row>
    <row r="114" spans="25:29">
      <c r="Y114" s="165"/>
      <c r="Z114" s="165"/>
      <c r="AA114" s="165"/>
      <c r="AC114" s="165"/>
    </row>
    <row r="115" spans="25:29">
      <c r="Y115" s="165"/>
      <c r="Z115" s="165"/>
      <c r="AA115" s="165"/>
      <c r="AC115" s="165"/>
    </row>
    <row r="116" spans="25:29">
      <c r="Y116" s="165"/>
      <c r="Z116" s="165"/>
      <c r="AA116" s="165"/>
      <c r="AC116" s="165"/>
    </row>
    <row r="117" spans="25:29">
      <c r="Y117" s="165"/>
      <c r="Z117" s="165"/>
      <c r="AA117" s="165"/>
      <c r="AC117" s="165"/>
    </row>
    <row r="118" spans="25:29">
      <c r="Y118" s="165"/>
      <c r="Z118" s="165"/>
      <c r="AA118" s="165"/>
      <c r="AC118" s="165"/>
    </row>
    <row r="119" spans="25:29">
      <c r="Y119" s="165"/>
      <c r="Z119" s="165"/>
      <c r="AA119" s="165"/>
      <c r="AC119" s="165"/>
    </row>
    <row r="120" spans="25:29">
      <c r="Y120" s="165"/>
      <c r="Z120" s="165"/>
      <c r="AA120" s="165"/>
      <c r="AC120" s="165"/>
    </row>
    <row r="121" spans="25:29">
      <c r="Y121" s="165"/>
      <c r="Z121" s="165"/>
      <c r="AA121" s="165"/>
      <c r="AC121" s="165"/>
    </row>
    <row r="122" spans="25:29">
      <c r="Y122" s="165"/>
      <c r="Z122" s="165"/>
      <c r="AA122" s="165"/>
      <c r="AC122" s="165"/>
    </row>
    <row r="123" spans="25:29">
      <c r="Y123" s="165"/>
      <c r="Z123" s="165"/>
      <c r="AA123" s="165"/>
      <c r="AC123" s="165"/>
    </row>
    <row r="124" spans="25:29">
      <c r="Y124" s="165"/>
      <c r="Z124" s="165"/>
      <c r="AA124" s="165"/>
      <c r="AC124" s="165"/>
    </row>
    <row r="125" spans="25:29">
      <c r="Y125" s="165"/>
      <c r="Z125" s="165"/>
      <c r="AA125" s="165"/>
      <c r="AC125" s="165"/>
    </row>
    <row r="126" spans="25:29">
      <c r="Y126" s="165"/>
      <c r="Z126" s="165"/>
      <c r="AA126" s="165"/>
      <c r="AC126" s="165"/>
    </row>
    <row r="127" spans="25:29">
      <c r="Y127" s="165"/>
      <c r="Z127" s="165"/>
      <c r="AA127" s="165"/>
      <c r="AC127" s="165"/>
    </row>
    <row r="128" spans="25:29">
      <c r="Y128" s="165"/>
      <c r="Z128" s="165"/>
      <c r="AA128" s="165"/>
      <c r="AC128" s="165"/>
    </row>
    <row r="129" spans="25:29">
      <c r="Y129" s="165"/>
      <c r="Z129" s="165"/>
      <c r="AA129" s="165"/>
      <c r="AC129" s="165"/>
    </row>
    <row r="130" spans="25:29">
      <c r="Y130" s="165"/>
      <c r="Z130" s="165"/>
      <c r="AA130" s="165"/>
      <c r="AC130" s="165"/>
    </row>
    <row r="131" spans="25:29">
      <c r="Y131" s="165"/>
      <c r="Z131" s="165"/>
      <c r="AA131" s="165"/>
      <c r="AC131" s="165"/>
    </row>
    <row r="132" spans="25:29">
      <c r="Y132" s="165"/>
      <c r="Z132" s="165"/>
      <c r="AA132" s="165"/>
      <c r="AC132" s="165"/>
    </row>
    <row r="133" spans="25:29">
      <c r="Y133" s="165"/>
      <c r="Z133" s="165"/>
      <c r="AA133" s="165"/>
      <c r="AC133" s="165"/>
    </row>
    <row r="134" spans="25:29">
      <c r="Y134" s="165"/>
      <c r="Z134" s="165"/>
      <c r="AA134" s="165"/>
      <c r="AC134" s="165"/>
    </row>
    <row r="135" spans="25:29">
      <c r="Y135" s="165"/>
      <c r="Z135" s="165"/>
      <c r="AA135" s="165"/>
      <c r="AC135" s="165"/>
    </row>
    <row r="136" spans="25:29">
      <c r="Y136" s="165"/>
      <c r="Z136" s="165"/>
      <c r="AA136" s="165"/>
      <c r="AC136" s="165"/>
    </row>
    <row r="137" spans="25:29">
      <c r="Y137" s="165"/>
      <c r="Z137" s="165"/>
      <c r="AA137" s="165"/>
      <c r="AC137" s="165"/>
    </row>
    <row r="138" spans="25:29">
      <c r="Y138" s="165"/>
      <c r="Z138" s="165"/>
      <c r="AA138" s="165"/>
      <c r="AC138" s="165"/>
    </row>
    <row r="139" spans="25:29">
      <c r="Y139" s="165"/>
      <c r="Z139" s="165"/>
      <c r="AA139" s="165"/>
    </row>
    <row r="140" spans="25:29">
      <c r="Y140" s="165"/>
      <c r="Z140" s="165"/>
      <c r="AA140" s="165"/>
      <c r="AC140" s="165"/>
    </row>
    <row r="141" spans="25:29">
      <c r="Y141" s="165"/>
      <c r="Z141" s="165"/>
      <c r="AA141" s="165"/>
      <c r="AC141" s="165"/>
    </row>
    <row r="142" spans="25:29">
      <c r="Y142" s="165"/>
      <c r="Z142" s="165"/>
      <c r="AA142" s="165"/>
      <c r="AC142" s="165"/>
    </row>
    <row r="143" spans="25:29">
      <c r="Y143" s="165"/>
      <c r="Z143" s="165"/>
      <c r="AA143" s="165"/>
      <c r="AC143" s="165"/>
    </row>
    <row r="144" spans="25:29">
      <c r="Y144" s="165"/>
      <c r="Z144" s="165"/>
      <c r="AA144" s="165"/>
      <c r="AC144" s="165"/>
    </row>
    <row r="145" spans="25:29">
      <c r="Y145" s="165"/>
      <c r="Z145" s="165"/>
      <c r="AA145" s="165"/>
      <c r="AC145" s="165"/>
    </row>
    <row r="146" spans="25:29">
      <c r="Y146" s="165"/>
      <c r="Z146" s="165"/>
      <c r="AA146" s="165"/>
      <c r="AC146" s="165"/>
    </row>
    <row r="147" spans="25:29">
      <c r="Y147" s="165"/>
      <c r="Z147" s="165"/>
      <c r="AA147" s="165"/>
      <c r="AC147" s="165"/>
    </row>
    <row r="148" spans="25:29">
      <c r="Y148" s="165"/>
      <c r="Z148" s="165"/>
      <c r="AA148" s="165"/>
      <c r="AC148" s="165"/>
    </row>
    <row r="149" spans="25:29">
      <c r="Y149" s="165"/>
      <c r="Z149" s="165"/>
      <c r="AA149" s="165"/>
      <c r="AC149" s="165"/>
    </row>
    <row r="150" spans="25:29">
      <c r="Y150" s="165"/>
      <c r="Z150" s="165"/>
      <c r="AA150" s="165"/>
      <c r="AC150" s="165"/>
    </row>
    <row r="151" spans="25:29">
      <c r="Y151" s="165"/>
      <c r="Z151" s="165"/>
      <c r="AA151" s="165"/>
      <c r="AC151" s="165"/>
    </row>
    <row r="152" spans="25:29">
      <c r="Y152" s="165"/>
      <c r="Z152" s="165"/>
      <c r="AA152" s="165"/>
      <c r="AC152" s="165"/>
    </row>
    <row r="153" spans="25:29">
      <c r="Y153" s="165"/>
      <c r="Z153" s="165"/>
      <c r="AA153" s="165"/>
      <c r="AC153" s="165"/>
    </row>
    <row r="154" spans="25:29">
      <c r="Y154" s="165"/>
      <c r="Z154" s="165"/>
      <c r="AA154" s="165"/>
      <c r="AC154" s="165"/>
    </row>
    <row r="155" spans="25:29">
      <c r="Y155" s="165"/>
      <c r="Z155" s="165"/>
      <c r="AA155" s="165"/>
      <c r="AC155" s="165"/>
    </row>
    <row r="156" spans="25:29">
      <c r="Y156" s="165"/>
      <c r="Z156" s="165"/>
      <c r="AA156" s="165"/>
      <c r="AC156" s="165"/>
    </row>
    <row r="157" spans="25:29">
      <c r="Y157" s="165"/>
      <c r="Z157" s="165"/>
      <c r="AA157" s="165"/>
      <c r="AC157" s="165"/>
    </row>
    <row r="158" spans="25:29">
      <c r="Y158" s="165"/>
      <c r="Z158" s="165"/>
      <c r="AA158" s="165"/>
      <c r="AC158" s="165"/>
    </row>
    <row r="159" spans="25:29">
      <c r="Y159" s="165"/>
      <c r="Z159" s="165"/>
      <c r="AA159" s="165"/>
      <c r="AC159" s="165"/>
    </row>
    <row r="160" spans="25:29">
      <c r="Y160" s="165"/>
      <c r="Z160" s="165"/>
      <c r="AA160" s="165"/>
      <c r="AC160" s="165"/>
    </row>
    <row r="161" spans="25:29">
      <c r="Y161" s="165"/>
      <c r="Z161" s="165"/>
      <c r="AA161" s="165"/>
      <c r="AC161" s="165"/>
    </row>
    <row r="162" spans="25:29">
      <c r="Y162" s="165"/>
      <c r="Z162" s="165"/>
      <c r="AA162" s="165"/>
      <c r="AC162" s="165"/>
    </row>
    <row r="163" spans="25:29">
      <c r="Y163" s="165"/>
      <c r="Z163" s="165"/>
      <c r="AA163" s="165"/>
      <c r="AC163" s="165"/>
    </row>
    <row r="164" spans="25:29">
      <c r="Y164" s="165"/>
      <c r="Z164" s="165"/>
      <c r="AA164" s="165"/>
      <c r="AC164" s="165"/>
    </row>
    <row r="165" spans="25:29">
      <c r="Y165" s="165"/>
      <c r="Z165" s="165"/>
      <c r="AA165" s="165"/>
      <c r="AC165" s="165"/>
    </row>
    <row r="166" spans="25:29">
      <c r="Y166" s="165"/>
      <c r="Z166" s="165"/>
      <c r="AA166" s="165"/>
      <c r="AC166" s="165"/>
    </row>
    <row r="167" spans="25:29">
      <c r="Y167" s="165"/>
      <c r="Z167" s="165"/>
      <c r="AA167" s="165"/>
      <c r="AC167" s="165"/>
    </row>
    <row r="168" spans="25:29">
      <c r="Y168" s="165"/>
      <c r="Z168" s="165"/>
      <c r="AA168" s="165"/>
      <c r="AC168" s="165"/>
    </row>
    <row r="169" spans="25:29">
      <c r="Y169" s="165"/>
      <c r="Z169" s="165"/>
      <c r="AA169" s="165"/>
      <c r="AC169" s="165"/>
    </row>
    <row r="170" spans="25:29">
      <c r="Y170" s="165"/>
      <c r="Z170" s="165"/>
      <c r="AA170" s="165"/>
      <c r="AC170" s="165"/>
    </row>
    <row r="171" spans="25:29">
      <c r="Y171" s="165"/>
      <c r="Z171" s="165"/>
      <c r="AA171" s="165"/>
      <c r="AC171" s="165"/>
    </row>
    <row r="172" spans="25:29">
      <c r="Y172" s="165"/>
      <c r="Z172" s="165"/>
      <c r="AA172" s="165"/>
      <c r="AC172" s="165"/>
    </row>
    <row r="173" spans="25:29">
      <c r="Y173" s="165"/>
      <c r="Z173" s="165"/>
      <c r="AA173" s="165"/>
      <c r="AC173" s="165"/>
    </row>
    <row r="174" spans="25:29">
      <c r="Y174" s="165"/>
      <c r="Z174" s="165"/>
      <c r="AA174" s="165"/>
      <c r="AC174" s="165"/>
    </row>
    <row r="175" spans="25:29">
      <c r="Y175" s="165"/>
      <c r="Z175" s="165"/>
      <c r="AA175" s="165"/>
      <c r="AC175" s="165"/>
    </row>
    <row r="176" spans="25:29">
      <c r="Y176" s="165"/>
      <c r="Z176" s="165"/>
      <c r="AA176" s="165"/>
      <c r="AC176" s="165"/>
    </row>
    <row r="177" spans="25:29">
      <c r="Y177" s="165"/>
      <c r="Z177" s="165"/>
      <c r="AA177" s="165"/>
      <c r="AC177" s="165"/>
    </row>
    <row r="178" spans="25:29">
      <c r="Y178" s="165"/>
      <c r="Z178" s="165"/>
      <c r="AA178" s="165"/>
      <c r="AC178" s="165"/>
    </row>
    <row r="179" spans="25:29">
      <c r="Y179" s="165"/>
      <c r="Z179" s="165"/>
      <c r="AA179" s="165"/>
      <c r="AC179" s="165"/>
    </row>
    <row r="180" spans="25:29">
      <c r="Y180" s="165"/>
      <c r="Z180" s="165"/>
      <c r="AA180" s="165"/>
      <c r="AC180" s="165"/>
    </row>
    <row r="181" spans="25:29">
      <c r="Y181" s="165"/>
      <c r="Z181" s="165"/>
      <c r="AA181" s="165"/>
      <c r="AC181" s="165"/>
    </row>
    <row r="182" spans="25:29">
      <c r="Y182" s="165"/>
      <c r="Z182" s="165"/>
      <c r="AA182" s="165"/>
      <c r="AC182" s="165"/>
    </row>
    <row r="183" spans="25:29">
      <c r="Y183" s="165"/>
      <c r="Z183" s="165"/>
      <c r="AA183" s="165"/>
      <c r="AC183" s="165"/>
    </row>
    <row r="184" spans="25:29">
      <c r="Y184" s="165"/>
      <c r="Z184" s="165"/>
      <c r="AA184" s="165"/>
      <c r="AC184" s="165"/>
    </row>
    <row r="185" spans="25:29">
      <c r="Y185" s="165"/>
      <c r="Z185" s="165"/>
      <c r="AA185" s="165"/>
      <c r="AC185" s="165"/>
    </row>
    <row r="186" spans="25:29">
      <c r="Y186" s="165"/>
      <c r="Z186" s="165"/>
      <c r="AA186" s="165"/>
      <c r="AC186" s="165"/>
    </row>
    <row r="187" spans="25:29">
      <c r="Y187" s="165"/>
      <c r="Z187" s="165"/>
      <c r="AA187" s="165"/>
      <c r="AC187" s="165"/>
    </row>
    <row r="188" spans="25:29">
      <c r="Y188" s="165"/>
      <c r="Z188" s="165"/>
      <c r="AA188" s="165"/>
      <c r="AC188" s="165"/>
    </row>
    <row r="189" spans="25:29">
      <c r="Y189" s="165"/>
      <c r="Z189" s="165"/>
      <c r="AA189" s="165"/>
      <c r="AC189" s="165"/>
    </row>
    <row r="190" spans="25:29">
      <c r="Y190" s="165"/>
      <c r="Z190" s="165"/>
      <c r="AA190" s="165"/>
      <c r="AC190" s="165"/>
    </row>
    <row r="191" spans="25:29">
      <c r="Y191" s="165"/>
      <c r="Z191" s="165"/>
      <c r="AA191" s="165"/>
      <c r="AC191" s="165"/>
    </row>
    <row r="192" spans="25:29">
      <c r="Y192" s="165"/>
      <c r="Z192" s="165"/>
      <c r="AA192" s="165"/>
      <c r="AC192" s="165"/>
    </row>
    <row r="193" spans="25:29">
      <c r="Y193" s="165"/>
      <c r="Z193" s="165"/>
      <c r="AA193" s="165"/>
      <c r="AC193" s="165"/>
    </row>
    <row r="194" spans="25:29">
      <c r="Y194" s="165"/>
      <c r="Z194" s="165"/>
      <c r="AA194" s="165"/>
      <c r="AC194" s="165"/>
    </row>
    <row r="195" spans="25:29">
      <c r="Y195" s="165"/>
      <c r="Z195" s="165"/>
      <c r="AA195" s="165"/>
      <c r="AC195" s="165"/>
    </row>
    <row r="196" spans="25:29">
      <c r="Y196" s="165"/>
      <c r="Z196" s="165"/>
      <c r="AA196" s="165"/>
      <c r="AC196" s="165"/>
    </row>
    <row r="197" spans="25:29">
      <c r="Y197" s="165"/>
      <c r="Z197" s="165"/>
      <c r="AA197" s="165"/>
      <c r="AC197" s="165"/>
    </row>
    <row r="198" spans="25:29">
      <c r="Y198" s="165"/>
      <c r="Z198" s="165"/>
      <c r="AA198" s="165"/>
      <c r="AC198" s="165"/>
    </row>
    <row r="199" spans="25:29">
      <c r="Y199" s="165"/>
      <c r="Z199" s="165"/>
      <c r="AA199" s="165"/>
      <c r="AC199" s="165"/>
    </row>
    <row r="200" spans="25:29">
      <c r="Y200" s="165"/>
      <c r="Z200" s="165"/>
      <c r="AA200" s="165"/>
    </row>
    <row r="201" spans="25:29">
      <c r="Y201" s="165"/>
      <c r="Z201" s="165"/>
      <c r="AA201" s="165"/>
      <c r="AC201" s="165"/>
    </row>
    <row r="202" spans="25:29">
      <c r="Y202" s="165"/>
      <c r="Z202" s="165"/>
      <c r="AA202" s="165"/>
      <c r="AC202" s="165"/>
    </row>
    <row r="203" spans="25:29">
      <c r="Y203" s="165"/>
      <c r="Z203" s="165"/>
      <c r="AA203" s="165"/>
      <c r="AC203" s="165"/>
    </row>
    <row r="204" spans="25:29">
      <c r="Y204" s="165"/>
      <c r="Z204" s="165"/>
      <c r="AA204" s="165"/>
      <c r="AC204" s="165"/>
    </row>
    <row r="205" spans="25:29">
      <c r="Y205" s="165"/>
      <c r="Z205" s="165"/>
      <c r="AA205" s="165"/>
      <c r="AC205" s="165"/>
    </row>
    <row r="206" spans="25:29">
      <c r="Y206" s="165"/>
      <c r="Z206" s="165"/>
      <c r="AA206" s="165"/>
      <c r="AC206" s="165"/>
    </row>
    <row r="207" spans="25:29">
      <c r="Y207" s="165"/>
      <c r="Z207" s="165"/>
      <c r="AA207" s="165"/>
      <c r="AC207" s="165"/>
    </row>
    <row r="208" spans="25:29">
      <c r="Y208" s="165"/>
      <c r="Z208" s="165"/>
      <c r="AA208" s="165"/>
      <c r="AC208" s="165"/>
    </row>
    <row r="209" spans="25:29">
      <c r="Y209" s="165"/>
      <c r="Z209" s="165"/>
      <c r="AA209" s="165"/>
      <c r="AC209" s="165"/>
    </row>
    <row r="210" spans="25:29">
      <c r="Y210" s="165"/>
      <c r="Z210" s="165"/>
      <c r="AA210" s="165"/>
      <c r="AC210" s="165"/>
    </row>
    <row r="211" spans="25:29">
      <c r="Y211" s="165"/>
      <c r="Z211" s="165"/>
      <c r="AA211" s="165"/>
      <c r="AC211" s="165"/>
    </row>
    <row r="212" spans="25:29">
      <c r="Y212" s="165"/>
      <c r="Z212" s="165"/>
      <c r="AA212" s="165"/>
      <c r="AC212" s="165"/>
    </row>
    <row r="213" spans="25:29">
      <c r="Y213" s="165"/>
      <c r="Z213" s="165"/>
      <c r="AA213" s="165"/>
      <c r="AC213" s="165"/>
    </row>
    <row r="214" spans="25:29">
      <c r="Y214" s="165"/>
      <c r="Z214" s="165"/>
      <c r="AA214" s="165"/>
      <c r="AC214" s="165"/>
    </row>
    <row r="215" spans="25:29">
      <c r="Y215" s="165"/>
      <c r="Z215" s="165"/>
      <c r="AA215" s="165"/>
      <c r="AC215" s="165"/>
    </row>
    <row r="216" spans="25:29">
      <c r="Y216" s="165"/>
      <c r="Z216" s="165"/>
      <c r="AA216" s="165"/>
      <c r="AC216" s="165"/>
    </row>
    <row r="217" spans="25:29">
      <c r="Y217" s="165"/>
      <c r="Z217" s="165"/>
      <c r="AA217" s="165"/>
      <c r="AC217" s="165"/>
    </row>
    <row r="218" spans="25:29">
      <c r="Y218" s="165"/>
      <c r="Z218" s="165"/>
      <c r="AA218" s="165"/>
      <c r="AC218" s="165"/>
    </row>
    <row r="219" spans="25:29">
      <c r="Y219" s="165"/>
      <c r="Z219" s="165"/>
      <c r="AA219" s="165"/>
      <c r="AC219" s="165"/>
    </row>
    <row r="220" spans="25:29">
      <c r="Y220" s="165"/>
      <c r="Z220" s="165"/>
      <c r="AA220" s="165"/>
      <c r="AC220" s="165"/>
    </row>
    <row r="221" spans="25:29">
      <c r="Y221" s="165"/>
      <c r="Z221" s="165"/>
      <c r="AA221" s="165"/>
      <c r="AC221" s="165"/>
    </row>
    <row r="222" spans="25:29">
      <c r="Y222" s="165"/>
      <c r="Z222" s="165"/>
      <c r="AA222" s="165"/>
      <c r="AC222" s="165"/>
    </row>
    <row r="223" spans="25:29">
      <c r="Y223" s="165"/>
      <c r="Z223" s="165"/>
      <c r="AA223" s="165"/>
      <c r="AC223" s="165"/>
    </row>
    <row r="224" spans="25:29">
      <c r="Y224" s="165"/>
      <c r="Z224" s="165"/>
      <c r="AA224" s="165"/>
      <c r="AC224" s="165"/>
    </row>
    <row r="225" spans="25:29">
      <c r="Y225" s="165"/>
      <c r="Z225" s="165"/>
      <c r="AA225" s="165"/>
      <c r="AC225" s="165"/>
    </row>
    <row r="226" spans="25:29">
      <c r="Y226" s="165"/>
      <c r="Z226" s="165"/>
      <c r="AA226" s="165"/>
      <c r="AC226" s="165"/>
    </row>
    <row r="227" spans="25:29">
      <c r="Y227" s="165"/>
      <c r="Z227" s="165"/>
      <c r="AA227" s="165"/>
      <c r="AC227" s="165"/>
    </row>
    <row r="228" spans="25:29">
      <c r="Y228" s="165"/>
      <c r="Z228" s="165"/>
      <c r="AA228" s="165"/>
      <c r="AC228" s="165"/>
    </row>
    <row r="229" spans="25:29">
      <c r="Y229" s="165"/>
      <c r="Z229" s="165"/>
      <c r="AA229" s="165"/>
      <c r="AC229" s="165"/>
    </row>
    <row r="230" spans="25:29">
      <c r="Y230" s="165"/>
      <c r="Z230" s="165"/>
      <c r="AA230" s="165"/>
      <c r="AC230" s="165"/>
    </row>
    <row r="231" spans="25:29">
      <c r="Y231" s="165"/>
      <c r="Z231" s="165"/>
      <c r="AA231" s="165"/>
      <c r="AC231" s="165"/>
    </row>
    <row r="232" spans="25:29">
      <c r="Y232" s="165"/>
      <c r="Z232" s="165"/>
      <c r="AA232" s="165"/>
      <c r="AC232" s="165"/>
    </row>
    <row r="233" spans="25:29">
      <c r="Y233" s="165"/>
      <c r="Z233" s="165"/>
      <c r="AA233" s="165"/>
      <c r="AC233" s="165"/>
    </row>
    <row r="234" spans="25:29">
      <c r="Y234" s="165"/>
      <c r="Z234" s="165"/>
      <c r="AA234" s="165"/>
      <c r="AC234" s="165"/>
    </row>
    <row r="235" spans="25:29">
      <c r="Y235" s="165"/>
      <c r="Z235" s="165"/>
      <c r="AA235" s="165"/>
      <c r="AC235" s="165"/>
    </row>
    <row r="236" spans="25:29">
      <c r="Y236" s="165"/>
      <c r="Z236" s="165"/>
      <c r="AA236" s="165"/>
      <c r="AC236" s="165"/>
    </row>
    <row r="237" spans="25:29">
      <c r="Y237" s="165"/>
      <c r="Z237" s="165"/>
      <c r="AA237" s="165"/>
      <c r="AC237" s="165"/>
    </row>
    <row r="238" spans="25:29">
      <c r="Y238" s="165"/>
      <c r="Z238" s="165"/>
      <c r="AA238" s="165"/>
      <c r="AC238" s="165"/>
    </row>
    <row r="239" spans="25:29">
      <c r="Y239" s="165"/>
      <c r="Z239" s="165"/>
      <c r="AA239" s="165"/>
      <c r="AC239" s="165"/>
    </row>
    <row r="240" spans="25:29">
      <c r="Y240" s="165"/>
      <c r="Z240" s="165"/>
      <c r="AA240" s="165"/>
      <c r="AC240" s="165"/>
    </row>
    <row r="241" spans="25:29">
      <c r="Y241" s="165"/>
      <c r="Z241" s="165"/>
      <c r="AA241" s="165"/>
      <c r="AC241" s="165"/>
    </row>
    <row r="242" spans="25:29">
      <c r="Y242" s="165"/>
      <c r="Z242" s="165"/>
      <c r="AA242" s="165"/>
      <c r="AC242" s="165"/>
    </row>
    <row r="243" spans="25:29">
      <c r="Y243" s="165"/>
      <c r="Z243" s="165"/>
      <c r="AA243" s="165"/>
      <c r="AC243" s="165"/>
    </row>
    <row r="244" spans="25:29">
      <c r="Y244" s="165"/>
      <c r="Z244" s="165"/>
      <c r="AA244" s="165"/>
      <c r="AC244" s="165"/>
    </row>
    <row r="245" spans="25:29">
      <c r="Y245" s="165"/>
      <c r="Z245" s="165"/>
      <c r="AA245" s="165"/>
      <c r="AC245" s="165"/>
    </row>
    <row r="246" spans="25:29">
      <c r="Y246" s="165"/>
      <c r="Z246" s="165"/>
      <c r="AA246" s="165"/>
      <c r="AC246" s="165"/>
    </row>
    <row r="247" spans="25:29">
      <c r="Y247" s="165"/>
      <c r="Z247" s="165"/>
      <c r="AA247" s="165"/>
      <c r="AC247" s="165"/>
    </row>
    <row r="248" spans="25:29">
      <c r="Y248" s="165"/>
      <c r="Z248" s="165"/>
      <c r="AA248" s="165"/>
      <c r="AC248" s="165"/>
    </row>
    <row r="249" spans="25:29">
      <c r="Y249" s="165"/>
      <c r="Z249" s="165"/>
      <c r="AA249" s="165"/>
      <c r="AC249" s="165"/>
    </row>
    <row r="250" spans="25:29">
      <c r="Y250" s="165"/>
      <c r="Z250" s="165"/>
      <c r="AA250" s="165"/>
      <c r="AC250" s="165"/>
    </row>
    <row r="251" spans="25:29">
      <c r="Y251" s="165"/>
      <c r="Z251" s="165"/>
      <c r="AA251" s="165"/>
      <c r="AC251" s="165"/>
    </row>
    <row r="252" spans="25:29">
      <c r="Y252" s="165"/>
      <c r="Z252" s="165"/>
      <c r="AA252" s="165"/>
      <c r="AC252" s="165"/>
    </row>
    <row r="253" spans="25:29">
      <c r="Y253" s="165"/>
      <c r="Z253" s="165"/>
      <c r="AA253" s="165"/>
      <c r="AC253" s="165"/>
    </row>
    <row r="254" spans="25:29">
      <c r="Y254" s="165"/>
      <c r="Z254" s="165"/>
      <c r="AA254" s="165"/>
      <c r="AC254" s="165"/>
    </row>
    <row r="255" spans="25:29">
      <c r="Y255" s="165"/>
      <c r="Z255" s="165"/>
      <c r="AA255" s="165"/>
      <c r="AC255" s="165"/>
    </row>
    <row r="256" spans="25:29">
      <c r="Y256" s="165"/>
      <c r="Z256" s="165"/>
      <c r="AA256" s="165"/>
      <c r="AC256" s="165"/>
    </row>
    <row r="257" spans="25:29">
      <c r="Y257" s="165"/>
      <c r="Z257" s="165"/>
      <c r="AA257" s="165"/>
      <c r="AC257" s="165"/>
    </row>
    <row r="258" spans="25:29">
      <c r="Y258" s="165"/>
      <c r="Z258" s="165"/>
      <c r="AA258" s="165"/>
      <c r="AC258" s="165"/>
    </row>
    <row r="259" spans="25:29">
      <c r="Y259" s="165"/>
      <c r="Z259" s="165"/>
      <c r="AA259" s="165"/>
      <c r="AC259" s="165"/>
    </row>
    <row r="260" spans="25:29">
      <c r="Y260" s="165"/>
      <c r="Z260" s="165"/>
      <c r="AA260" s="165"/>
      <c r="AC260" s="165"/>
    </row>
    <row r="261" spans="25:29">
      <c r="Y261" s="165"/>
      <c r="Z261" s="165"/>
      <c r="AA261" s="165"/>
      <c r="AC261" s="165"/>
    </row>
    <row r="262" spans="25:29">
      <c r="Y262" s="165"/>
      <c r="Z262" s="165"/>
      <c r="AA262" s="165"/>
      <c r="AC262" s="165"/>
    </row>
    <row r="263" spans="25:29">
      <c r="Y263" s="165"/>
      <c r="Z263" s="165"/>
      <c r="AA263" s="165"/>
      <c r="AC263" s="165"/>
    </row>
    <row r="264" spans="25:29">
      <c r="Y264" s="165"/>
      <c r="Z264" s="165"/>
      <c r="AA264" s="165"/>
      <c r="AC264" s="165"/>
    </row>
    <row r="265" spans="25:29">
      <c r="Y265" s="165"/>
      <c r="Z265" s="165"/>
      <c r="AA265" s="165"/>
      <c r="AC265" s="165"/>
    </row>
    <row r="266" spans="25:29">
      <c r="Y266" s="165"/>
      <c r="Z266" s="165"/>
      <c r="AA266" s="165"/>
      <c r="AC266" s="165"/>
    </row>
    <row r="267" spans="25:29">
      <c r="Y267" s="165"/>
      <c r="Z267" s="165"/>
      <c r="AA267" s="165"/>
      <c r="AC267" s="165"/>
    </row>
    <row r="268" spans="25:29">
      <c r="Y268" s="165"/>
      <c r="Z268" s="165"/>
      <c r="AA268" s="165"/>
      <c r="AC268" s="165"/>
    </row>
    <row r="269" spans="25:29">
      <c r="Y269" s="165"/>
      <c r="Z269" s="165"/>
      <c r="AA269" s="165"/>
      <c r="AC269" s="165"/>
    </row>
    <row r="270" spans="25:29">
      <c r="Y270" s="165"/>
      <c r="Z270" s="165"/>
      <c r="AA270" s="165"/>
      <c r="AC270" s="165"/>
    </row>
    <row r="271" spans="25:29">
      <c r="Y271" s="165"/>
      <c r="Z271" s="165"/>
      <c r="AA271" s="165"/>
      <c r="AC271" s="165"/>
    </row>
    <row r="272" spans="25:29">
      <c r="Y272" s="165"/>
      <c r="Z272" s="165"/>
      <c r="AA272" s="165"/>
      <c r="AC272" s="165"/>
    </row>
    <row r="273" spans="25:29">
      <c r="Y273" s="165"/>
      <c r="Z273" s="165"/>
      <c r="AA273" s="165"/>
      <c r="AC273" s="165"/>
    </row>
    <row r="274" spans="25:29">
      <c r="Y274" s="165"/>
      <c r="Z274" s="165"/>
      <c r="AA274" s="165"/>
      <c r="AC274" s="165"/>
    </row>
    <row r="275" spans="25:29">
      <c r="Y275" s="165"/>
      <c r="Z275" s="165"/>
      <c r="AA275" s="165"/>
      <c r="AC275" s="165"/>
    </row>
    <row r="276" spans="25:29">
      <c r="Y276" s="165"/>
      <c r="Z276" s="165"/>
      <c r="AA276" s="165"/>
      <c r="AC276" s="165"/>
    </row>
    <row r="277" spans="25:29">
      <c r="Y277" s="165"/>
      <c r="Z277" s="165"/>
      <c r="AA277" s="165"/>
      <c r="AC277" s="165"/>
    </row>
    <row r="278" spans="25:29">
      <c r="Y278" s="165"/>
      <c r="Z278" s="165"/>
      <c r="AA278" s="165"/>
      <c r="AC278" s="165"/>
    </row>
    <row r="279" spans="25:29">
      <c r="Y279" s="165"/>
      <c r="Z279" s="165"/>
      <c r="AA279" s="165"/>
      <c r="AC279" s="165"/>
    </row>
    <row r="280" spans="25:29">
      <c r="Y280" s="165"/>
      <c r="Z280" s="165"/>
      <c r="AA280" s="165"/>
      <c r="AC280" s="165"/>
    </row>
    <row r="281" spans="25:29">
      <c r="Y281" s="165"/>
      <c r="Z281" s="165"/>
      <c r="AA281" s="165"/>
      <c r="AC281" s="165"/>
    </row>
    <row r="282" spans="25:29">
      <c r="Y282" s="165"/>
      <c r="Z282" s="165"/>
      <c r="AA282" s="165"/>
      <c r="AC282" s="165"/>
    </row>
    <row r="283" spans="25:29">
      <c r="Y283" s="165"/>
      <c r="Z283" s="165"/>
      <c r="AA283" s="165"/>
      <c r="AC283" s="165"/>
    </row>
    <row r="284" spans="25:29">
      <c r="Y284" s="165"/>
      <c r="Z284" s="165"/>
      <c r="AA284" s="165"/>
      <c r="AC284" s="165"/>
    </row>
    <row r="285" spans="25:29">
      <c r="Y285" s="165"/>
      <c r="Z285" s="165"/>
      <c r="AA285" s="165"/>
      <c r="AC285" s="165"/>
    </row>
    <row r="286" spans="25:29">
      <c r="Y286" s="165"/>
      <c r="Z286" s="165"/>
      <c r="AA286" s="165"/>
      <c r="AC286" s="165"/>
    </row>
    <row r="287" spans="25:29">
      <c r="Y287" s="165"/>
      <c r="Z287" s="165"/>
      <c r="AA287" s="165"/>
      <c r="AC287" s="165"/>
    </row>
    <row r="288" spans="25:29">
      <c r="Y288" s="165"/>
      <c r="Z288" s="165"/>
      <c r="AA288" s="165"/>
      <c r="AC288" s="165"/>
    </row>
    <row r="289" spans="25:29">
      <c r="Y289" s="165"/>
      <c r="Z289" s="165"/>
      <c r="AA289" s="165"/>
      <c r="AC289" s="165"/>
    </row>
    <row r="290" spans="25:29">
      <c r="Y290" s="165"/>
      <c r="Z290" s="165"/>
      <c r="AA290" s="165"/>
      <c r="AC290" s="165"/>
    </row>
    <row r="291" spans="25:29">
      <c r="Y291" s="165"/>
      <c r="Z291" s="165"/>
      <c r="AA291" s="165"/>
      <c r="AC291" s="165"/>
    </row>
    <row r="292" spans="25:29">
      <c r="Y292" s="165"/>
      <c r="Z292" s="165"/>
      <c r="AA292" s="165"/>
      <c r="AC292" s="165"/>
    </row>
    <row r="293" spans="25:29">
      <c r="Y293" s="165"/>
      <c r="Z293" s="165"/>
      <c r="AA293" s="165"/>
      <c r="AC293" s="165"/>
    </row>
    <row r="294" spans="25:29">
      <c r="Y294" s="165"/>
      <c r="Z294" s="165"/>
      <c r="AA294" s="165"/>
      <c r="AC294" s="165"/>
    </row>
    <row r="295" spans="25:29">
      <c r="Y295" s="165"/>
      <c r="Z295" s="165"/>
      <c r="AA295" s="165"/>
      <c r="AC295" s="165"/>
    </row>
    <row r="296" spans="25:29">
      <c r="Y296" s="165"/>
      <c r="Z296" s="165"/>
      <c r="AA296" s="165"/>
      <c r="AC296" s="165"/>
    </row>
    <row r="297" spans="25:29">
      <c r="Y297" s="165"/>
      <c r="Z297" s="165"/>
      <c r="AA297" s="165"/>
      <c r="AC297" s="165"/>
    </row>
    <row r="298" spans="25:29">
      <c r="Y298" s="165"/>
      <c r="Z298" s="165"/>
      <c r="AA298" s="165"/>
      <c r="AC298" s="165"/>
    </row>
    <row r="299" spans="25:29">
      <c r="Y299" s="165"/>
      <c r="Z299" s="165"/>
      <c r="AA299" s="165"/>
      <c r="AC299" s="165"/>
    </row>
    <row r="300" spans="25:29">
      <c r="Y300" s="165"/>
      <c r="Z300" s="165"/>
      <c r="AA300" s="165"/>
      <c r="AC300" s="165"/>
    </row>
    <row r="301" spans="25:29">
      <c r="Y301" s="165"/>
      <c r="Z301" s="165"/>
      <c r="AA301" s="165"/>
      <c r="AC301" s="165"/>
    </row>
    <row r="302" spans="25:29">
      <c r="Y302" s="165"/>
      <c r="Z302" s="165"/>
      <c r="AA302" s="165"/>
      <c r="AC302" s="165"/>
    </row>
    <row r="303" spans="25:29">
      <c r="Y303" s="165"/>
      <c r="Z303" s="165"/>
      <c r="AA303" s="165"/>
      <c r="AC303" s="165"/>
    </row>
    <row r="304" spans="25:29">
      <c r="Y304" s="165"/>
      <c r="Z304" s="165"/>
      <c r="AA304" s="165"/>
      <c r="AC304" s="165"/>
    </row>
    <row r="305" spans="25:29">
      <c r="Y305" s="165"/>
      <c r="Z305" s="165"/>
      <c r="AA305" s="165"/>
      <c r="AC305" s="165"/>
    </row>
    <row r="306" spans="25:29">
      <c r="Y306" s="165"/>
      <c r="Z306" s="165"/>
      <c r="AA306" s="165"/>
      <c r="AC306" s="165"/>
    </row>
    <row r="307" spans="25:29">
      <c r="Y307" s="165"/>
      <c r="Z307" s="165"/>
      <c r="AA307" s="165"/>
      <c r="AC307" s="165"/>
    </row>
    <row r="308" spans="25:29">
      <c r="Y308" s="165"/>
      <c r="Z308" s="165"/>
      <c r="AA308" s="165"/>
      <c r="AC308" s="165"/>
    </row>
    <row r="309" spans="25:29">
      <c r="Y309" s="165"/>
      <c r="Z309" s="165"/>
      <c r="AA309" s="165"/>
      <c r="AC309" s="165"/>
    </row>
    <row r="310" spans="25:29">
      <c r="Y310" s="165"/>
      <c r="Z310" s="165"/>
      <c r="AA310" s="165"/>
      <c r="AC310" s="165"/>
    </row>
    <row r="311" spans="25:29">
      <c r="Y311" s="165"/>
      <c r="Z311" s="165"/>
      <c r="AA311" s="165"/>
      <c r="AC311" s="165"/>
    </row>
    <row r="312" spans="25:29">
      <c r="Y312" s="165"/>
      <c r="Z312" s="165"/>
      <c r="AA312" s="165"/>
      <c r="AC312" s="165"/>
    </row>
    <row r="313" spans="25:29">
      <c r="Y313" s="165"/>
      <c r="Z313" s="165"/>
      <c r="AA313" s="165"/>
      <c r="AC313" s="165"/>
    </row>
    <row r="314" spans="25:29">
      <c r="Y314" s="165"/>
      <c r="Z314" s="165"/>
      <c r="AA314" s="165"/>
      <c r="AC314" s="165"/>
    </row>
    <row r="315" spans="25:29">
      <c r="Y315" s="165"/>
      <c r="Z315" s="165"/>
      <c r="AA315" s="165"/>
      <c r="AC315" s="165"/>
    </row>
    <row r="316" spans="25:29">
      <c r="Y316" s="165"/>
      <c r="Z316" s="165"/>
      <c r="AA316" s="165"/>
      <c r="AC316" s="165"/>
    </row>
    <row r="317" spans="25:29">
      <c r="Y317" s="165"/>
      <c r="Z317" s="165"/>
      <c r="AA317" s="165"/>
      <c r="AC317" s="165"/>
    </row>
    <row r="318" spans="25:29">
      <c r="Y318" s="165"/>
      <c r="Z318" s="165"/>
      <c r="AA318" s="165"/>
      <c r="AC318" s="165"/>
    </row>
    <row r="319" spans="25:29">
      <c r="Y319" s="165"/>
      <c r="Z319" s="165"/>
      <c r="AA319" s="165"/>
      <c r="AC319" s="165"/>
    </row>
    <row r="320" spans="25:29">
      <c r="Y320" s="165"/>
      <c r="Z320" s="165"/>
      <c r="AA320" s="165"/>
      <c r="AC320" s="165"/>
    </row>
    <row r="321" spans="25:29">
      <c r="Y321" s="165"/>
      <c r="Z321" s="165"/>
      <c r="AA321" s="165"/>
      <c r="AC321" s="165"/>
    </row>
    <row r="322" spans="25:29">
      <c r="Y322" s="165"/>
      <c r="Z322" s="165"/>
      <c r="AA322" s="165"/>
      <c r="AC322" s="165"/>
    </row>
    <row r="323" spans="25:29">
      <c r="Y323" s="165"/>
      <c r="Z323" s="165"/>
      <c r="AA323" s="165"/>
      <c r="AC323" s="165"/>
    </row>
    <row r="324" spans="25:29">
      <c r="Y324" s="165"/>
      <c r="Z324" s="165"/>
      <c r="AA324" s="165"/>
      <c r="AC324" s="165"/>
    </row>
    <row r="325" spans="25:29">
      <c r="Y325" s="165"/>
      <c r="Z325" s="165"/>
      <c r="AA325" s="165"/>
      <c r="AC325" s="165"/>
    </row>
    <row r="326" spans="25:29">
      <c r="Y326" s="165"/>
      <c r="Z326" s="165"/>
      <c r="AA326" s="165"/>
      <c r="AC326" s="165"/>
    </row>
    <row r="327" spans="25:29">
      <c r="Y327" s="165"/>
      <c r="Z327" s="165"/>
      <c r="AA327" s="165"/>
      <c r="AC327" s="165"/>
    </row>
    <row r="328" spans="25:29">
      <c r="Y328" s="165"/>
      <c r="Z328" s="165"/>
      <c r="AA328" s="165"/>
      <c r="AC328" s="165"/>
    </row>
    <row r="329" spans="25:29">
      <c r="Y329" s="165"/>
      <c r="Z329" s="165"/>
      <c r="AA329" s="165"/>
      <c r="AC329" s="165"/>
    </row>
    <row r="330" spans="25:29">
      <c r="Y330" s="165"/>
      <c r="Z330" s="165"/>
      <c r="AA330" s="165"/>
      <c r="AC330" s="165"/>
    </row>
    <row r="331" spans="25:29">
      <c r="Y331" s="165"/>
      <c r="Z331" s="165"/>
      <c r="AA331" s="165"/>
      <c r="AC331" s="165"/>
    </row>
    <row r="332" spans="25:29">
      <c r="Y332" s="165"/>
      <c r="Z332" s="165"/>
      <c r="AA332" s="165"/>
      <c r="AC332" s="165"/>
    </row>
    <row r="333" spans="25:29">
      <c r="Y333" s="165"/>
      <c r="Z333" s="165"/>
      <c r="AA333" s="165"/>
      <c r="AC333" s="165"/>
    </row>
    <row r="334" spans="25:29">
      <c r="Y334" s="165"/>
      <c r="Z334" s="165"/>
      <c r="AA334" s="165"/>
      <c r="AC334" s="165"/>
    </row>
    <row r="335" spans="25:29">
      <c r="Y335" s="165"/>
      <c r="Z335" s="165"/>
      <c r="AA335" s="165"/>
      <c r="AC335" s="165"/>
    </row>
    <row r="336" spans="25:29">
      <c r="Y336" s="165"/>
      <c r="Z336" s="165"/>
      <c r="AA336" s="165"/>
      <c r="AC336" s="165"/>
    </row>
    <row r="337" spans="25:29">
      <c r="Y337" s="165"/>
      <c r="Z337" s="165"/>
      <c r="AA337" s="165"/>
      <c r="AC337" s="165"/>
    </row>
    <row r="338" spans="25:29">
      <c r="Y338" s="165"/>
      <c r="Z338" s="165"/>
      <c r="AA338" s="165"/>
      <c r="AC338" s="165"/>
    </row>
    <row r="339" spans="25:29">
      <c r="Y339" s="165"/>
      <c r="Z339" s="165"/>
      <c r="AA339" s="165"/>
      <c r="AC339" s="165"/>
    </row>
    <row r="340" spans="25:29">
      <c r="Y340" s="165"/>
      <c r="Z340" s="165"/>
      <c r="AA340" s="165"/>
      <c r="AC340" s="165"/>
    </row>
    <row r="341" spans="25:29">
      <c r="Y341" s="165"/>
      <c r="Z341" s="165"/>
      <c r="AA341" s="165"/>
      <c r="AC341" s="165"/>
    </row>
    <row r="342" spans="25:29">
      <c r="Y342" s="165"/>
      <c r="Z342" s="165"/>
      <c r="AA342" s="165"/>
      <c r="AC342" s="165"/>
    </row>
    <row r="343" spans="25:29">
      <c r="Y343" s="165"/>
      <c r="Z343" s="165"/>
      <c r="AA343" s="165"/>
      <c r="AC343" s="165"/>
    </row>
    <row r="344" spans="25:29">
      <c r="Y344" s="165"/>
      <c r="Z344" s="165"/>
      <c r="AA344" s="165"/>
      <c r="AC344" s="165"/>
    </row>
    <row r="345" spans="25:29">
      <c r="Y345" s="165"/>
      <c r="Z345" s="165"/>
      <c r="AA345" s="165"/>
      <c r="AC345" s="165"/>
    </row>
    <row r="346" spans="25:29">
      <c r="Y346" s="165"/>
      <c r="Z346" s="165"/>
      <c r="AA346" s="165"/>
      <c r="AC346" s="165"/>
    </row>
    <row r="347" spans="25:29">
      <c r="Y347" s="165"/>
      <c r="Z347" s="165"/>
      <c r="AA347" s="165"/>
      <c r="AC347" s="165"/>
    </row>
    <row r="348" spans="25:29">
      <c r="Y348" s="165"/>
      <c r="Z348" s="165"/>
      <c r="AA348" s="165"/>
      <c r="AC348" s="165"/>
    </row>
    <row r="349" spans="25:29">
      <c r="Y349" s="165"/>
      <c r="Z349" s="165"/>
      <c r="AA349" s="165"/>
    </row>
    <row r="350" spans="25:29">
      <c r="Y350" s="165"/>
      <c r="Z350" s="165"/>
      <c r="AA350" s="165"/>
    </row>
    <row r="351" spans="25:29">
      <c r="Y351" s="165"/>
      <c r="Z351" s="165"/>
      <c r="AA351" s="165"/>
    </row>
    <row r="352" spans="25:29">
      <c r="Y352" s="165"/>
      <c r="Z352" s="165"/>
      <c r="AA352" s="165"/>
    </row>
    <row r="353" spans="25:29">
      <c r="Y353" s="165"/>
      <c r="Z353" s="165"/>
      <c r="AA353" s="165"/>
    </row>
    <row r="354" spans="25:29">
      <c r="Y354" s="165"/>
      <c r="Z354" s="165"/>
      <c r="AA354" s="165"/>
    </row>
    <row r="355" spans="25:29">
      <c r="Y355" s="165"/>
      <c r="Z355" s="165"/>
      <c r="AA355" s="165"/>
    </row>
    <row r="356" spans="25:29">
      <c r="Y356" s="165"/>
      <c r="Z356" s="165"/>
      <c r="AA356" s="165"/>
    </row>
    <row r="357" spans="25:29">
      <c r="Y357" s="165"/>
      <c r="Z357" s="165"/>
      <c r="AA357" s="165"/>
      <c r="AC357" s="165"/>
    </row>
    <row r="358" spans="25:29">
      <c r="Y358" s="165"/>
      <c r="Z358" s="165"/>
      <c r="AA358" s="165"/>
      <c r="AC358" s="165"/>
    </row>
    <row r="359" spans="25:29">
      <c r="Y359" s="165"/>
      <c r="Z359" s="165"/>
      <c r="AA359" s="165"/>
      <c r="AC359" s="165"/>
    </row>
    <row r="360" spans="25:29">
      <c r="Y360" s="165"/>
      <c r="Z360" s="165"/>
      <c r="AA360" s="165"/>
      <c r="AC360" s="165"/>
    </row>
    <row r="361" spans="25:29">
      <c r="Y361" s="165"/>
      <c r="Z361" s="165"/>
      <c r="AA361" s="165"/>
      <c r="AC361" s="165"/>
    </row>
    <row r="362" spans="25:29">
      <c r="Y362" s="165"/>
      <c r="Z362" s="165"/>
      <c r="AA362" s="165"/>
      <c r="AC362" s="165"/>
    </row>
    <row r="363" spans="25:29">
      <c r="Y363" s="165"/>
      <c r="Z363" s="165"/>
      <c r="AA363" s="165"/>
      <c r="AC363" s="165"/>
    </row>
    <row r="364" spans="25:29">
      <c r="Y364" s="165"/>
      <c r="Z364" s="165"/>
      <c r="AA364" s="165"/>
      <c r="AC364" s="165"/>
    </row>
    <row r="365" spans="25:29">
      <c r="Y365" s="165"/>
      <c r="Z365" s="165"/>
      <c r="AA365" s="165"/>
      <c r="AC365" s="165"/>
    </row>
    <row r="366" spans="25:29">
      <c r="Y366" s="165"/>
      <c r="Z366" s="165"/>
      <c r="AA366" s="165"/>
      <c r="AC366" s="165"/>
    </row>
    <row r="367" spans="25:29">
      <c r="Y367" s="165"/>
      <c r="Z367" s="165"/>
      <c r="AA367" s="165"/>
      <c r="AC367" s="165"/>
    </row>
    <row r="368" spans="25:29">
      <c r="Y368" s="165"/>
      <c r="Z368" s="165"/>
      <c r="AA368" s="165"/>
      <c r="AC368" s="165"/>
    </row>
    <row r="369" spans="25:29">
      <c r="Y369" s="165"/>
      <c r="Z369" s="165"/>
      <c r="AA369" s="165"/>
      <c r="AC369" s="165"/>
    </row>
    <row r="370" spans="25:29">
      <c r="Y370" s="165"/>
      <c r="Z370" s="165"/>
      <c r="AA370" s="165"/>
      <c r="AC370" s="165"/>
    </row>
    <row r="371" spans="25:29">
      <c r="Y371" s="165"/>
      <c r="Z371" s="165"/>
      <c r="AA371" s="165"/>
      <c r="AC371" s="165"/>
    </row>
    <row r="372" spans="25:29">
      <c r="Y372" s="165"/>
      <c r="Z372" s="165"/>
      <c r="AA372" s="165"/>
      <c r="AC372" s="165"/>
    </row>
    <row r="373" spans="25:29">
      <c r="Y373" s="165"/>
      <c r="Z373" s="165"/>
      <c r="AA373" s="165"/>
      <c r="AC373" s="165"/>
    </row>
    <row r="374" spans="25:29">
      <c r="Y374" s="165"/>
      <c r="Z374" s="165"/>
      <c r="AA374" s="165"/>
      <c r="AC374" s="165"/>
    </row>
    <row r="375" spans="25:29">
      <c r="Y375" s="165"/>
      <c r="Z375" s="165"/>
      <c r="AA375" s="165"/>
      <c r="AC375" s="165"/>
    </row>
    <row r="376" spans="25:29">
      <c r="Y376" s="165"/>
      <c r="Z376" s="165"/>
      <c r="AA376" s="165"/>
      <c r="AC376" s="165"/>
    </row>
    <row r="377" spans="25:29">
      <c r="Y377" s="165"/>
      <c r="Z377" s="165"/>
      <c r="AA377" s="165"/>
      <c r="AC377" s="165"/>
    </row>
    <row r="378" spans="25:29">
      <c r="Y378" s="165"/>
      <c r="Z378" s="165"/>
      <c r="AA378" s="165"/>
      <c r="AC378" s="165"/>
    </row>
    <row r="379" spans="25:29">
      <c r="Y379" s="165"/>
      <c r="Z379" s="165"/>
      <c r="AA379" s="165"/>
      <c r="AC379" s="165"/>
    </row>
    <row r="380" spans="25:29">
      <c r="Y380" s="165"/>
      <c r="Z380" s="165"/>
      <c r="AA380" s="165"/>
      <c r="AC380" s="165"/>
    </row>
    <row r="381" spans="25:29">
      <c r="Y381" s="165"/>
      <c r="Z381" s="165"/>
      <c r="AA381" s="165"/>
      <c r="AC381" s="165"/>
    </row>
    <row r="382" spans="25:29">
      <c r="Y382" s="165"/>
      <c r="Z382" s="165"/>
      <c r="AA382" s="165"/>
      <c r="AC382" s="165"/>
    </row>
    <row r="383" spans="25:29">
      <c r="Y383" s="165"/>
      <c r="Z383" s="165"/>
      <c r="AA383" s="165"/>
      <c r="AC383" s="165"/>
    </row>
    <row r="384" spans="25:29">
      <c r="Y384" s="165"/>
      <c r="Z384" s="165"/>
      <c r="AA384" s="165"/>
      <c r="AC384" s="165"/>
    </row>
    <row r="385" spans="25:29">
      <c r="Y385" s="165"/>
      <c r="Z385" s="165"/>
      <c r="AA385" s="165"/>
      <c r="AC385" s="165"/>
    </row>
    <row r="386" spans="25:29">
      <c r="Y386" s="165"/>
      <c r="Z386" s="165"/>
      <c r="AA386" s="165"/>
      <c r="AC386" s="165"/>
    </row>
    <row r="387" spans="25:29">
      <c r="Y387" s="165"/>
      <c r="Z387" s="165"/>
      <c r="AA387" s="165"/>
      <c r="AC387" s="165"/>
    </row>
    <row r="388" spans="25:29">
      <c r="Y388" s="165"/>
      <c r="Z388" s="165"/>
      <c r="AA388" s="165"/>
      <c r="AC388" s="165"/>
    </row>
    <row r="389" spans="25:29">
      <c r="Y389" s="165"/>
      <c r="Z389" s="165"/>
      <c r="AA389" s="165"/>
      <c r="AC389" s="165"/>
    </row>
    <row r="390" spans="25:29">
      <c r="Y390" s="165"/>
      <c r="Z390" s="165"/>
      <c r="AA390" s="165"/>
      <c r="AC390" s="165"/>
    </row>
    <row r="391" spans="25:29">
      <c r="Y391" s="165"/>
      <c r="Z391" s="165"/>
      <c r="AA391" s="165"/>
      <c r="AC391" s="165"/>
    </row>
    <row r="392" spans="25:29">
      <c r="Y392" s="165"/>
      <c r="Z392" s="165"/>
      <c r="AA392" s="165"/>
      <c r="AC392" s="165"/>
    </row>
    <row r="393" spans="25:29">
      <c r="Y393" s="165"/>
      <c r="Z393" s="165"/>
      <c r="AA393" s="165"/>
      <c r="AC393" s="165"/>
    </row>
    <row r="394" spans="25:29">
      <c r="Y394" s="165"/>
      <c r="Z394" s="165"/>
      <c r="AA394" s="165"/>
      <c r="AC394" s="165"/>
    </row>
    <row r="395" spans="25:29">
      <c r="Y395" s="165"/>
      <c r="Z395" s="165"/>
      <c r="AA395" s="165"/>
      <c r="AC395" s="165"/>
    </row>
    <row r="396" spans="25:29">
      <c r="Y396" s="165"/>
      <c r="Z396" s="165"/>
      <c r="AA396" s="165"/>
      <c r="AC396" s="165"/>
    </row>
    <row r="397" spans="25:29">
      <c r="Y397" s="165"/>
      <c r="Z397" s="165"/>
      <c r="AA397" s="165"/>
      <c r="AC397" s="165"/>
    </row>
    <row r="398" spans="25:29">
      <c r="Y398" s="165"/>
      <c r="Z398" s="165"/>
      <c r="AA398" s="165"/>
      <c r="AC398" s="165"/>
    </row>
    <row r="399" spans="25:29">
      <c r="Y399" s="165"/>
      <c r="Z399" s="165"/>
      <c r="AA399" s="165"/>
      <c r="AC399" s="165"/>
    </row>
    <row r="400" spans="25:29">
      <c r="Y400" s="165"/>
      <c r="Z400" s="165"/>
      <c r="AA400" s="165"/>
      <c r="AC400" s="165"/>
    </row>
    <row r="401" spans="25:29">
      <c r="Y401" s="165"/>
      <c r="Z401" s="165"/>
      <c r="AA401" s="165"/>
      <c r="AC401" s="165"/>
    </row>
    <row r="402" spans="25:29">
      <c r="Y402" s="165"/>
      <c r="Z402" s="165"/>
      <c r="AA402" s="165"/>
      <c r="AC402" s="165"/>
    </row>
    <row r="403" spans="25:29">
      <c r="Y403" s="165"/>
      <c r="Z403" s="165"/>
      <c r="AA403" s="165"/>
      <c r="AC403" s="165"/>
    </row>
    <row r="404" spans="25:29">
      <c r="Y404" s="165"/>
      <c r="Z404" s="165"/>
      <c r="AA404" s="165"/>
      <c r="AC404" s="165"/>
    </row>
    <row r="405" spans="25:29">
      <c r="Y405" s="165"/>
      <c r="Z405" s="165"/>
      <c r="AA405" s="165"/>
      <c r="AC405" s="165"/>
    </row>
    <row r="406" spans="25:29">
      <c r="Y406" s="165"/>
      <c r="Z406" s="165"/>
      <c r="AA406" s="165"/>
      <c r="AC406" s="165"/>
    </row>
    <row r="407" spans="25:29">
      <c r="Y407" s="165"/>
      <c r="Z407" s="165"/>
      <c r="AA407" s="165"/>
      <c r="AC407" s="165"/>
    </row>
    <row r="408" spans="25:29">
      <c r="Y408" s="165"/>
      <c r="Z408" s="165"/>
      <c r="AA408" s="165"/>
      <c r="AC408" s="165"/>
    </row>
    <row r="409" spans="25:29">
      <c r="Y409" s="165"/>
      <c r="Z409" s="165"/>
      <c r="AA409" s="165"/>
      <c r="AC409" s="165"/>
    </row>
    <row r="410" spans="25:29">
      <c r="Y410" s="165"/>
      <c r="Z410" s="165"/>
      <c r="AA410" s="165"/>
      <c r="AC410" s="165"/>
    </row>
    <row r="411" spans="25:29">
      <c r="Y411" s="165"/>
      <c r="Z411" s="165"/>
      <c r="AA411" s="165"/>
      <c r="AC411" s="165"/>
    </row>
    <row r="412" spans="25:29">
      <c r="Y412" s="165"/>
      <c r="Z412" s="165"/>
      <c r="AA412" s="165"/>
      <c r="AC412" s="165"/>
    </row>
    <row r="413" spans="25:29">
      <c r="Y413" s="165"/>
      <c r="Z413" s="165"/>
      <c r="AA413" s="165"/>
      <c r="AC413" s="165"/>
    </row>
    <row r="414" spans="25:29">
      <c r="Y414" s="165"/>
      <c r="Z414" s="165"/>
      <c r="AA414" s="165"/>
      <c r="AC414" s="165"/>
    </row>
    <row r="415" spans="25:29">
      <c r="Y415" s="165"/>
      <c r="Z415" s="165"/>
      <c r="AA415" s="165"/>
      <c r="AC415" s="165"/>
    </row>
    <row r="416" spans="25:29">
      <c r="Y416" s="165"/>
      <c r="Z416" s="165"/>
      <c r="AA416" s="165"/>
      <c r="AC416" s="165"/>
    </row>
    <row r="417" spans="25:29">
      <c r="Y417" s="165"/>
      <c r="Z417" s="165"/>
      <c r="AA417" s="165"/>
      <c r="AC417" s="165"/>
    </row>
    <row r="418" spans="25:29">
      <c r="Y418" s="165"/>
      <c r="Z418" s="165"/>
      <c r="AA418" s="165"/>
      <c r="AC418" s="165"/>
    </row>
    <row r="419" spans="25:29">
      <c r="Y419" s="165"/>
      <c r="Z419" s="165"/>
      <c r="AA419" s="165"/>
      <c r="AC419" s="165"/>
    </row>
    <row r="420" spans="25:29">
      <c r="Y420" s="165"/>
      <c r="Z420" s="165"/>
      <c r="AA420" s="165"/>
      <c r="AC420" s="165"/>
    </row>
    <row r="421" spans="25:29">
      <c r="Y421" s="165"/>
      <c r="Z421" s="165"/>
      <c r="AA421" s="165"/>
      <c r="AC421" s="165"/>
    </row>
    <row r="422" spans="25:29">
      <c r="Y422" s="165"/>
      <c r="Z422" s="165"/>
      <c r="AA422" s="165"/>
      <c r="AC422" s="165"/>
    </row>
    <row r="423" spans="25:29">
      <c r="Y423" s="165"/>
      <c r="Z423" s="165"/>
      <c r="AA423" s="165"/>
      <c r="AC423" s="165"/>
    </row>
    <row r="424" spans="25:29">
      <c r="Y424" s="165"/>
      <c r="Z424" s="165"/>
      <c r="AA424" s="165"/>
      <c r="AC424" s="165"/>
    </row>
    <row r="425" spans="25:29">
      <c r="Y425" s="165"/>
      <c r="Z425" s="165"/>
      <c r="AA425" s="165"/>
    </row>
    <row r="426" spans="25:29">
      <c r="Y426" s="165"/>
      <c r="Z426" s="165"/>
      <c r="AA426" s="165"/>
      <c r="AC426" s="165"/>
    </row>
    <row r="427" spans="25:29">
      <c r="Y427" s="165"/>
      <c r="Z427" s="165"/>
      <c r="AA427" s="165"/>
      <c r="AC427" s="165"/>
    </row>
    <row r="428" spans="25:29">
      <c r="Y428" s="165"/>
      <c r="Z428" s="165"/>
      <c r="AA428" s="165"/>
      <c r="AC428" s="165"/>
    </row>
    <row r="429" spans="25:29">
      <c r="Y429" s="165"/>
      <c r="Z429" s="165"/>
      <c r="AA429" s="165"/>
    </row>
    <row r="430" spans="25:29">
      <c r="Y430" s="165"/>
      <c r="Z430" s="165"/>
      <c r="AA430" s="165"/>
    </row>
    <row r="431" spans="25:29">
      <c r="Y431" s="165"/>
      <c r="Z431" s="165"/>
      <c r="AA431" s="165"/>
    </row>
    <row r="432" spans="25:29">
      <c r="Y432" s="165"/>
      <c r="Z432" s="165"/>
      <c r="AA432" s="165"/>
      <c r="AC432" s="165"/>
    </row>
    <row r="433" spans="25:29">
      <c r="Y433" s="165"/>
      <c r="Z433" s="165"/>
      <c r="AA433" s="165"/>
    </row>
    <row r="434" spans="25:29">
      <c r="Y434" s="165"/>
      <c r="Z434" s="165"/>
      <c r="AA434" s="165"/>
      <c r="AC434" s="165"/>
    </row>
    <row r="435" spans="25:29">
      <c r="Y435" s="165"/>
      <c r="Z435" s="165"/>
      <c r="AA435" s="165"/>
      <c r="AC435" s="165"/>
    </row>
    <row r="436" spans="25:29">
      <c r="Y436" s="165"/>
      <c r="Z436" s="165"/>
      <c r="AA436" s="165"/>
      <c r="AC436" s="165"/>
    </row>
    <row r="437" spans="25:29">
      <c r="Y437" s="165"/>
      <c r="Z437" s="165"/>
      <c r="AA437" s="165"/>
      <c r="AC437" s="165"/>
    </row>
    <row r="438" spans="25:29">
      <c r="Y438" s="165"/>
      <c r="Z438" s="165"/>
      <c r="AA438" s="165"/>
      <c r="AC438" s="165"/>
    </row>
    <row r="439" spans="25:29">
      <c r="Y439" s="165"/>
      <c r="Z439" s="165"/>
      <c r="AA439" s="165"/>
      <c r="AC439" s="165"/>
    </row>
    <row r="440" spans="25:29">
      <c r="Y440" s="165"/>
      <c r="Z440" s="165"/>
      <c r="AA440" s="165"/>
      <c r="AC440" s="165"/>
    </row>
    <row r="441" spans="25:29">
      <c r="Y441" s="165"/>
      <c r="Z441" s="165"/>
      <c r="AA441" s="165"/>
      <c r="AC441" s="165"/>
    </row>
    <row r="442" spans="25:29">
      <c r="Y442" s="165"/>
      <c r="Z442" s="165"/>
      <c r="AA442" s="165"/>
      <c r="AC442" s="165"/>
    </row>
    <row r="443" spans="25:29">
      <c r="Y443" s="165"/>
      <c r="Z443" s="165"/>
      <c r="AA443" s="165"/>
      <c r="AC443" s="165"/>
    </row>
    <row r="444" spans="25:29">
      <c r="Y444" s="165"/>
      <c r="Z444" s="165"/>
      <c r="AA444" s="165"/>
      <c r="AC444" s="165"/>
    </row>
    <row r="445" spans="25:29">
      <c r="Y445" s="165"/>
      <c r="Z445" s="165"/>
      <c r="AA445" s="165"/>
      <c r="AC445" s="165"/>
    </row>
    <row r="446" spans="25:29">
      <c r="Y446" s="165"/>
      <c r="Z446" s="165"/>
      <c r="AA446" s="165"/>
      <c r="AC446" s="165"/>
    </row>
    <row r="447" spans="25:29">
      <c r="Y447" s="165"/>
      <c r="Z447" s="165"/>
      <c r="AA447" s="165"/>
      <c r="AC447" s="165"/>
    </row>
    <row r="448" spans="25:29">
      <c r="Y448" s="165"/>
      <c r="Z448" s="165"/>
      <c r="AA448" s="165"/>
      <c r="AC448" s="165"/>
    </row>
    <row r="449" spans="25:29">
      <c r="Y449" s="165"/>
      <c r="Z449" s="165"/>
      <c r="AA449" s="165"/>
      <c r="AC449" s="165"/>
    </row>
    <row r="450" spans="25:29">
      <c r="Y450" s="165"/>
      <c r="Z450" s="165"/>
      <c r="AA450" s="165"/>
      <c r="AC450" s="165"/>
    </row>
    <row r="451" spans="25:29">
      <c r="Y451" s="165"/>
      <c r="Z451" s="165"/>
      <c r="AA451" s="165"/>
      <c r="AC451" s="165"/>
    </row>
    <row r="452" spans="25:29">
      <c r="Y452" s="165"/>
      <c r="Z452" s="165"/>
      <c r="AA452" s="165"/>
      <c r="AC452" s="165"/>
    </row>
    <row r="453" spans="25:29">
      <c r="Y453" s="165"/>
      <c r="Z453" s="165"/>
      <c r="AA453" s="165"/>
      <c r="AC453" s="165"/>
    </row>
    <row r="454" spans="25:29">
      <c r="Y454" s="165"/>
      <c r="Z454" s="165"/>
      <c r="AA454" s="165"/>
      <c r="AC454" s="165"/>
    </row>
    <row r="455" spans="25:29">
      <c r="Y455" s="165"/>
      <c r="Z455" s="165"/>
      <c r="AA455" s="165"/>
      <c r="AC455" s="165"/>
    </row>
    <row r="456" spans="25:29">
      <c r="Y456" s="165"/>
      <c r="Z456" s="165"/>
      <c r="AA456" s="165"/>
      <c r="AC456" s="165"/>
    </row>
    <row r="457" spans="25:29">
      <c r="Y457" s="165"/>
      <c r="Z457" s="165"/>
      <c r="AA457" s="165"/>
      <c r="AC457" s="165"/>
    </row>
    <row r="458" spans="25:29">
      <c r="Y458" s="165"/>
      <c r="Z458" s="165"/>
      <c r="AA458" s="165"/>
      <c r="AC458" s="165"/>
    </row>
    <row r="459" spans="25:29">
      <c r="Y459" s="165"/>
      <c r="Z459" s="165"/>
      <c r="AA459" s="165"/>
      <c r="AC459" s="165"/>
    </row>
    <row r="460" spans="25:29">
      <c r="Y460" s="165"/>
      <c r="Z460" s="165"/>
      <c r="AA460" s="165"/>
      <c r="AC460" s="165"/>
    </row>
    <row r="461" spans="25:29">
      <c r="Y461" s="165"/>
      <c r="Z461" s="165"/>
      <c r="AA461" s="165"/>
      <c r="AC461" s="165"/>
    </row>
    <row r="462" spans="25:29">
      <c r="Y462" s="165"/>
      <c r="Z462" s="165"/>
      <c r="AA462" s="165"/>
      <c r="AC462" s="165"/>
    </row>
    <row r="463" spans="25:29">
      <c r="Y463" s="165"/>
      <c r="Z463" s="165"/>
      <c r="AA463" s="165"/>
      <c r="AC463" s="165"/>
    </row>
    <row r="464" spans="25:29">
      <c r="Y464" s="165"/>
      <c r="Z464" s="165"/>
      <c r="AA464" s="165"/>
      <c r="AC464" s="165"/>
    </row>
    <row r="465" spans="25:29">
      <c r="Y465" s="165"/>
      <c r="Z465" s="165"/>
      <c r="AA465" s="165"/>
      <c r="AC465" s="165"/>
    </row>
    <row r="466" spans="25:29">
      <c r="Y466" s="165"/>
      <c r="Z466" s="165"/>
      <c r="AA466" s="165"/>
      <c r="AC466" s="165"/>
    </row>
    <row r="467" spans="25:29">
      <c r="Y467" s="165"/>
      <c r="Z467" s="165"/>
      <c r="AA467" s="165"/>
      <c r="AC467" s="165"/>
    </row>
    <row r="468" spans="25:29">
      <c r="Y468" s="165"/>
      <c r="Z468" s="165"/>
      <c r="AA468" s="165"/>
      <c r="AC468" s="165"/>
    </row>
    <row r="469" spans="25:29">
      <c r="Y469" s="165"/>
      <c r="Z469" s="165"/>
      <c r="AA469" s="165"/>
      <c r="AC469" s="165"/>
    </row>
    <row r="470" spans="25:29">
      <c r="Y470" s="165"/>
      <c r="Z470" s="165"/>
      <c r="AA470" s="165"/>
      <c r="AC470" s="165"/>
    </row>
    <row r="471" spans="25:29">
      <c r="Y471" s="165"/>
      <c r="Z471" s="165"/>
      <c r="AA471" s="165"/>
      <c r="AC471" s="165"/>
    </row>
    <row r="472" spans="25:29">
      <c r="Y472" s="165"/>
      <c r="Z472" s="165"/>
      <c r="AA472" s="165"/>
      <c r="AC472" s="165"/>
    </row>
    <row r="473" spans="25:29">
      <c r="Y473" s="165"/>
      <c r="Z473" s="165"/>
      <c r="AA473" s="165"/>
      <c r="AC473" s="165"/>
    </row>
    <row r="474" spans="25:29">
      <c r="Y474" s="165"/>
      <c r="Z474" s="165"/>
      <c r="AA474" s="165"/>
      <c r="AC474" s="165"/>
    </row>
    <row r="475" spans="25:29">
      <c r="Y475" s="165"/>
      <c r="Z475" s="165"/>
      <c r="AA475" s="165"/>
      <c r="AC475" s="165"/>
    </row>
    <row r="476" spans="25:29">
      <c r="Y476" s="165"/>
      <c r="Z476" s="165"/>
      <c r="AA476" s="165"/>
      <c r="AC476" s="165"/>
    </row>
    <row r="477" spans="25:29">
      <c r="Y477" s="165"/>
      <c r="Z477" s="165"/>
      <c r="AA477" s="165"/>
      <c r="AC477" s="165"/>
    </row>
    <row r="478" spans="25:29">
      <c r="Y478" s="165"/>
      <c r="Z478" s="165"/>
      <c r="AA478" s="165"/>
      <c r="AC478" s="165"/>
    </row>
    <row r="479" spans="25:29">
      <c r="Y479" s="165"/>
      <c r="Z479" s="165"/>
      <c r="AA479" s="165"/>
      <c r="AC479" s="165"/>
    </row>
    <row r="480" spans="25:29">
      <c r="Y480" s="165"/>
      <c r="Z480" s="165"/>
      <c r="AA480" s="165"/>
      <c r="AC480" s="165"/>
    </row>
    <row r="481" spans="25:29">
      <c r="Y481" s="165"/>
      <c r="Z481" s="165"/>
      <c r="AA481" s="165"/>
      <c r="AC481" s="165"/>
    </row>
    <row r="482" spans="25:29">
      <c r="Y482" s="165"/>
      <c r="Z482" s="165"/>
      <c r="AA482" s="165"/>
      <c r="AC482" s="165"/>
    </row>
    <row r="483" spans="25:29">
      <c r="Y483" s="165"/>
      <c r="Z483" s="165"/>
      <c r="AA483" s="165"/>
      <c r="AC483" s="165"/>
    </row>
    <row r="484" spans="25:29">
      <c r="Y484" s="165"/>
      <c r="Z484" s="165"/>
      <c r="AA484" s="165"/>
      <c r="AC484" s="165"/>
    </row>
    <row r="485" spans="25:29">
      <c r="Y485" s="165"/>
      <c r="Z485" s="165"/>
      <c r="AA485" s="165"/>
    </row>
    <row r="486" spans="25:29">
      <c r="Y486" s="165"/>
      <c r="Z486" s="165"/>
      <c r="AA486" s="165"/>
      <c r="AC486" s="165"/>
    </row>
    <row r="487" spans="25:29">
      <c r="Y487" s="165"/>
      <c r="Z487" s="165"/>
      <c r="AA487" s="165"/>
      <c r="AC487" s="165"/>
    </row>
    <row r="488" spans="25:29">
      <c r="Y488" s="165"/>
      <c r="Z488" s="165"/>
      <c r="AA488" s="165"/>
    </row>
    <row r="489" spans="25:29">
      <c r="Y489" s="165"/>
      <c r="Z489" s="165"/>
      <c r="AA489" s="165"/>
      <c r="AC489" s="165"/>
    </row>
    <row r="490" spans="25:29">
      <c r="Y490" s="165"/>
      <c r="Z490" s="165"/>
      <c r="AA490" s="165"/>
      <c r="AC490" s="165"/>
    </row>
    <row r="491" spans="25:29">
      <c r="Y491" s="165"/>
      <c r="Z491" s="165"/>
      <c r="AA491" s="165"/>
      <c r="AC491" s="165"/>
    </row>
    <row r="492" spans="25:29">
      <c r="Y492" s="165"/>
      <c r="Z492" s="165"/>
      <c r="AA492" s="165"/>
      <c r="AC492" s="165"/>
    </row>
    <row r="493" spans="25:29">
      <c r="Y493" s="165"/>
      <c r="Z493" s="165"/>
      <c r="AA493" s="165"/>
      <c r="AC493" s="165"/>
    </row>
    <row r="494" spans="25:29">
      <c r="Y494" s="165"/>
      <c r="Z494" s="165"/>
      <c r="AA494" s="165"/>
      <c r="AC494" s="165"/>
    </row>
    <row r="495" spans="25:29">
      <c r="Y495" s="165"/>
      <c r="Z495" s="165"/>
      <c r="AA495" s="165"/>
      <c r="AC495" s="165"/>
    </row>
    <row r="496" spans="25:29">
      <c r="Y496" s="165"/>
      <c r="Z496" s="165"/>
      <c r="AA496" s="165"/>
      <c r="AC496" s="165"/>
    </row>
    <row r="497" spans="25:29">
      <c r="Y497" s="165"/>
      <c r="Z497" s="165"/>
      <c r="AA497" s="165"/>
      <c r="AC497" s="165"/>
    </row>
    <row r="498" spans="25:29">
      <c r="Y498" s="165"/>
      <c r="Z498" s="165"/>
      <c r="AA498" s="165"/>
      <c r="AC498" s="165"/>
    </row>
    <row r="499" spans="25:29">
      <c r="Y499" s="165"/>
      <c r="Z499" s="165"/>
      <c r="AA499" s="165"/>
      <c r="AC499" s="165"/>
    </row>
    <row r="500" spans="25:29">
      <c r="Y500" s="165"/>
      <c r="Z500" s="165"/>
      <c r="AA500" s="165"/>
      <c r="AC500" s="165"/>
    </row>
    <row r="501" spans="25:29">
      <c r="Y501" s="165"/>
      <c r="Z501" s="165"/>
      <c r="AA501" s="165"/>
      <c r="AC501" s="165"/>
    </row>
    <row r="502" spans="25:29">
      <c r="Y502" s="165"/>
      <c r="Z502" s="165"/>
      <c r="AA502" s="165"/>
      <c r="AC502" s="165"/>
    </row>
    <row r="503" spans="25:29">
      <c r="Y503" s="165"/>
      <c r="Z503" s="165"/>
      <c r="AA503" s="165"/>
      <c r="AC503" s="165"/>
    </row>
    <row r="504" spans="25:29">
      <c r="Y504" s="165"/>
      <c r="Z504" s="165"/>
      <c r="AA504" s="165"/>
      <c r="AC504" s="165"/>
    </row>
    <row r="505" spans="25:29">
      <c r="Y505" s="165"/>
      <c r="Z505" s="165"/>
      <c r="AA505" s="165"/>
      <c r="AC505" s="165"/>
    </row>
    <row r="506" spans="25:29">
      <c r="Y506" s="165"/>
      <c r="Z506" s="165"/>
      <c r="AA506" s="165"/>
      <c r="AC506" s="165"/>
    </row>
    <row r="507" spans="25:29">
      <c r="Y507" s="165"/>
      <c r="Z507" s="165"/>
      <c r="AA507" s="165"/>
    </row>
    <row r="508" spans="25:29">
      <c r="Y508" s="165"/>
      <c r="Z508" s="165"/>
      <c r="AA508" s="165"/>
      <c r="AC508" s="165"/>
    </row>
    <row r="509" spans="25:29">
      <c r="Y509" s="165"/>
      <c r="Z509" s="165"/>
      <c r="AA509" s="165"/>
      <c r="AC509" s="165"/>
    </row>
    <row r="510" spans="25:29">
      <c r="Y510" s="165"/>
      <c r="Z510" s="165"/>
      <c r="AA510" s="165"/>
      <c r="AC510" s="165"/>
    </row>
    <row r="511" spans="25:29">
      <c r="Y511" s="165"/>
      <c r="Z511" s="165"/>
      <c r="AA511" s="165"/>
      <c r="AC511" s="165"/>
    </row>
    <row r="512" spans="25:29">
      <c r="Y512" s="165"/>
      <c r="Z512" s="165"/>
      <c r="AA512" s="165"/>
      <c r="AC512" s="165"/>
    </row>
    <row r="513" spans="25:29">
      <c r="Y513" s="165"/>
      <c r="Z513" s="165"/>
      <c r="AA513" s="165"/>
      <c r="AC513" s="165"/>
    </row>
    <row r="514" spans="25:29">
      <c r="Y514" s="165"/>
      <c r="Z514" s="165"/>
      <c r="AA514" s="165"/>
      <c r="AC514" s="165"/>
    </row>
    <row r="515" spans="25:29">
      <c r="Y515" s="165"/>
      <c r="Z515" s="165"/>
      <c r="AA515" s="165"/>
      <c r="AC515" s="165"/>
    </row>
    <row r="516" spans="25:29">
      <c r="Y516" s="165"/>
      <c r="Z516" s="165"/>
      <c r="AA516" s="165"/>
      <c r="AC516" s="165"/>
    </row>
    <row r="517" spans="25:29">
      <c r="Y517" s="165"/>
      <c r="Z517" s="165"/>
      <c r="AA517" s="165"/>
      <c r="AC517" s="165"/>
    </row>
    <row r="518" spans="25:29">
      <c r="Y518" s="165"/>
      <c r="Z518" s="165"/>
      <c r="AA518" s="165"/>
      <c r="AC518" s="165"/>
    </row>
    <row r="519" spans="25:29">
      <c r="Y519" s="165"/>
      <c r="Z519" s="165"/>
      <c r="AA519" s="165"/>
      <c r="AC519" s="165"/>
    </row>
    <row r="520" spans="25:29">
      <c r="Y520" s="165"/>
      <c r="Z520" s="165"/>
      <c r="AA520" s="165"/>
      <c r="AC520" s="165"/>
    </row>
    <row r="521" spans="25:29">
      <c r="Y521" s="165"/>
      <c r="Z521" s="165"/>
      <c r="AA521" s="165"/>
      <c r="AC521" s="165"/>
    </row>
    <row r="522" spans="25:29">
      <c r="Y522" s="165"/>
      <c r="Z522" s="165"/>
      <c r="AA522" s="165"/>
      <c r="AC522" s="165"/>
    </row>
    <row r="523" spans="25:29">
      <c r="Y523" s="165"/>
      <c r="Z523" s="165"/>
      <c r="AA523" s="165"/>
      <c r="AC523" s="165"/>
    </row>
    <row r="524" spans="25:29">
      <c r="Y524" s="165"/>
      <c r="Z524" s="165"/>
      <c r="AA524" s="165"/>
      <c r="AC524" s="165"/>
    </row>
    <row r="525" spans="25:29">
      <c r="Y525" s="165"/>
      <c r="Z525" s="165"/>
      <c r="AA525" s="165"/>
      <c r="AC525" s="165"/>
    </row>
    <row r="526" spans="25:29">
      <c r="Y526" s="165"/>
      <c r="Z526" s="165"/>
      <c r="AA526" s="165"/>
      <c r="AC526" s="165"/>
    </row>
    <row r="527" spans="25:29">
      <c r="Y527" s="165"/>
      <c r="Z527" s="165"/>
      <c r="AA527" s="165"/>
      <c r="AC527" s="165"/>
    </row>
    <row r="528" spans="25:29">
      <c r="Y528" s="165"/>
      <c r="Z528" s="165"/>
      <c r="AA528" s="165"/>
      <c r="AC528" s="165"/>
    </row>
    <row r="529" spans="1:36">
      <c r="Y529" s="165"/>
      <c r="Z529" s="165"/>
      <c r="AA529" s="165"/>
      <c r="AC529" s="165"/>
    </row>
    <row r="530" spans="1:36">
      <c r="A530" s="173">
        <v>44013</v>
      </c>
      <c r="B530" s="182" t="s">
        <v>130</v>
      </c>
      <c r="C530" s="163" t="s">
        <v>131</v>
      </c>
      <c r="D530" s="163">
        <v>2353342020</v>
      </c>
      <c r="E530" s="163" t="s">
        <v>132</v>
      </c>
      <c r="F530" s="163">
        <v>875</v>
      </c>
      <c r="G530" s="163" t="s">
        <v>178</v>
      </c>
      <c r="H530" s="163" t="s">
        <v>144</v>
      </c>
      <c r="I530" s="163" t="s">
        <v>197</v>
      </c>
      <c r="J530" s="163" t="s">
        <v>198</v>
      </c>
      <c r="K530" s="163" t="s">
        <v>135</v>
      </c>
      <c r="L530" s="163" t="s">
        <v>200</v>
      </c>
      <c r="M530" s="163" t="s">
        <v>125</v>
      </c>
      <c r="N530" s="164">
        <v>6703.88</v>
      </c>
      <c r="O530" s="163" t="s">
        <v>136</v>
      </c>
      <c r="P530" s="164">
        <v>6703.88</v>
      </c>
      <c r="Q530" s="163" t="s">
        <v>136</v>
      </c>
      <c r="R530" s="163" t="s">
        <v>126</v>
      </c>
      <c r="S530" s="163" t="s">
        <v>2</v>
      </c>
      <c r="T530" s="163" t="s">
        <v>2</v>
      </c>
      <c r="U530" s="163" t="s">
        <v>127</v>
      </c>
      <c r="V530" s="163" t="s">
        <v>198</v>
      </c>
      <c r="W530" s="163" t="s">
        <v>198</v>
      </c>
      <c r="X530" s="163" t="s">
        <v>127</v>
      </c>
      <c r="Y530" s="165">
        <v>44013</v>
      </c>
      <c r="Z530" s="165">
        <v>44008</v>
      </c>
      <c r="AA530" s="165">
        <v>44008</v>
      </c>
      <c r="AB530" s="163" t="s">
        <v>137</v>
      </c>
      <c r="AC530" s="165">
        <v>44013</v>
      </c>
      <c r="AD530" s="163" t="s">
        <v>182</v>
      </c>
      <c r="AE530" s="163">
        <v>875</v>
      </c>
      <c r="AF530" s="163" t="s">
        <v>138</v>
      </c>
      <c r="AH530" s="163" t="s">
        <v>129</v>
      </c>
      <c r="AI530" s="163">
        <v>6703.88</v>
      </c>
      <c r="AJ530" s="163">
        <v>6703.88</v>
      </c>
    </row>
    <row r="531" spans="1:36">
      <c r="A531" s="173">
        <v>44013</v>
      </c>
      <c r="B531" s="182" t="s">
        <v>130</v>
      </c>
      <c r="C531" s="163" t="s">
        <v>131</v>
      </c>
      <c r="D531" s="163">
        <v>2353352020</v>
      </c>
      <c r="E531" s="163" t="s">
        <v>132</v>
      </c>
      <c r="F531" s="163">
        <v>875</v>
      </c>
      <c r="G531" s="163" t="s">
        <v>178</v>
      </c>
      <c r="H531" s="163" t="s">
        <v>144</v>
      </c>
      <c r="I531" s="163" t="s">
        <v>197</v>
      </c>
      <c r="J531" s="163" t="s">
        <v>198</v>
      </c>
      <c r="K531" s="163" t="s">
        <v>135</v>
      </c>
      <c r="L531" s="163" t="s">
        <v>201</v>
      </c>
      <c r="M531" s="163" t="s">
        <v>125</v>
      </c>
      <c r="N531" s="164">
        <v>4020.19</v>
      </c>
      <c r="O531" s="163" t="s">
        <v>136</v>
      </c>
      <c r="P531" s="164">
        <v>4020.19</v>
      </c>
      <c r="Q531" s="163" t="s">
        <v>136</v>
      </c>
      <c r="R531" s="163" t="s">
        <v>126</v>
      </c>
      <c r="S531" s="163" t="s">
        <v>2</v>
      </c>
      <c r="T531" s="163" t="s">
        <v>2</v>
      </c>
      <c r="U531" s="163" t="s">
        <v>127</v>
      </c>
      <c r="V531" s="163" t="s">
        <v>198</v>
      </c>
      <c r="W531" s="163" t="s">
        <v>198</v>
      </c>
      <c r="X531" s="163" t="s">
        <v>127</v>
      </c>
      <c r="Y531" s="165">
        <v>44013</v>
      </c>
      <c r="Z531" s="165">
        <v>44008</v>
      </c>
      <c r="AA531" s="165">
        <v>44008</v>
      </c>
      <c r="AB531" s="163" t="s">
        <v>137</v>
      </c>
      <c r="AC531" s="165">
        <v>44013</v>
      </c>
      <c r="AD531" s="163" t="s">
        <v>180</v>
      </c>
      <c r="AE531" s="163">
        <v>875</v>
      </c>
      <c r="AF531" s="163" t="s">
        <v>138</v>
      </c>
      <c r="AH531" s="163" t="s">
        <v>129</v>
      </c>
      <c r="AI531" s="163">
        <v>4020.19</v>
      </c>
      <c r="AJ531" s="163">
        <v>4020.19</v>
      </c>
    </row>
    <row r="532" spans="1:36">
      <c r="A532" s="173">
        <v>44013</v>
      </c>
      <c r="B532" s="182" t="s">
        <v>130</v>
      </c>
      <c r="C532" s="163" t="s">
        <v>131</v>
      </c>
      <c r="D532" s="163">
        <v>2353352020</v>
      </c>
      <c r="E532" s="163" t="s">
        <v>132</v>
      </c>
      <c r="F532" s="163">
        <v>875</v>
      </c>
      <c r="G532" s="163" t="s">
        <v>178</v>
      </c>
      <c r="H532" s="163" t="s">
        <v>144</v>
      </c>
      <c r="I532" s="163" t="s">
        <v>197</v>
      </c>
      <c r="J532" s="163" t="s">
        <v>198</v>
      </c>
      <c r="K532" s="163" t="s">
        <v>135</v>
      </c>
      <c r="L532" s="163" t="s">
        <v>202</v>
      </c>
      <c r="M532" s="163" t="s">
        <v>125</v>
      </c>
      <c r="N532" s="164">
        <v>548.21</v>
      </c>
      <c r="O532" s="163" t="s">
        <v>136</v>
      </c>
      <c r="P532" s="164">
        <v>548.21</v>
      </c>
      <c r="Q532" s="163" t="s">
        <v>136</v>
      </c>
      <c r="R532" s="163" t="s">
        <v>126</v>
      </c>
      <c r="S532" s="163" t="s">
        <v>2</v>
      </c>
      <c r="T532" s="163" t="s">
        <v>2</v>
      </c>
      <c r="U532" s="163" t="s">
        <v>127</v>
      </c>
      <c r="V532" s="163" t="s">
        <v>198</v>
      </c>
      <c r="W532" s="163" t="s">
        <v>198</v>
      </c>
      <c r="X532" s="163" t="s">
        <v>127</v>
      </c>
      <c r="Y532" s="165">
        <v>44013</v>
      </c>
      <c r="Z532" s="165">
        <v>44008</v>
      </c>
      <c r="AA532" s="165">
        <v>44008</v>
      </c>
      <c r="AB532" s="163" t="s">
        <v>137</v>
      </c>
      <c r="AC532" s="165">
        <v>44013</v>
      </c>
      <c r="AD532" s="163" t="s">
        <v>179</v>
      </c>
      <c r="AE532" s="163">
        <v>875</v>
      </c>
      <c r="AF532" s="163" t="s">
        <v>138</v>
      </c>
      <c r="AH532" s="163" t="s">
        <v>129</v>
      </c>
      <c r="AI532" s="163">
        <v>548.21</v>
      </c>
      <c r="AJ532" s="163">
        <v>548.21</v>
      </c>
    </row>
    <row r="533" spans="1:36">
      <c r="A533" s="173">
        <v>44013</v>
      </c>
      <c r="B533" s="182" t="s">
        <v>130</v>
      </c>
      <c r="C533" s="163" t="s">
        <v>131</v>
      </c>
      <c r="D533" s="163">
        <v>2746112020</v>
      </c>
      <c r="E533" s="163" t="s">
        <v>132</v>
      </c>
      <c r="F533" s="163">
        <v>875</v>
      </c>
      <c r="G533" s="163" t="s">
        <v>143</v>
      </c>
      <c r="H533" s="163" t="s">
        <v>144</v>
      </c>
      <c r="I533" s="163" t="s">
        <v>197</v>
      </c>
      <c r="J533" s="163" t="s">
        <v>198</v>
      </c>
      <c r="K533" s="163" t="s">
        <v>135</v>
      </c>
      <c r="L533" s="163" t="s">
        <v>203</v>
      </c>
      <c r="M533" s="163" t="s">
        <v>125</v>
      </c>
      <c r="N533" s="164">
        <v>31218.75</v>
      </c>
      <c r="O533" s="163" t="s">
        <v>136</v>
      </c>
      <c r="P533" s="164">
        <v>31218.75</v>
      </c>
      <c r="Q533" s="163" t="s">
        <v>136</v>
      </c>
      <c r="R533" s="163" t="s">
        <v>126</v>
      </c>
      <c r="S533" s="163" t="s">
        <v>2</v>
      </c>
      <c r="T533" s="163" t="s">
        <v>2</v>
      </c>
      <c r="U533" s="163" t="s">
        <v>127</v>
      </c>
      <c r="V533" s="163" t="s">
        <v>198</v>
      </c>
      <c r="W533" s="163" t="s">
        <v>198</v>
      </c>
      <c r="X533" s="163" t="s">
        <v>127</v>
      </c>
      <c r="Y533" s="165">
        <v>44013</v>
      </c>
      <c r="Z533" s="165">
        <v>44008</v>
      </c>
      <c r="AA533" s="165">
        <v>44008</v>
      </c>
      <c r="AB533" s="163" t="s">
        <v>137</v>
      </c>
      <c r="AC533" s="165">
        <v>44013</v>
      </c>
      <c r="AD533" s="163" t="s">
        <v>145</v>
      </c>
      <c r="AE533" s="163">
        <v>875</v>
      </c>
      <c r="AF533" s="163" t="s">
        <v>138</v>
      </c>
      <c r="AH533" s="163" t="s">
        <v>129</v>
      </c>
      <c r="AI533" s="163">
        <v>31218.75</v>
      </c>
      <c r="AJ533" s="163">
        <v>31218.75</v>
      </c>
    </row>
    <row r="534" spans="1:36">
      <c r="A534" s="173">
        <v>44013</v>
      </c>
      <c r="B534" s="182" t="s">
        <v>130</v>
      </c>
      <c r="C534" s="163" t="s">
        <v>131</v>
      </c>
      <c r="D534" s="163">
        <v>3013772020</v>
      </c>
      <c r="E534" s="163" t="s">
        <v>132</v>
      </c>
      <c r="F534" s="163">
        <v>875</v>
      </c>
      <c r="G534" s="163" t="s">
        <v>163</v>
      </c>
      <c r="H534" s="163" t="s">
        <v>144</v>
      </c>
      <c r="I534" s="163" t="s">
        <v>197</v>
      </c>
      <c r="J534" s="163" t="s">
        <v>198</v>
      </c>
      <c r="K534" s="163" t="s">
        <v>135</v>
      </c>
      <c r="L534" s="163" t="s">
        <v>204</v>
      </c>
      <c r="M534" s="163" t="s">
        <v>125</v>
      </c>
      <c r="N534" s="164">
        <v>1149.9100000000001</v>
      </c>
      <c r="O534" s="163" t="s">
        <v>136</v>
      </c>
      <c r="P534" s="164">
        <v>1149.9100000000001</v>
      </c>
      <c r="Q534" s="163" t="s">
        <v>136</v>
      </c>
      <c r="R534" s="163" t="s">
        <v>126</v>
      </c>
      <c r="S534" s="163" t="s">
        <v>2</v>
      </c>
      <c r="T534" s="163" t="s">
        <v>2</v>
      </c>
      <c r="U534" s="163" t="s">
        <v>127</v>
      </c>
      <c r="V534" s="163" t="s">
        <v>198</v>
      </c>
      <c r="W534" s="163" t="s">
        <v>198</v>
      </c>
      <c r="X534" s="163" t="s">
        <v>127</v>
      </c>
      <c r="Y534" s="165">
        <v>44013</v>
      </c>
      <c r="Z534" s="165">
        <v>44008</v>
      </c>
      <c r="AA534" s="165">
        <v>44008</v>
      </c>
      <c r="AB534" s="163" t="s">
        <v>137</v>
      </c>
      <c r="AC534" s="165">
        <v>44013</v>
      </c>
      <c r="AD534" s="163" t="s">
        <v>165</v>
      </c>
      <c r="AE534" s="163">
        <v>875</v>
      </c>
      <c r="AF534" s="163" t="s">
        <v>138</v>
      </c>
      <c r="AH534" s="163" t="s">
        <v>129</v>
      </c>
      <c r="AI534" s="163">
        <v>1149.9100000000001</v>
      </c>
      <c r="AJ534" s="163">
        <v>1149.9100000000001</v>
      </c>
    </row>
    <row r="535" spans="1:36">
      <c r="A535" s="173">
        <v>44013</v>
      </c>
      <c r="B535" s="182" t="s">
        <v>130</v>
      </c>
      <c r="C535" s="163" t="s">
        <v>131</v>
      </c>
      <c r="D535" s="163">
        <v>2964962020</v>
      </c>
      <c r="E535" s="163" t="s">
        <v>132</v>
      </c>
      <c r="F535" s="163">
        <v>875</v>
      </c>
      <c r="G535" s="163" t="s">
        <v>194</v>
      </c>
      <c r="H535" s="163" t="s">
        <v>144</v>
      </c>
      <c r="I535" s="163" t="s">
        <v>197</v>
      </c>
      <c r="J535" s="163" t="s">
        <v>198</v>
      </c>
      <c r="K535" s="163" t="s">
        <v>135</v>
      </c>
      <c r="L535" s="163" t="s">
        <v>205</v>
      </c>
      <c r="M535" s="163" t="s">
        <v>125</v>
      </c>
      <c r="N535" s="164">
        <v>10614.37</v>
      </c>
      <c r="O535" s="163" t="s">
        <v>136</v>
      </c>
      <c r="P535" s="164">
        <v>10614.37</v>
      </c>
      <c r="Q535" s="163" t="s">
        <v>136</v>
      </c>
      <c r="R535" s="163" t="s">
        <v>126</v>
      </c>
      <c r="S535" s="163" t="s">
        <v>2</v>
      </c>
      <c r="T535" s="163" t="s">
        <v>2</v>
      </c>
      <c r="U535" s="163" t="s">
        <v>127</v>
      </c>
      <c r="V535" s="163" t="s">
        <v>198</v>
      </c>
      <c r="W535" s="163" t="s">
        <v>198</v>
      </c>
      <c r="X535" s="163" t="s">
        <v>127</v>
      </c>
      <c r="Y535" s="165">
        <v>44013</v>
      </c>
      <c r="Z535" s="165">
        <v>44008</v>
      </c>
      <c r="AA535" s="165">
        <v>44008</v>
      </c>
      <c r="AB535" s="163" t="s">
        <v>137</v>
      </c>
      <c r="AC535" s="165">
        <v>44013</v>
      </c>
      <c r="AD535" s="163" t="s">
        <v>195</v>
      </c>
      <c r="AE535" s="163">
        <v>875</v>
      </c>
      <c r="AF535" s="163" t="s">
        <v>138</v>
      </c>
      <c r="AH535" s="163" t="s">
        <v>129</v>
      </c>
      <c r="AI535" s="163">
        <v>10614.37</v>
      </c>
      <c r="AJ535" s="163">
        <v>10614.37</v>
      </c>
    </row>
    <row r="536" spans="1:36">
      <c r="A536" s="173">
        <v>44013</v>
      </c>
      <c r="B536" s="182" t="s">
        <v>130</v>
      </c>
      <c r="C536" s="163" t="s">
        <v>131</v>
      </c>
      <c r="D536" s="163">
        <v>2964952020</v>
      </c>
      <c r="E536" s="163" t="s">
        <v>132</v>
      </c>
      <c r="F536" s="163">
        <v>875</v>
      </c>
      <c r="G536" s="163" t="s">
        <v>190</v>
      </c>
      <c r="H536" s="163" t="s">
        <v>144</v>
      </c>
      <c r="I536" s="163" t="s">
        <v>197</v>
      </c>
      <c r="J536" s="163" t="s">
        <v>198</v>
      </c>
      <c r="K536" s="163" t="s">
        <v>135</v>
      </c>
      <c r="L536" s="163" t="s">
        <v>206</v>
      </c>
      <c r="M536" s="163" t="s">
        <v>125</v>
      </c>
      <c r="N536" s="164">
        <v>10518.75</v>
      </c>
      <c r="O536" s="163" t="s">
        <v>136</v>
      </c>
      <c r="P536" s="164">
        <v>10518.75</v>
      </c>
      <c r="Q536" s="163" t="s">
        <v>136</v>
      </c>
      <c r="R536" s="163" t="s">
        <v>126</v>
      </c>
      <c r="S536" s="163" t="s">
        <v>2</v>
      </c>
      <c r="T536" s="163" t="s">
        <v>2</v>
      </c>
      <c r="U536" s="163" t="s">
        <v>127</v>
      </c>
      <c r="V536" s="163" t="s">
        <v>198</v>
      </c>
      <c r="W536" s="163" t="s">
        <v>198</v>
      </c>
      <c r="X536" s="163" t="s">
        <v>127</v>
      </c>
      <c r="Y536" s="165">
        <v>44013</v>
      </c>
      <c r="Z536" s="165">
        <v>44008</v>
      </c>
      <c r="AA536" s="165">
        <v>44008</v>
      </c>
      <c r="AB536" s="163" t="s">
        <v>137</v>
      </c>
      <c r="AC536" s="165">
        <v>44013</v>
      </c>
      <c r="AD536" s="163" t="s">
        <v>191</v>
      </c>
      <c r="AE536" s="163">
        <v>875</v>
      </c>
      <c r="AF536" s="163" t="s">
        <v>138</v>
      </c>
      <c r="AH536" s="163" t="s">
        <v>129</v>
      </c>
      <c r="AI536" s="163">
        <v>10518.75</v>
      </c>
      <c r="AJ536" s="163">
        <v>10518.75</v>
      </c>
    </row>
    <row r="537" spans="1:36">
      <c r="A537" s="173">
        <v>44013</v>
      </c>
      <c r="B537" s="182" t="s">
        <v>130</v>
      </c>
      <c r="C537" s="163" t="s">
        <v>131</v>
      </c>
      <c r="D537" s="163">
        <v>2964972020</v>
      </c>
      <c r="E537" s="163" t="s">
        <v>132</v>
      </c>
      <c r="F537" s="163">
        <v>875</v>
      </c>
      <c r="G537" s="163" t="s">
        <v>192</v>
      </c>
      <c r="H537" s="163" t="s">
        <v>144</v>
      </c>
      <c r="I537" s="163" t="s">
        <v>197</v>
      </c>
      <c r="J537" s="163" t="s">
        <v>198</v>
      </c>
      <c r="K537" s="163" t="s">
        <v>135</v>
      </c>
      <c r="L537" s="163" t="s">
        <v>207</v>
      </c>
      <c r="M537" s="163" t="s">
        <v>125</v>
      </c>
      <c r="N537" s="164">
        <v>10040.620000000001</v>
      </c>
      <c r="O537" s="163" t="s">
        <v>136</v>
      </c>
      <c r="P537" s="164">
        <v>10040.620000000001</v>
      </c>
      <c r="Q537" s="163" t="s">
        <v>136</v>
      </c>
      <c r="R537" s="163" t="s">
        <v>126</v>
      </c>
      <c r="S537" s="163" t="s">
        <v>2</v>
      </c>
      <c r="T537" s="163" t="s">
        <v>2</v>
      </c>
      <c r="U537" s="163" t="s">
        <v>127</v>
      </c>
      <c r="V537" s="163" t="s">
        <v>198</v>
      </c>
      <c r="W537" s="163" t="s">
        <v>198</v>
      </c>
      <c r="X537" s="163" t="s">
        <v>127</v>
      </c>
      <c r="Y537" s="165">
        <v>44013</v>
      </c>
      <c r="Z537" s="165">
        <v>44008</v>
      </c>
      <c r="AA537" s="165">
        <v>44008</v>
      </c>
      <c r="AB537" s="163" t="s">
        <v>137</v>
      </c>
      <c r="AC537" s="165">
        <v>44013</v>
      </c>
      <c r="AD537" s="163" t="s">
        <v>193</v>
      </c>
      <c r="AE537" s="163">
        <v>875</v>
      </c>
      <c r="AF537" s="163" t="s">
        <v>138</v>
      </c>
      <c r="AH537" s="163" t="s">
        <v>129</v>
      </c>
      <c r="AI537" s="163">
        <v>10040.620000000001</v>
      </c>
      <c r="AJ537" s="163">
        <v>10040.620000000001</v>
      </c>
    </row>
    <row r="538" spans="1:36">
      <c r="A538" s="173">
        <v>44013</v>
      </c>
      <c r="B538" s="182" t="s">
        <v>130</v>
      </c>
      <c r="C538" s="163" t="s">
        <v>131</v>
      </c>
      <c r="D538" s="163">
        <v>2751312020</v>
      </c>
      <c r="E538" s="163" t="s">
        <v>132</v>
      </c>
      <c r="F538" s="163">
        <v>875</v>
      </c>
      <c r="G538" s="163" t="s">
        <v>154</v>
      </c>
      <c r="H538" s="163" t="s">
        <v>144</v>
      </c>
      <c r="I538" s="163" t="s">
        <v>197</v>
      </c>
      <c r="J538" s="163" t="s">
        <v>198</v>
      </c>
      <c r="K538" s="163" t="s">
        <v>135</v>
      </c>
      <c r="L538" s="163" t="s">
        <v>208</v>
      </c>
      <c r="M538" s="163" t="s">
        <v>125</v>
      </c>
      <c r="N538" s="164">
        <v>16098.75</v>
      </c>
      <c r="O538" s="163" t="s">
        <v>136</v>
      </c>
      <c r="P538" s="164">
        <v>16098.75</v>
      </c>
      <c r="Q538" s="163" t="s">
        <v>136</v>
      </c>
      <c r="R538" s="163" t="s">
        <v>126</v>
      </c>
      <c r="S538" s="163" t="s">
        <v>2</v>
      </c>
      <c r="T538" s="163" t="s">
        <v>2</v>
      </c>
      <c r="U538" s="163" t="s">
        <v>127</v>
      </c>
      <c r="V538" s="163" t="s">
        <v>198</v>
      </c>
      <c r="W538" s="163" t="s">
        <v>198</v>
      </c>
      <c r="X538" s="163" t="s">
        <v>127</v>
      </c>
      <c r="Y538" s="165">
        <v>44013</v>
      </c>
      <c r="Z538" s="165">
        <v>44008</v>
      </c>
      <c r="AA538" s="165">
        <v>44008</v>
      </c>
      <c r="AB538" s="163" t="s">
        <v>137</v>
      </c>
      <c r="AC538" s="165">
        <v>44013</v>
      </c>
      <c r="AD538" s="163" t="s">
        <v>155</v>
      </c>
      <c r="AE538" s="163">
        <v>875</v>
      </c>
      <c r="AF538" s="163" t="s">
        <v>138</v>
      </c>
      <c r="AH538" s="163" t="s">
        <v>129</v>
      </c>
      <c r="AI538" s="163">
        <v>16098.75</v>
      </c>
      <c r="AJ538" s="163">
        <v>16098.75</v>
      </c>
    </row>
    <row r="539" spans="1:36">
      <c r="A539" s="173">
        <v>44013</v>
      </c>
      <c r="B539" s="182" t="s">
        <v>130</v>
      </c>
      <c r="C539" s="163" t="s">
        <v>131</v>
      </c>
      <c r="D539" s="163">
        <v>2298942020</v>
      </c>
      <c r="E539" s="163" t="s">
        <v>132</v>
      </c>
      <c r="F539" s="163">
        <v>875</v>
      </c>
      <c r="G539" s="163" t="s">
        <v>157</v>
      </c>
      <c r="H539" s="163" t="s">
        <v>144</v>
      </c>
      <c r="I539" s="163" t="s">
        <v>197</v>
      </c>
      <c r="J539" s="163" t="s">
        <v>198</v>
      </c>
      <c r="K539" s="163" t="s">
        <v>135</v>
      </c>
      <c r="L539" s="163" t="s">
        <v>209</v>
      </c>
      <c r="M539" s="163" t="s">
        <v>125</v>
      </c>
      <c r="N539" s="164">
        <v>18044.349999999999</v>
      </c>
      <c r="O539" s="163" t="s">
        <v>136</v>
      </c>
      <c r="P539" s="164">
        <v>18044.349999999999</v>
      </c>
      <c r="Q539" s="163" t="s">
        <v>136</v>
      </c>
      <c r="R539" s="163" t="s">
        <v>126</v>
      </c>
      <c r="S539" s="163" t="s">
        <v>2</v>
      </c>
      <c r="T539" s="163" t="s">
        <v>2</v>
      </c>
      <c r="U539" s="163" t="s">
        <v>127</v>
      </c>
      <c r="V539" s="163" t="s">
        <v>198</v>
      </c>
      <c r="W539" s="163" t="s">
        <v>198</v>
      </c>
      <c r="X539" s="163" t="s">
        <v>127</v>
      </c>
      <c r="Y539" s="165">
        <v>44013</v>
      </c>
      <c r="Z539" s="165">
        <v>44008</v>
      </c>
      <c r="AA539" s="165">
        <v>44008</v>
      </c>
      <c r="AB539" s="163" t="s">
        <v>137</v>
      </c>
      <c r="AC539" s="165">
        <v>44013</v>
      </c>
      <c r="AD539" s="163" t="s">
        <v>158</v>
      </c>
      <c r="AE539" s="163">
        <v>875</v>
      </c>
      <c r="AF539" s="163" t="s">
        <v>138</v>
      </c>
      <c r="AH539" s="163" t="s">
        <v>129</v>
      </c>
      <c r="AI539" s="163">
        <v>18044.349999999999</v>
      </c>
      <c r="AJ539" s="163">
        <v>18044.349999999999</v>
      </c>
    </row>
    <row r="540" spans="1:36">
      <c r="A540" s="173">
        <v>44013</v>
      </c>
      <c r="B540" s="182" t="s">
        <v>130</v>
      </c>
      <c r="C540" s="163" t="s">
        <v>131</v>
      </c>
      <c r="D540" s="163">
        <v>2964882020</v>
      </c>
      <c r="E540" s="163" t="s">
        <v>132</v>
      </c>
      <c r="F540" s="163">
        <v>875</v>
      </c>
      <c r="G540" s="163" t="s">
        <v>156</v>
      </c>
      <c r="H540" s="163" t="s">
        <v>144</v>
      </c>
      <c r="I540" s="163" t="s">
        <v>197</v>
      </c>
      <c r="J540" s="163" t="s">
        <v>198</v>
      </c>
      <c r="K540" s="163" t="s">
        <v>135</v>
      </c>
      <c r="L540" s="163" t="s">
        <v>210</v>
      </c>
      <c r="M540" s="163" t="s">
        <v>125</v>
      </c>
      <c r="N540" s="164">
        <v>14765.62</v>
      </c>
      <c r="O540" s="163" t="s">
        <v>136</v>
      </c>
      <c r="P540" s="164">
        <v>14765.62</v>
      </c>
      <c r="Q540" s="163" t="s">
        <v>136</v>
      </c>
      <c r="R540" s="163" t="s">
        <v>126</v>
      </c>
      <c r="S540" s="163" t="s">
        <v>2</v>
      </c>
      <c r="T540" s="163" t="s">
        <v>2</v>
      </c>
      <c r="U540" s="163" t="s">
        <v>127</v>
      </c>
      <c r="V540" s="163" t="s">
        <v>198</v>
      </c>
      <c r="W540" s="163" t="s">
        <v>198</v>
      </c>
      <c r="X540" s="163" t="s">
        <v>127</v>
      </c>
      <c r="Y540" s="165">
        <v>44013</v>
      </c>
      <c r="Z540" s="165">
        <v>44008</v>
      </c>
      <c r="AA540" s="165">
        <v>44008</v>
      </c>
      <c r="AB540" s="163" t="s">
        <v>137</v>
      </c>
      <c r="AC540" s="165">
        <v>44013</v>
      </c>
      <c r="AD540" s="163" t="s">
        <v>166</v>
      </c>
      <c r="AE540" s="163">
        <v>875</v>
      </c>
      <c r="AF540" s="163" t="s">
        <v>138</v>
      </c>
      <c r="AH540" s="163" t="s">
        <v>129</v>
      </c>
      <c r="AI540" s="163">
        <v>14765.62</v>
      </c>
      <c r="AJ540" s="163">
        <v>14765.62</v>
      </c>
    </row>
    <row r="541" spans="1:36">
      <c r="A541" s="173">
        <v>44013</v>
      </c>
      <c r="B541" s="182" t="s">
        <v>130</v>
      </c>
      <c r="C541" s="163" t="s">
        <v>131</v>
      </c>
      <c r="D541" s="163">
        <v>2298942020</v>
      </c>
      <c r="E541" s="163" t="s">
        <v>132</v>
      </c>
      <c r="F541" s="163">
        <v>875</v>
      </c>
      <c r="G541" s="163" t="s">
        <v>157</v>
      </c>
      <c r="H541" s="163" t="s">
        <v>144</v>
      </c>
      <c r="I541" s="163" t="s">
        <v>197</v>
      </c>
      <c r="J541" s="163" t="s">
        <v>198</v>
      </c>
      <c r="K541" s="163" t="s">
        <v>135</v>
      </c>
      <c r="L541" s="163" t="s">
        <v>211</v>
      </c>
      <c r="M541" s="163" t="s">
        <v>125</v>
      </c>
      <c r="N541" s="164">
        <v>788.16</v>
      </c>
      <c r="O541" s="163" t="s">
        <v>136</v>
      </c>
      <c r="P541" s="164">
        <v>788.16</v>
      </c>
      <c r="Q541" s="163" t="s">
        <v>136</v>
      </c>
      <c r="R541" s="163" t="s">
        <v>126</v>
      </c>
      <c r="S541" s="163" t="s">
        <v>2</v>
      </c>
      <c r="T541" s="163" t="s">
        <v>2</v>
      </c>
      <c r="U541" s="163" t="s">
        <v>127</v>
      </c>
      <c r="V541" s="163" t="s">
        <v>198</v>
      </c>
      <c r="W541" s="163" t="s">
        <v>198</v>
      </c>
      <c r="X541" s="163" t="s">
        <v>127</v>
      </c>
      <c r="Y541" s="165">
        <v>44013</v>
      </c>
      <c r="Z541" s="165">
        <v>44008</v>
      </c>
      <c r="AA541" s="165">
        <v>44008</v>
      </c>
      <c r="AB541" s="163" t="s">
        <v>137</v>
      </c>
      <c r="AC541" s="165">
        <v>44013</v>
      </c>
      <c r="AD541" s="163" t="s">
        <v>212</v>
      </c>
      <c r="AE541" s="163">
        <v>875</v>
      </c>
      <c r="AF541" s="163" t="s">
        <v>138</v>
      </c>
      <c r="AH541" s="163" t="s">
        <v>129</v>
      </c>
      <c r="AI541" s="163">
        <v>788.16</v>
      </c>
      <c r="AJ541" s="163">
        <v>788.16</v>
      </c>
    </row>
    <row r="542" spans="1:36">
      <c r="A542" s="173">
        <v>44013</v>
      </c>
      <c r="B542" s="182" t="s">
        <v>130</v>
      </c>
      <c r="C542" s="163" t="s">
        <v>131</v>
      </c>
      <c r="D542" s="163">
        <v>3010342020</v>
      </c>
      <c r="E542" s="163" t="s">
        <v>132</v>
      </c>
      <c r="F542" s="163">
        <v>875</v>
      </c>
      <c r="G542" s="163" t="s">
        <v>213</v>
      </c>
      <c r="H542" s="163" t="s">
        <v>144</v>
      </c>
      <c r="I542" s="163" t="s">
        <v>197</v>
      </c>
      <c r="J542" s="163" t="s">
        <v>198</v>
      </c>
      <c r="K542" s="163" t="s">
        <v>135</v>
      </c>
      <c r="L542" s="163" t="s">
        <v>214</v>
      </c>
      <c r="M542" s="163" t="s">
        <v>125</v>
      </c>
      <c r="N542" s="164">
        <v>8280</v>
      </c>
      <c r="O542" s="163" t="s">
        <v>136</v>
      </c>
      <c r="P542" s="164">
        <v>8280</v>
      </c>
      <c r="Q542" s="163" t="s">
        <v>136</v>
      </c>
      <c r="R542" s="163" t="s">
        <v>126</v>
      </c>
      <c r="S542" s="163" t="s">
        <v>2</v>
      </c>
      <c r="T542" s="163" t="s">
        <v>2</v>
      </c>
      <c r="U542" s="163" t="s">
        <v>127</v>
      </c>
      <c r="V542" s="163" t="s">
        <v>198</v>
      </c>
      <c r="W542" s="163" t="s">
        <v>198</v>
      </c>
      <c r="X542" s="163" t="s">
        <v>127</v>
      </c>
      <c r="Y542" s="165">
        <v>44013</v>
      </c>
      <c r="Z542" s="165">
        <v>44008</v>
      </c>
      <c r="AA542" s="165">
        <v>44008</v>
      </c>
      <c r="AB542" s="163" t="s">
        <v>137</v>
      </c>
      <c r="AC542" s="165">
        <v>44013</v>
      </c>
      <c r="AD542" s="163" t="s">
        <v>215</v>
      </c>
      <c r="AE542" s="163">
        <v>875</v>
      </c>
      <c r="AF542" s="163" t="s">
        <v>138</v>
      </c>
      <c r="AH542" s="163" t="s">
        <v>129</v>
      </c>
      <c r="AI542" s="163">
        <v>8280</v>
      </c>
      <c r="AJ542" s="163">
        <v>8280</v>
      </c>
    </row>
    <row r="543" spans="1:36">
      <c r="A543" s="173">
        <v>44013</v>
      </c>
      <c r="B543" s="182" t="s">
        <v>130</v>
      </c>
      <c r="C543" s="163" t="s">
        <v>131</v>
      </c>
      <c r="D543" s="163">
        <v>2159352020</v>
      </c>
      <c r="E543" s="163" t="s">
        <v>132</v>
      </c>
      <c r="F543" s="163">
        <v>875</v>
      </c>
      <c r="G543" s="163" t="s">
        <v>160</v>
      </c>
      <c r="H543" s="163" t="s">
        <v>144</v>
      </c>
      <c r="I543" s="163" t="s">
        <v>197</v>
      </c>
      <c r="J543" s="163" t="s">
        <v>198</v>
      </c>
      <c r="K543" s="163" t="s">
        <v>135</v>
      </c>
      <c r="L543" s="163" t="s">
        <v>216</v>
      </c>
      <c r="M543" s="163" t="s">
        <v>125</v>
      </c>
      <c r="N543" s="164">
        <v>457.68</v>
      </c>
      <c r="O543" s="163" t="s">
        <v>136</v>
      </c>
      <c r="P543" s="164">
        <v>457.68</v>
      </c>
      <c r="Q543" s="163" t="s">
        <v>136</v>
      </c>
      <c r="R543" s="163" t="s">
        <v>126</v>
      </c>
      <c r="S543" s="163" t="s">
        <v>2</v>
      </c>
      <c r="T543" s="163" t="s">
        <v>2</v>
      </c>
      <c r="U543" s="163" t="s">
        <v>127</v>
      </c>
      <c r="V543" s="163" t="s">
        <v>198</v>
      </c>
      <c r="W543" s="163" t="s">
        <v>198</v>
      </c>
      <c r="X543" s="163" t="s">
        <v>127</v>
      </c>
      <c r="Y543" s="165">
        <v>44013</v>
      </c>
      <c r="Z543" s="165">
        <v>44008</v>
      </c>
      <c r="AA543" s="165">
        <v>44008</v>
      </c>
      <c r="AB543" s="163" t="s">
        <v>137</v>
      </c>
      <c r="AC543" s="165">
        <v>44013</v>
      </c>
      <c r="AD543" s="163" t="s">
        <v>217</v>
      </c>
      <c r="AE543" s="163">
        <v>875</v>
      </c>
      <c r="AF543" s="163" t="s">
        <v>138</v>
      </c>
      <c r="AH543" s="163" t="s">
        <v>129</v>
      </c>
      <c r="AI543" s="163">
        <v>457.68</v>
      </c>
      <c r="AJ543" s="163">
        <v>457.68</v>
      </c>
    </row>
    <row r="544" spans="1:36">
      <c r="A544" s="173">
        <v>44013</v>
      </c>
      <c r="B544" s="182" t="s">
        <v>130</v>
      </c>
      <c r="C544" s="163" t="s">
        <v>131</v>
      </c>
      <c r="D544" s="163">
        <v>2101142020</v>
      </c>
      <c r="E544" s="163" t="s">
        <v>132</v>
      </c>
      <c r="F544" s="163">
        <v>875</v>
      </c>
      <c r="G544" s="163" t="s">
        <v>160</v>
      </c>
      <c r="H544" s="163" t="s">
        <v>144</v>
      </c>
      <c r="I544" s="163" t="s">
        <v>197</v>
      </c>
      <c r="J544" s="163" t="s">
        <v>198</v>
      </c>
      <c r="K544" s="163" t="s">
        <v>135</v>
      </c>
      <c r="L544" s="163" t="s">
        <v>218</v>
      </c>
      <c r="M544" s="163" t="s">
        <v>125</v>
      </c>
      <c r="N544" s="164">
        <v>4098.08</v>
      </c>
      <c r="O544" s="163" t="s">
        <v>136</v>
      </c>
      <c r="P544" s="164">
        <v>4098.08</v>
      </c>
      <c r="Q544" s="163" t="s">
        <v>136</v>
      </c>
      <c r="R544" s="163" t="s">
        <v>126</v>
      </c>
      <c r="S544" s="163" t="s">
        <v>2</v>
      </c>
      <c r="T544" s="163" t="s">
        <v>2</v>
      </c>
      <c r="U544" s="163" t="s">
        <v>127</v>
      </c>
      <c r="V544" s="163" t="s">
        <v>198</v>
      </c>
      <c r="W544" s="163" t="s">
        <v>198</v>
      </c>
      <c r="X544" s="163" t="s">
        <v>127</v>
      </c>
      <c r="Y544" s="165">
        <v>44013</v>
      </c>
      <c r="Z544" s="165">
        <v>44008</v>
      </c>
      <c r="AA544" s="165">
        <v>44008</v>
      </c>
      <c r="AB544" s="163" t="s">
        <v>137</v>
      </c>
      <c r="AC544" s="165">
        <v>44013</v>
      </c>
      <c r="AD544" s="163" t="s">
        <v>167</v>
      </c>
      <c r="AE544" s="163">
        <v>875</v>
      </c>
      <c r="AF544" s="163" t="s">
        <v>138</v>
      </c>
      <c r="AH544" s="163" t="s">
        <v>129</v>
      </c>
      <c r="AI544" s="163">
        <v>4098.08</v>
      </c>
      <c r="AJ544" s="163">
        <v>4098.08</v>
      </c>
    </row>
    <row r="545" spans="1:36">
      <c r="A545" s="173">
        <v>44013</v>
      </c>
      <c r="B545" s="182" t="s">
        <v>130</v>
      </c>
      <c r="C545" s="163" t="s">
        <v>131</v>
      </c>
      <c r="D545" s="163">
        <v>2101132020</v>
      </c>
      <c r="E545" s="163" t="s">
        <v>132</v>
      </c>
      <c r="F545" s="163">
        <v>875</v>
      </c>
      <c r="G545" s="163" t="s">
        <v>160</v>
      </c>
      <c r="H545" s="163" t="s">
        <v>144</v>
      </c>
      <c r="I545" s="163" t="s">
        <v>197</v>
      </c>
      <c r="J545" s="163" t="s">
        <v>198</v>
      </c>
      <c r="K545" s="163" t="s">
        <v>135</v>
      </c>
      <c r="L545" s="163" t="s">
        <v>219</v>
      </c>
      <c r="M545" s="163" t="s">
        <v>125</v>
      </c>
      <c r="N545" s="164">
        <v>5479.55</v>
      </c>
      <c r="O545" s="163" t="s">
        <v>136</v>
      </c>
      <c r="P545" s="164">
        <v>5479.55</v>
      </c>
      <c r="Q545" s="163" t="s">
        <v>136</v>
      </c>
      <c r="R545" s="163" t="s">
        <v>126</v>
      </c>
      <c r="S545" s="163" t="s">
        <v>2</v>
      </c>
      <c r="T545" s="163" t="s">
        <v>2</v>
      </c>
      <c r="U545" s="163" t="s">
        <v>127</v>
      </c>
      <c r="V545" s="163" t="s">
        <v>198</v>
      </c>
      <c r="W545" s="163" t="s">
        <v>198</v>
      </c>
      <c r="X545" s="163" t="s">
        <v>127</v>
      </c>
      <c r="Y545" s="165">
        <v>44013</v>
      </c>
      <c r="Z545" s="165">
        <v>44008</v>
      </c>
      <c r="AA545" s="165">
        <v>44008</v>
      </c>
      <c r="AB545" s="163" t="s">
        <v>137</v>
      </c>
      <c r="AC545" s="165">
        <v>44013</v>
      </c>
      <c r="AD545" s="163" t="s">
        <v>168</v>
      </c>
      <c r="AE545" s="163">
        <v>875</v>
      </c>
      <c r="AF545" s="163" t="s">
        <v>138</v>
      </c>
      <c r="AH545" s="163" t="s">
        <v>129</v>
      </c>
      <c r="AI545" s="163">
        <v>5479.55</v>
      </c>
      <c r="AJ545" s="163">
        <v>5479.55</v>
      </c>
    </row>
    <row r="546" spans="1:36">
      <c r="A546" s="173">
        <v>44013</v>
      </c>
      <c r="B546" s="182" t="s">
        <v>130</v>
      </c>
      <c r="C546" s="163" t="s">
        <v>131</v>
      </c>
      <c r="D546" s="163">
        <v>2159352020</v>
      </c>
      <c r="E546" s="163" t="s">
        <v>132</v>
      </c>
      <c r="F546" s="163">
        <v>875</v>
      </c>
      <c r="G546" s="163" t="s">
        <v>160</v>
      </c>
      <c r="H546" s="163" t="s">
        <v>144</v>
      </c>
      <c r="I546" s="163" t="s">
        <v>197</v>
      </c>
      <c r="J546" s="163" t="s">
        <v>198</v>
      </c>
      <c r="K546" s="163" t="s">
        <v>135</v>
      </c>
      <c r="L546" s="163" t="s">
        <v>220</v>
      </c>
      <c r="M546" s="163" t="s">
        <v>125</v>
      </c>
      <c r="N546" s="164">
        <v>109283.94</v>
      </c>
      <c r="O546" s="163" t="s">
        <v>136</v>
      </c>
      <c r="P546" s="164">
        <v>109283.94</v>
      </c>
      <c r="Q546" s="163" t="s">
        <v>136</v>
      </c>
      <c r="R546" s="163" t="s">
        <v>126</v>
      </c>
      <c r="S546" s="163" t="s">
        <v>2</v>
      </c>
      <c r="T546" s="163" t="s">
        <v>2</v>
      </c>
      <c r="U546" s="163" t="s">
        <v>127</v>
      </c>
      <c r="V546" s="163" t="s">
        <v>198</v>
      </c>
      <c r="W546" s="163" t="s">
        <v>198</v>
      </c>
      <c r="X546" s="163" t="s">
        <v>127</v>
      </c>
      <c r="Y546" s="165">
        <v>44013</v>
      </c>
      <c r="Z546" s="165">
        <v>44008</v>
      </c>
      <c r="AA546" s="165">
        <v>44008</v>
      </c>
      <c r="AB546" s="163" t="s">
        <v>137</v>
      </c>
      <c r="AC546" s="165">
        <v>44013</v>
      </c>
      <c r="AD546" s="163" t="s">
        <v>221</v>
      </c>
      <c r="AE546" s="163">
        <v>875</v>
      </c>
      <c r="AF546" s="163" t="s">
        <v>138</v>
      </c>
      <c r="AH546" s="163" t="s">
        <v>129</v>
      </c>
      <c r="AI546" s="163">
        <v>109283.94</v>
      </c>
      <c r="AJ546" s="163">
        <v>109283.94</v>
      </c>
    </row>
    <row r="547" spans="1:36">
      <c r="A547" s="173">
        <v>44013</v>
      </c>
      <c r="B547" s="182" t="s">
        <v>130</v>
      </c>
      <c r="C547" s="163" t="s">
        <v>131</v>
      </c>
      <c r="D547" s="163">
        <v>2101142020</v>
      </c>
      <c r="E547" s="163" t="s">
        <v>132</v>
      </c>
      <c r="F547" s="163">
        <v>875</v>
      </c>
      <c r="G547" s="163" t="s">
        <v>160</v>
      </c>
      <c r="H547" s="163" t="s">
        <v>144</v>
      </c>
      <c r="I547" s="163" t="s">
        <v>197</v>
      </c>
      <c r="J547" s="163" t="s">
        <v>198</v>
      </c>
      <c r="K547" s="163" t="s">
        <v>135</v>
      </c>
      <c r="L547" s="163" t="s">
        <v>222</v>
      </c>
      <c r="M547" s="163" t="s">
        <v>125</v>
      </c>
      <c r="N547" s="164">
        <v>19306.62</v>
      </c>
      <c r="O547" s="163" t="s">
        <v>136</v>
      </c>
      <c r="P547" s="164">
        <v>19306.62</v>
      </c>
      <c r="Q547" s="163" t="s">
        <v>136</v>
      </c>
      <c r="R547" s="163" t="s">
        <v>126</v>
      </c>
      <c r="S547" s="163" t="s">
        <v>2</v>
      </c>
      <c r="T547" s="163" t="s">
        <v>2</v>
      </c>
      <c r="U547" s="163" t="s">
        <v>127</v>
      </c>
      <c r="V547" s="163" t="s">
        <v>198</v>
      </c>
      <c r="W547" s="163" t="s">
        <v>198</v>
      </c>
      <c r="X547" s="163" t="s">
        <v>127</v>
      </c>
      <c r="Y547" s="165">
        <v>44013</v>
      </c>
      <c r="Z547" s="165">
        <v>44008</v>
      </c>
      <c r="AA547" s="165">
        <v>44008</v>
      </c>
      <c r="AB547" s="163" t="s">
        <v>137</v>
      </c>
      <c r="AC547" s="165">
        <v>44013</v>
      </c>
      <c r="AD547" s="163" t="s">
        <v>223</v>
      </c>
      <c r="AE547" s="163">
        <v>875</v>
      </c>
      <c r="AF547" s="163" t="s">
        <v>138</v>
      </c>
      <c r="AH547" s="163" t="s">
        <v>129</v>
      </c>
      <c r="AI547" s="163">
        <v>19306.62</v>
      </c>
      <c r="AJ547" s="163">
        <v>19306.62</v>
      </c>
    </row>
    <row r="548" spans="1:36">
      <c r="A548" s="173">
        <v>44013</v>
      </c>
      <c r="B548" s="182" t="s">
        <v>130</v>
      </c>
      <c r="C548" s="163" t="s">
        <v>131</v>
      </c>
      <c r="D548" s="163">
        <v>2101132020</v>
      </c>
      <c r="E548" s="163" t="s">
        <v>132</v>
      </c>
      <c r="F548" s="163">
        <v>875</v>
      </c>
      <c r="G548" s="163" t="s">
        <v>160</v>
      </c>
      <c r="H548" s="163" t="s">
        <v>144</v>
      </c>
      <c r="I548" s="163" t="s">
        <v>197</v>
      </c>
      <c r="J548" s="163" t="s">
        <v>198</v>
      </c>
      <c r="K548" s="163" t="s">
        <v>135</v>
      </c>
      <c r="L548" s="163" t="s">
        <v>224</v>
      </c>
      <c r="M548" s="163" t="s">
        <v>125</v>
      </c>
      <c r="N548" s="164">
        <v>27888.52</v>
      </c>
      <c r="O548" s="163" t="s">
        <v>136</v>
      </c>
      <c r="P548" s="164">
        <v>27888.52</v>
      </c>
      <c r="Q548" s="163" t="s">
        <v>136</v>
      </c>
      <c r="R548" s="163" t="s">
        <v>126</v>
      </c>
      <c r="S548" s="163" t="s">
        <v>2</v>
      </c>
      <c r="T548" s="163" t="s">
        <v>2</v>
      </c>
      <c r="U548" s="163" t="s">
        <v>127</v>
      </c>
      <c r="V548" s="163" t="s">
        <v>198</v>
      </c>
      <c r="W548" s="163" t="s">
        <v>198</v>
      </c>
      <c r="X548" s="163" t="s">
        <v>127</v>
      </c>
      <c r="Y548" s="165">
        <v>44013</v>
      </c>
      <c r="Z548" s="165">
        <v>44008</v>
      </c>
      <c r="AA548" s="165">
        <v>44008</v>
      </c>
      <c r="AB548" s="163" t="s">
        <v>137</v>
      </c>
      <c r="AC548" s="165">
        <v>44013</v>
      </c>
      <c r="AD548" s="163" t="s">
        <v>196</v>
      </c>
      <c r="AE548" s="163">
        <v>875</v>
      </c>
      <c r="AF548" s="163" t="s">
        <v>138</v>
      </c>
      <c r="AH548" s="163" t="s">
        <v>129</v>
      </c>
      <c r="AI548" s="163">
        <v>27888.52</v>
      </c>
      <c r="AJ548" s="163">
        <v>27888.52</v>
      </c>
    </row>
    <row r="549" spans="1:36">
      <c r="A549" s="173">
        <v>44013</v>
      </c>
      <c r="B549" s="182" t="s">
        <v>130</v>
      </c>
      <c r="C549" s="163" t="s">
        <v>131</v>
      </c>
      <c r="D549" s="163">
        <v>2159352020</v>
      </c>
      <c r="E549" s="163" t="s">
        <v>132</v>
      </c>
      <c r="F549" s="163">
        <v>875</v>
      </c>
      <c r="G549" s="163" t="s">
        <v>160</v>
      </c>
      <c r="H549" s="163" t="s">
        <v>144</v>
      </c>
      <c r="I549" s="163" t="s">
        <v>197</v>
      </c>
      <c r="J549" s="163" t="s">
        <v>198</v>
      </c>
      <c r="K549" s="163" t="s">
        <v>135</v>
      </c>
      <c r="L549" s="163" t="s">
        <v>225</v>
      </c>
      <c r="M549" s="163" t="s">
        <v>125</v>
      </c>
      <c r="N549" s="164">
        <v>1886.52</v>
      </c>
      <c r="O549" s="163" t="s">
        <v>136</v>
      </c>
      <c r="P549" s="164">
        <v>1886.52</v>
      </c>
      <c r="Q549" s="163" t="s">
        <v>136</v>
      </c>
      <c r="R549" s="163" t="s">
        <v>126</v>
      </c>
      <c r="S549" s="163" t="s">
        <v>2</v>
      </c>
      <c r="T549" s="163" t="s">
        <v>2</v>
      </c>
      <c r="U549" s="163" t="s">
        <v>127</v>
      </c>
      <c r="V549" s="163" t="s">
        <v>198</v>
      </c>
      <c r="W549" s="163" t="s">
        <v>198</v>
      </c>
      <c r="X549" s="163" t="s">
        <v>127</v>
      </c>
      <c r="Y549" s="165">
        <v>44013</v>
      </c>
      <c r="Z549" s="165">
        <v>44008</v>
      </c>
      <c r="AA549" s="165">
        <v>44008</v>
      </c>
      <c r="AB549" s="163" t="s">
        <v>137</v>
      </c>
      <c r="AC549" s="165">
        <v>44013</v>
      </c>
      <c r="AD549" s="163" t="s">
        <v>226</v>
      </c>
      <c r="AE549" s="163">
        <v>875</v>
      </c>
      <c r="AF549" s="163" t="s">
        <v>138</v>
      </c>
      <c r="AH549" s="163" t="s">
        <v>129</v>
      </c>
      <c r="AI549" s="163">
        <v>1886.52</v>
      </c>
      <c r="AJ549" s="163">
        <v>1886.52</v>
      </c>
    </row>
    <row r="550" spans="1:36">
      <c r="A550" s="173">
        <v>44013</v>
      </c>
      <c r="B550" s="182" t="s">
        <v>130</v>
      </c>
      <c r="C550" s="163" t="s">
        <v>131</v>
      </c>
      <c r="D550" s="163">
        <v>2101142020</v>
      </c>
      <c r="E550" s="163" t="s">
        <v>132</v>
      </c>
      <c r="F550" s="163">
        <v>875</v>
      </c>
      <c r="G550" s="163" t="s">
        <v>160</v>
      </c>
      <c r="H550" s="163" t="s">
        <v>144</v>
      </c>
      <c r="I550" s="163" t="s">
        <v>197</v>
      </c>
      <c r="J550" s="163" t="s">
        <v>198</v>
      </c>
      <c r="K550" s="163" t="s">
        <v>135</v>
      </c>
      <c r="L550" s="163" t="s">
        <v>227</v>
      </c>
      <c r="M550" s="163" t="s">
        <v>125</v>
      </c>
      <c r="N550" s="164">
        <v>21778.12</v>
      </c>
      <c r="O550" s="163" t="s">
        <v>136</v>
      </c>
      <c r="P550" s="164">
        <v>21778.12</v>
      </c>
      <c r="Q550" s="163" t="s">
        <v>136</v>
      </c>
      <c r="R550" s="163" t="s">
        <v>126</v>
      </c>
      <c r="S550" s="163" t="s">
        <v>2</v>
      </c>
      <c r="T550" s="163" t="s">
        <v>2</v>
      </c>
      <c r="U550" s="163" t="s">
        <v>127</v>
      </c>
      <c r="V550" s="163" t="s">
        <v>198</v>
      </c>
      <c r="W550" s="163" t="s">
        <v>198</v>
      </c>
      <c r="X550" s="163" t="s">
        <v>127</v>
      </c>
      <c r="Y550" s="165">
        <v>44013</v>
      </c>
      <c r="Z550" s="165">
        <v>44008</v>
      </c>
      <c r="AA550" s="165">
        <v>44008</v>
      </c>
      <c r="AB550" s="163" t="s">
        <v>137</v>
      </c>
      <c r="AC550" s="165">
        <v>44013</v>
      </c>
      <c r="AD550" s="163" t="s">
        <v>162</v>
      </c>
      <c r="AE550" s="163">
        <v>875</v>
      </c>
      <c r="AF550" s="163" t="s">
        <v>138</v>
      </c>
      <c r="AH550" s="163" t="s">
        <v>129</v>
      </c>
      <c r="AI550" s="163">
        <v>21778.12</v>
      </c>
      <c r="AJ550" s="163">
        <v>21778.12</v>
      </c>
    </row>
    <row r="551" spans="1:36">
      <c r="A551" s="173">
        <v>44013</v>
      </c>
      <c r="B551" s="182" t="s">
        <v>130</v>
      </c>
      <c r="C551" s="163" t="s">
        <v>131</v>
      </c>
      <c r="D551" s="163">
        <v>2101132020</v>
      </c>
      <c r="E551" s="163" t="s">
        <v>132</v>
      </c>
      <c r="F551" s="163">
        <v>875</v>
      </c>
      <c r="G551" s="163" t="s">
        <v>160</v>
      </c>
      <c r="H551" s="163" t="s">
        <v>144</v>
      </c>
      <c r="I551" s="163" t="s">
        <v>197</v>
      </c>
      <c r="J551" s="163" t="s">
        <v>198</v>
      </c>
      <c r="K551" s="163" t="s">
        <v>135</v>
      </c>
      <c r="L551" s="163" t="s">
        <v>228</v>
      </c>
      <c r="M551" s="163" t="s">
        <v>125</v>
      </c>
      <c r="N551" s="164">
        <v>28758.29</v>
      </c>
      <c r="O551" s="163" t="s">
        <v>136</v>
      </c>
      <c r="P551" s="164">
        <v>28758.29</v>
      </c>
      <c r="Q551" s="163" t="s">
        <v>136</v>
      </c>
      <c r="R551" s="163" t="s">
        <v>126</v>
      </c>
      <c r="S551" s="163" t="s">
        <v>2</v>
      </c>
      <c r="T551" s="163" t="s">
        <v>2</v>
      </c>
      <c r="U551" s="163" t="s">
        <v>127</v>
      </c>
      <c r="V551" s="163" t="s">
        <v>198</v>
      </c>
      <c r="W551" s="163" t="s">
        <v>198</v>
      </c>
      <c r="X551" s="163" t="s">
        <v>127</v>
      </c>
      <c r="Y551" s="165">
        <v>44013</v>
      </c>
      <c r="Z551" s="165">
        <v>44008</v>
      </c>
      <c r="AA551" s="165">
        <v>44008</v>
      </c>
      <c r="AB551" s="163" t="s">
        <v>137</v>
      </c>
      <c r="AC551" s="165">
        <v>44013</v>
      </c>
      <c r="AD551" s="163" t="s">
        <v>161</v>
      </c>
      <c r="AE551" s="163">
        <v>875</v>
      </c>
      <c r="AF551" s="163" t="s">
        <v>138</v>
      </c>
      <c r="AH551" s="163" t="s">
        <v>129</v>
      </c>
      <c r="AI551" s="163">
        <v>28758.29</v>
      </c>
      <c r="AJ551" s="163">
        <v>28758.29</v>
      </c>
    </row>
    <row r="552" spans="1:36">
      <c r="A552" s="173">
        <v>44013</v>
      </c>
      <c r="B552" s="182" t="s">
        <v>130</v>
      </c>
      <c r="C552" s="163" t="s">
        <v>131</v>
      </c>
      <c r="D552" s="163">
        <v>2353342020</v>
      </c>
      <c r="E552" s="163" t="s">
        <v>132</v>
      </c>
      <c r="F552" s="163">
        <v>875</v>
      </c>
      <c r="G552" s="163" t="s">
        <v>178</v>
      </c>
      <c r="H552" s="163" t="s">
        <v>144</v>
      </c>
      <c r="I552" s="163" t="s">
        <v>197</v>
      </c>
      <c r="J552" s="163" t="s">
        <v>198</v>
      </c>
      <c r="K552" s="163" t="s">
        <v>135</v>
      </c>
      <c r="L552" s="163" t="s">
        <v>229</v>
      </c>
      <c r="M552" s="163" t="s">
        <v>125</v>
      </c>
      <c r="N552" s="164">
        <v>914.17</v>
      </c>
      <c r="O552" s="163" t="s">
        <v>136</v>
      </c>
      <c r="P552" s="164">
        <v>914.17</v>
      </c>
      <c r="Q552" s="163" t="s">
        <v>136</v>
      </c>
      <c r="R552" s="163" t="s">
        <v>126</v>
      </c>
      <c r="S552" s="163" t="s">
        <v>2</v>
      </c>
      <c r="T552" s="163" t="s">
        <v>2</v>
      </c>
      <c r="U552" s="163" t="s">
        <v>127</v>
      </c>
      <c r="V552" s="163" t="s">
        <v>198</v>
      </c>
      <c r="W552" s="163" t="s">
        <v>198</v>
      </c>
      <c r="X552" s="163" t="s">
        <v>127</v>
      </c>
      <c r="Y552" s="165">
        <v>44013</v>
      </c>
      <c r="Z552" s="165">
        <v>44008</v>
      </c>
      <c r="AA552" s="165">
        <v>44008</v>
      </c>
      <c r="AB552" s="163" t="s">
        <v>137</v>
      </c>
      <c r="AC552" s="165">
        <v>44013</v>
      </c>
      <c r="AD552" s="163" t="s">
        <v>188</v>
      </c>
      <c r="AE552" s="163">
        <v>875</v>
      </c>
      <c r="AF552" s="163" t="s">
        <v>138</v>
      </c>
      <c r="AH552" s="163" t="s">
        <v>129</v>
      </c>
      <c r="AI552" s="163">
        <v>914.17</v>
      </c>
      <c r="AJ552" s="163">
        <v>914.17</v>
      </c>
    </row>
    <row r="553" spans="1:36">
      <c r="A553" s="173">
        <v>44013</v>
      </c>
      <c r="B553" s="182" t="s">
        <v>130</v>
      </c>
      <c r="C553" s="163" t="s">
        <v>131</v>
      </c>
      <c r="D553" s="163">
        <v>3013772020</v>
      </c>
      <c r="E553" s="163" t="s">
        <v>132</v>
      </c>
      <c r="F553" s="163">
        <v>875</v>
      </c>
      <c r="G553" s="163" t="s">
        <v>163</v>
      </c>
      <c r="H553" s="163" t="s">
        <v>144</v>
      </c>
      <c r="I553" s="163" t="s">
        <v>197</v>
      </c>
      <c r="J553" s="163" t="s">
        <v>198</v>
      </c>
      <c r="K553" s="163" t="s">
        <v>135</v>
      </c>
      <c r="L553" s="163" t="s">
        <v>230</v>
      </c>
      <c r="M553" s="163" t="s">
        <v>125</v>
      </c>
      <c r="N553" s="164">
        <v>19.53</v>
      </c>
      <c r="O553" s="163" t="s">
        <v>136</v>
      </c>
      <c r="P553" s="164">
        <v>19.53</v>
      </c>
      <c r="Q553" s="163" t="s">
        <v>136</v>
      </c>
      <c r="R553" s="163" t="s">
        <v>126</v>
      </c>
      <c r="S553" s="163" t="s">
        <v>2</v>
      </c>
      <c r="T553" s="163" t="s">
        <v>2</v>
      </c>
      <c r="U553" s="163" t="s">
        <v>127</v>
      </c>
      <c r="V553" s="163" t="s">
        <v>198</v>
      </c>
      <c r="W553" s="163" t="s">
        <v>198</v>
      </c>
      <c r="X553" s="163" t="s">
        <v>127</v>
      </c>
      <c r="Y553" s="165">
        <v>44013</v>
      </c>
      <c r="Z553" s="165">
        <v>44008</v>
      </c>
      <c r="AA553" s="165">
        <v>44008</v>
      </c>
      <c r="AB553" s="163" t="s">
        <v>137</v>
      </c>
      <c r="AC553" s="165">
        <v>44013</v>
      </c>
      <c r="AD553" s="163" t="s">
        <v>164</v>
      </c>
      <c r="AE553" s="163">
        <v>875</v>
      </c>
      <c r="AF553" s="163" t="s">
        <v>138</v>
      </c>
      <c r="AH553" s="163" t="s">
        <v>129</v>
      </c>
      <c r="AI553" s="163">
        <v>19.53</v>
      </c>
      <c r="AJ553" s="163">
        <v>19.53</v>
      </c>
    </row>
    <row r="554" spans="1:36">
      <c r="A554" s="173">
        <v>44013</v>
      </c>
      <c r="B554" s="182" t="s">
        <v>130</v>
      </c>
      <c r="C554" s="163" t="s">
        <v>131</v>
      </c>
      <c r="D554" s="163">
        <v>3011282020</v>
      </c>
      <c r="E554" s="163" t="s">
        <v>132</v>
      </c>
      <c r="F554" s="163">
        <v>875</v>
      </c>
      <c r="G554" s="163" t="s">
        <v>176</v>
      </c>
      <c r="H554" s="163" t="s">
        <v>144</v>
      </c>
      <c r="I554" s="163" t="s">
        <v>197</v>
      </c>
      <c r="J554" s="163" t="s">
        <v>198</v>
      </c>
      <c r="K554" s="163" t="s">
        <v>135</v>
      </c>
      <c r="L554" s="163" t="s">
        <v>231</v>
      </c>
      <c r="M554" s="163" t="s">
        <v>125</v>
      </c>
      <c r="N554" s="164">
        <v>4374</v>
      </c>
      <c r="O554" s="163" t="s">
        <v>136</v>
      </c>
      <c r="P554" s="164">
        <v>4374</v>
      </c>
      <c r="Q554" s="163" t="s">
        <v>136</v>
      </c>
      <c r="R554" s="163" t="s">
        <v>126</v>
      </c>
      <c r="S554" s="163" t="s">
        <v>2</v>
      </c>
      <c r="T554" s="163" t="s">
        <v>2</v>
      </c>
      <c r="U554" s="163" t="s">
        <v>127</v>
      </c>
      <c r="V554" s="163" t="s">
        <v>198</v>
      </c>
      <c r="W554" s="163" t="s">
        <v>198</v>
      </c>
      <c r="X554" s="163" t="s">
        <v>127</v>
      </c>
      <c r="Y554" s="165">
        <v>44013</v>
      </c>
      <c r="Z554" s="165">
        <v>44008</v>
      </c>
      <c r="AA554" s="165">
        <v>44008</v>
      </c>
      <c r="AB554" s="163" t="s">
        <v>137</v>
      </c>
      <c r="AC554" s="165">
        <v>44013</v>
      </c>
      <c r="AD554" s="163" t="s">
        <v>181</v>
      </c>
      <c r="AE554" s="163">
        <v>875</v>
      </c>
      <c r="AF554" s="163" t="s">
        <v>138</v>
      </c>
      <c r="AH554" s="163" t="s">
        <v>129</v>
      </c>
      <c r="AI554" s="163">
        <v>4374</v>
      </c>
      <c r="AJ554" s="163">
        <v>4374</v>
      </c>
    </row>
    <row r="555" spans="1:36">
      <c r="A555" s="173">
        <v>44013</v>
      </c>
      <c r="B555" s="182" t="s">
        <v>130</v>
      </c>
      <c r="C555" s="163" t="s">
        <v>131</v>
      </c>
      <c r="D555" s="163">
        <v>2510522020</v>
      </c>
      <c r="E555" s="163" t="s">
        <v>132</v>
      </c>
      <c r="F555" s="163">
        <v>875</v>
      </c>
      <c r="G555" s="163" t="s">
        <v>146</v>
      </c>
      <c r="H555" s="163" t="s">
        <v>144</v>
      </c>
      <c r="I555" s="163" t="s">
        <v>197</v>
      </c>
      <c r="J555" s="163" t="s">
        <v>198</v>
      </c>
      <c r="K555" s="163" t="s">
        <v>135</v>
      </c>
      <c r="L555" s="163" t="s">
        <v>232</v>
      </c>
      <c r="M555" s="163" t="s">
        <v>125</v>
      </c>
      <c r="N555" s="164">
        <v>5422.41</v>
      </c>
      <c r="O555" s="163" t="s">
        <v>136</v>
      </c>
      <c r="P555" s="164">
        <v>5422.41</v>
      </c>
      <c r="Q555" s="163" t="s">
        <v>136</v>
      </c>
      <c r="R555" s="163" t="s">
        <v>126</v>
      </c>
      <c r="S555" s="163" t="s">
        <v>2</v>
      </c>
      <c r="T555" s="163" t="s">
        <v>2</v>
      </c>
      <c r="U555" s="163" t="s">
        <v>127</v>
      </c>
      <c r="V555" s="163" t="s">
        <v>198</v>
      </c>
      <c r="W555" s="163" t="s">
        <v>198</v>
      </c>
      <c r="X555" s="163" t="s">
        <v>127</v>
      </c>
      <c r="Y555" s="165">
        <v>44013</v>
      </c>
      <c r="Z555" s="165">
        <v>44008</v>
      </c>
      <c r="AA555" s="165">
        <v>44008</v>
      </c>
      <c r="AB555" s="163" t="s">
        <v>137</v>
      </c>
      <c r="AC555" s="165">
        <v>44013</v>
      </c>
      <c r="AD555" s="163" t="s">
        <v>199</v>
      </c>
      <c r="AE555" s="163">
        <v>875</v>
      </c>
      <c r="AF555" s="163" t="s">
        <v>138</v>
      </c>
      <c r="AH555" s="163" t="s">
        <v>129</v>
      </c>
      <c r="AI555" s="163">
        <v>5422.41</v>
      </c>
      <c r="AJ555" s="163">
        <v>5422.41</v>
      </c>
    </row>
    <row r="556" spans="1:36">
      <c r="A556" s="173">
        <v>44013</v>
      </c>
      <c r="B556" s="182" t="s">
        <v>130</v>
      </c>
      <c r="C556" s="163" t="s">
        <v>131</v>
      </c>
      <c r="D556" s="163">
        <v>2808872020</v>
      </c>
      <c r="E556" s="163" t="s">
        <v>132</v>
      </c>
      <c r="F556" s="163">
        <v>875</v>
      </c>
      <c r="G556" s="163" t="s">
        <v>146</v>
      </c>
      <c r="H556" s="163" t="s">
        <v>144</v>
      </c>
      <c r="I556" s="163" t="s">
        <v>197</v>
      </c>
      <c r="J556" s="163" t="s">
        <v>198</v>
      </c>
      <c r="K556" s="163" t="s">
        <v>135</v>
      </c>
      <c r="L556" s="163" t="s">
        <v>233</v>
      </c>
      <c r="M556" s="163" t="s">
        <v>125</v>
      </c>
      <c r="N556" s="164">
        <v>4761.1400000000003</v>
      </c>
      <c r="O556" s="163" t="s">
        <v>136</v>
      </c>
      <c r="P556" s="164">
        <v>4761.1400000000003</v>
      </c>
      <c r="Q556" s="163" t="s">
        <v>136</v>
      </c>
      <c r="R556" s="163" t="s">
        <v>126</v>
      </c>
      <c r="S556" s="163" t="s">
        <v>2</v>
      </c>
      <c r="T556" s="163" t="s">
        <v>2</v>
      </c>
      <c r="U556" s="163" t="s">
        <v>127</v>
      </c>
      <c r="V556" s="163" t="s">
        <v>198</v>
      </c>
      <c r="W556" s="163" t="s">
        <v>198</v>
      </c>
      <c r="X556" s="163" t="s">
        <v>127</v>
      </c>
      <c r="Y556" s="165">
        <v>44013</v>
      </c>
      <c r="Z556" s="165">
        <v>44008</v>
      </c>
      <c r="AA556" s="165">
        <v>44008</v>
      </c>
      <c r="AB556" s="163" t="s">
        <v>137</v>
      </c>
      <c r="AC556" s="165">
        <v>44013</v>
      </c>
      <c r="AD556" s="163" t="s">
        <v>234</v>
      </c>
      <c r="AE556" s="163">
        <v>875</v>
      </c>
      <c r="AF556" s="163" t="s">
        <v>138</v>
      </c>
      <c r="AH556" s="163" t="s">
        <v>129</v>
      </c>
      <c r="AI556" s="163">
        <v>4761.1400000000003</v>
      </c>
      <c r="AJ556" s="163">
        <v>4761.1400000000003</v>
      </c>
    </row>
    <row r="557" spans="1:36">
      <c r="A557" s="173">
        <v>44013</v>
      </c>
      <c r="B557" s="182" t="s">
        <v>130</v>
      </c>
      <c r="C557" s="163" t="s">
        <v>131</v>
      </c>
      <c r="D557" s="163">
        <v>2510542020</v>
      </c>
      <c r="E557" s="163" t="s">
        <v>132</v>
      </c>
      <c r="F557" s="163">
        <v>875</v>
      </c>
      <c r="G557" s="163" t="s">
        <v>146</v>
      </c>
      <c r="H557" s="163" t="s">
        <v>144</v>
      </c>
      <c r="I557" s="163" t="s">
        <v>197</v>
      </c>
      <c r="J557" s="163" t="s">
        <v>198</v>
      </c>
      <c r="K557" s="163" t="s">
        <v>135</v>
      </c>
      <c r="L557" s="163" t="s">
        <v>235</v>
      </c>
      <c r="M557" s="163" t="s">
        <v>125</v>
      </c>
      <c r="N557" s="164">
        <v>111.97</v>
      </c>
      <c r="O557" s="163" t="s">
        <v>136</v>
      </c>
      <c r="P557" s="164">
        <v>111.97</v>
      </c>
      <c r="Q557" s="163" t="s">
        <v>136</v>
      </c>
      <c r="R557" s="163" t="s">
        <v>126</v>
      </c>
      <c r="S557" s="163" t="s">
        <v>2</v>
      </c>
      <c r="T557" s="163" t="s">
        <v>2</v>
      </c>
      <c r="U557" s="163" t="s">
        <v>127</v>
      </c>
      <c r="V557" s="163" t="s">
        <v>198</v>
      </c>
      <c r="W557" s="163" t="s">
        <v>198</v>
      </c>
      <c r="X557" s="163" t="s">
        <v>127</v>
      </c>
      <c r="Y557" s="165">
        <v>44013</v>
      </c>
      <c r="Z557" s="165">
        <v>44008</v>
      </c>
      <c r="AA557" s="165">
        <v>44008</v>
      </c>
      <c r="AB557" s="163" t="s">
        <v>137</v>
      </c>
      <c r="AC557" s="165">
        <v>44013</v>
      </c>
      <c r="AD557" s="163" t="s">
        <v>236</v>
      </c>
      <c r="AE557" s="163">
        <v>875</v>
      </c>
      <c r="AF557" s="163" t="s">
        <v>138</v>
      </c>
      <c r="AH557" s="163" t="s">
        <v>129</v>
      </c>
      <c r="AI557" s="163">
        <v>111.97</v>
      </c>
      <c r="AJ557" s="163">
        <v>111.97</v>
      </c>
    </row>
    <row r="558" spans="1:36">
      <c r="A558" s="173">
        <v>44013</v>
      </c>
      <c r="B558" s="182" t="s">
        <v>130</v>
      </c>
      <c r="C558" s="163" t="s">
        <v>131</v>
      </c>
      <c r="D558" s="163">
        <v>2510522020</v>
      </c>
      <c r="E558" s="163" t="s">
        <v>132</v>
      </c>
      <c r="F558" s="163">
        <v>875</v>
      </c>
      <c r="G558" s="163" t="s">
        <v>146</v>
      </c>
      <c r="H558" s="163" t="s">
        <v>144</v>
      </c>
      <c r="I558" s="163" t="s">
        <v>197</v>
      </c>
      <c r="J558" s="163" t="s">
        <v>198</v>
      </c>
      <c r="K558" s="163" t="s">
        <v>135</v>
      </c>
      <c r="L558" s="163" t="s">
        <v>237</v>
      </c>
      <c r="M558" s="163" t="s">
        <v>125</v>
      </c>
      <c r="N558" s="164">
        <v>573.84</v>
      </c>
      <c r="O558" s="163" t="s">
        <v>136</v>
      </c>
      <c r="P558" s="164">
        <v>573.84</v>
      </c>
      <c r="Q558" s="163" t="s">
        <v>136</v>
      </c>
      <c r="R558" s="163" t="s">
        <v>126</v>
      </c>
      <c r="S558" s="163" t="s">
        <v>2</v>
      </c>
      <c r="T558" s="163" t="s">
        <v>2</v>
      </c>
      <c r="U558" s="163" t="s">
        <v>127</v>
      </c>
      <c r="V558" s="163" t="s">
        <v>198</v>
      </c>
      <c r="W558" s="163" t="s">
        <v>198</v>
      </c>
      <c r="X558" s="163" t="s">
        <v>127</v>
      </c>
      <c r="Y558" s="165">
        <v>44013</v>
      </c>
      <c r="Z558" s="165">
        <v>44008</v>
      </c>
      <c r="AA558" s="165">
        <v>44008</v>
      </c>
      <c r="AB558" s="163" t="s">
        <v>137</v>
      </c>
      <c r="AC558" s="165">
        <v>44013</v>
      </c>
      <c r="AD558" s="163" t="s">
        <v>238</v>
      </c>
      <c r="AE558" s="163">
        <v>875</v>
      </c>
      <c r="AF558" s="163" t="s">
        <v>138</v>
      </c>
      <c r="AH558" s="163" t="s">
        <v>129</v>
      </c>
      <c r="AI558" s="163">
        <v>573.84</v>
      </c>
      <c r="AJ558" s="163">
        <v>573.84</v>
      </c>
    </row>
    <row r="559" spans="1:36">
      <c r="A559" s="173">
        <v>44013</v>
      </c>
      <c r="B559" s="182" t="s">
        <v>130</v>
      </c>
      <c r="C559" s="163" t="s">
        <v>131</v>
      </c>
      <c r="D559" s="163">
        <v>2510532020</v>
      </c>
      <c r="E559" s="163" t="s">
        <v>132</v>
      </c>
      <c r="F559" s="163">
        <v>875</v>
      </c>
      <c r="G559" s="163" t="s">
        <v>146</v>
      </c>
      <c r="H559" s="163" t="s">
        <v>144</v>
      </c>
      <c r="I559" s="163" t="s">
        <v>197</v>
      </c>
      <c r="J559" s="163" t="s">
        <v>198</v>
      </c>
      <c r="K559" s="163" t="s">
        <v>135</v>
      </c>
      <c r="L559" s="163" t="s">
        <v>239</v>
      </c>
      <c r="M559" s="163" t="s">
        <v>125</v>
      </c>
      <c r="N559" s="164">
        <v>1421.73</v>
      </c>
      <c r="O559" s="163" t="s">
        <v>136</v>
      </c>
      <c r="P559" s="164">
        <v>1421.73</v>
      </c>
      <c r="Q559" s="163" t="s">
        <v>136</v>
      </c>
      <c r="R559" s="163" t="s">
        <v>126</v>
      </c>
      <c r="S559" s="163" t="s">
        <v>2</v>
      </c>
      <c r="T559" s="163" t="s">
        <v>2</v>
      </c>
      <c r="U559" s="163" t="s">
        <v>127</v>
      </c>
      <c r="V559" s="163" t="s">
        <v>198</v>
      </c>
      <c r="W559" s="163" t="s">
        <v>198</v>
      </c>
      <c r="X559" s="163" t="s">
        <v>127</v>
      </c>
      <c r="Y559" s="165">
        <v>44013</v>
      </c>
      <c r="Z559" s="165">
        <v>44008</v>
      </c>
      <c r="AA559" s="165">
        <v>44008</v>
      </c>
      <c r="AB559" s="163" t="s">
        <v>137</v>
      </c>
      <c r="AC559" s="165">
        <v>44013</v>
      </c>
      <c r="AD559" s="163" t="s">
        <v>240</v>
      </c>
      <c r="AE559" s="163">
        <v>875</v>
      </c>
      <c r="AF559" s="163" t="s">
        <v>138</v>
      </c>
      <c r="AH559" s="163" t="s">
        <v>129</v>
      </c>
      <c r="AI559" s="163">
        <v>1421.73</v>
      </c>
      <c r="AJ559" s="163">
        <v>1421.73</v>
      </c>
    </row>
    <row r="560" spans="1:36">
      <c r="A560" s="173">
        <v>44013</v>
      </c>
      <c r="B560" s="182" t="s">
        <v>130</v>
      </c>
      <c r="C560" s="163" t="s">
        <v>131</v>
      </c>
      <c r="D560" s="163">
        <v>2876382020</v>
      </c>
      <c r="E560" s="163" t="s">
        <v>132</v>
      </c>
      <c r="F560" s="163">
        <v>875</v>
      </c>
      <c r="G560" s="163" t="s">
        <v>178</v>
      </c>
      <c r="H560" s="163" t="s">
        <v>144</v>
      </c>
      <c r="I560" s="163" t="s">
        <v>197</v>
      </c>
      <c r="J560" s="163" t="s">
        <v>198</v>
      </c>
      <c r="K560" s="163" t="s">
        <v>135</v>
      </c>
      <c r="L560" s="163" t="s">
        <v>241</v>
      </c>
      <c r="M560" s="163" t="s">
        <v>125</v>
      </c>
      <c r="N560" s="164">
        <v>231.66</v>
      </c>
      <c r="O560" s="163" t="s">
        <v>136</v>
      </c>
      <c r="P560" s="164">
        <v>231.66</v>
      </c>
      <c r="Q560" s="163" t="s">
        <v>136</v>
      </c>
      <c r="R560" s="163" t="s">
        <v>126</v>
      </c>
      <c r="S560" s="163" t="s">
        <v>2</v>
      </c>
      <c r="T560" s="163" t="s">
        <v>2</v>
      </c>
      <c r="U560" s="163" t="s">
        <v>127</v>
      </c>
      <c r="V560" s="163" t="s">
        <v>198</v>
      </c>
      <c r="W560" s="163" t="s">
        <v>198</v>
      </c>
      <c r="X560" s="163" t="s">
        <v>127</v>
      </c>
      <c r="Y560" s="165">
        <v>44013</v>
      </c>
      <c r="Z560" s="165">
        <v>44008</v>
      </c>
      <c r="AA560" s="165">
        <v>44008</v>
      </c>
      <c r="AB560" s="163" t="s">
        <v>137</v>
      </c>
      <c r="AC560" s="165">
        <v>44013</v>
      </c>
      <c r="AD560" s="163" t="s">
        <v>184</v>
      </c>
      <c r="AE560" s="163">
        <v>875</v>
      </c>
      <c r="AF560" s="163" t="s">
        <v>138</v>
      </c>
      <c r="AH560" s="163" t="s">
        <v>129</v>
      </c>
      <c r="AI560" s="163">
        <v>231.66</v>
      </c>
      <c r="AJ560" s="163">
        <v>231.66</v>
      </c>
    </row>
    <row r="561" spans="1:36">
      <c r="A561" s="173">
        <v>44013</v>
      </c>
      <c r="B561" s="182" t="s">
        <v>130</v>
      </c>
      <c r="C561" s="163" t="s">
        <v>131</v>
      </c>
      <c r="D561" s="163">
        <v>2751302020</v>
      </c>
      <c r="E561" s="163" t="s">
        <v>132</v>
      </c>
      <c r="F561" s="163">
        <v>875</v>
      </c>
      <c r="G561" s="163" t="s">
        <v>159</v>
      </c>
      <c r="H561" s="163" t="s">
        <v>144</v>
      </c>
      <c r="I561" s="163" t="s">
        <v>197</v>
      </c>
      <c r="J561" s="163" t="s">
        <v>198</v>
      </c>
      <c r="K561" s="163" t="s">
        <v>135</v>
      </c>
      <c r="L561" s="163" t="s">
        <v>242</v>
      </c>
      <c r="M561" s="163" t="s">
        <v>125</v>
      </c>
      <c r="N561" s="164">
        <v>177.86</v>
      </c>
      <c r="O561" s="163" t="s">
        <v>136</v>
      </c>
      <c r="P561" s="164">
        <v>177.86</v>
      </c>
      <c r="Q561" s="163" t="s">
        <v>136</v>
      </c>
      <c r="R561" s="163" t="s">
        <v>126</v>
      </c>
      <c r="S561" s="163" t="s">
        <v>2</v>
      </c>
      <c r="T561" s="163" t="s">
        <v>2</v>
      </c>
      <c r="U561" s="163" t="s">
        <v>127</v>
      </c>
      <c r="V561" s="163" t="s">
        <v>198</v>
      </c>
      <c r="W561" s="163" t="s">
        <v>198</v>
      </c>
      <c r="X561" s="163" t="s">
        <v>127</v>
      </c>
      <c r="Y561" s="165">
        <v>44013</v>
      </c>
      <c r="Z561" s="165">
        <v>44008</v>
      </c>
      <c r="AA561" s="165">
        <v>44008</v>
      </c>
      <c r="AB561" s="163" t="s">
        <v>137</v>
      </c>
      <c r="AC561" s="165">
        <v>44013</v>
      </c>
      <c r="AD561" s="163" t="s">
        <v>243</v>
      </c>
      <c r="AE561" s="163">
        <v>875</v>
      </c>
      <c r="AF561" s="163" t="s">
        <v>138</v>
      </c>
      <c r="AH561" s="163" t="s">
        <v>129</v>
      </c>
      <c r="AI561" s="163">
        <v>177.86</v>
      </c>
      <c r="AJ561" s="163">
        <v>177.86</v>
      </c>
    </row>
    <row r="562" spans="1:36">
      <c r="A562" s="173">
        <v>44013</v>
      </c>
      <c r="B562" s="182" t="s">
        <v>130</v>
      </c>
      <c r="C562" s="163" t="s">
        <v>131</v>
      </c>
      <c r="D562" s="163">
        <v>3011202020</v>
      </c>
      <c r="E562" s="163" t="s">
        <v>132</v>
      </c>
      <c r="F562" s="163">
        <v>875</v>
      </c>
      <c r="G562" s="163" t="s">
        <v>176</v>
      </c>
      <c r="H562" s="163" t="s">
        <v>144</v>
      </c>
      <c r="I562" s="163" t="s">
        <v>197</v>
      </c>
      <c r="J562" s="163" t="s">
        <v>198</v>
      </c>
      <c r="K562" s="163" t="s">
        <v>135</v>
      </c>
      <c r="L562" s="163" t="s">
        <v>244</v>
      </c>
      <c r="M562" s="163" t="s">
        <v>125</v>
      </c>
      <c r="N562" s="164">
        <v>9112.5</v>
      </c>
      <c r="O562" s="163" t="s">
        <v>136</v>
      </c>
      <c r="P562" s="164">
        <v>9112.5</v>
      </c>
      <c r="Q562" s="163" t="s">
        <v>136</v>
      </c>
      <c r="R562" s="163" t="s">
        <v>126</v>
      </c>
      <c r="S562" s="163" t="s">
        <v>2</v>
      </c>
      <c r="T562" s="163" t="s">
        <v>2</v>
      </c>
      <c r="U562" s="163" t="s">
        <v>127</v>
      </c>
      <c r="V562" s="163" t="s">
        <v>198</v>
      </c>
      <c r="W562" s="163" t="s">
        <v>198</v>
      </c>
      <c r="X562" s="163" t="s">
        <v>127</v>
      </c>
      <c r="Y562" s="165">
        <v>44013</v>
      </c>
      <c r="Z562" s="165">
        <v>44008</v>
      </c>
      <c r="AA562" s="165">
        <v>44008</v>
      </c>
      <c r="AB562" s="163" t="s">
        <v>137</v>
      </c>
      <c r="AC562" s="165">
        <v>44013</v>
      </c>
      <c r="AD562" s="163" t="s">
        <v>177</v>
      </c>
      <c r="AE562" s="163">
        <v>875</v>
      </c>
      <c r="AF562" s="163" t="s">
        <v>138</v>
      </c>
      <c r="AH562" s="163" t="s">
        <v>129</v>
      </c>
      <c r="AI562" s="163">
        <v>9112.5</v>
      </c>
      <c r="AJ562" s="163">
        <v>9112.5</v>
      </c>
    </row>
    <row r="563" spans="1:36">
      <c r="A563" s="173">
        <v>44013</v>
      </c>
      <c r="B563" s="182" t="s">
        <v>130</v>
      </c>
      <c r="C563" s="163" t="s">
        <v>131</v>
      </c>
      <c r="D563" s="163">
        <v>3011212020</v>
      </c>
      <c r="E563" s="163" t="s">
        <v>132</v>
      </c>
      <c r="F563" s="163">
        <v>875</v>
      </c>
      <c r="G563" s="163" t="s">
        <v>176</v>
      </c>
      <c r="H563" s="163" t="s">
        <v>144</v>
      </c>
      <c r="I563" s="163" t="s">
        <v>197</v>
      </c>
      <c r="J563" s="163" t="s">
        <v>198</v>
      </c>
      <c r="K563" s="163" t="s">
        <v>135</v>
      </c>
      <c r="L563" s="163" t="s">
        <v>245</v>
      </c>
      <c r="M563" s="163" t="s">
        <v>125</v>
      </c>
      <c r="N563" s="164">
        <v>9720</v>
      </c>
      <c r="O563" s="163" t="s">
        <v>136</v>
      </c>
      <c r="P563" s="164">
        <v>9720</v>
      </c>
      <c r="Q563" s="163" t="s">
        <v>136</v>
      </c>
      <c r="R563" s="163" t="s">
        <v>126</v>
      </c>
      <c r="S563" s="163" t="s">
        <v>2</v>
      </c>
      <c r="T563" s="163" t="s">
        <v>2</v>
      </c>
      <c r="U563" s="163" t="s">
        <v>127</v>
      </c>
      <c r="V563" s="163" t="s">
        <v>198</v>
      </c>
      <c r="W563" s="163" t="s">
        <v>198</v>
      </c>
      <c r="X563" s="163" t="s">
        <v>127</v>
      </c>
      <c r="Y563" s="165">
        <v>44013</v>
      </c>
      <c r="Z563" s="165">
        <v>44008</v>
      </c>
      <c r="AA563" s="165">
        <v>44008</v>
      </c>
      <c r="AB563" s="163" t="s">
        <v>137</v>
      </c>
      <c r="AC563" s="165">
        <v>44013</v>
      </c>
      <c r="AD563" s="163" t="s">
        <v>189</v>
      </c>
      <c r="AE563" s="163">
        <v>875</v>
      </c>
      <c r="AF563" s="163" t="s">
        <v>138</v>
      </c>
      <c r="AH563" s="163" t="s">
        <v>129</v>
      </c>
      <c r="AI563" s="163">
        <v>9720</v>
      </c>
      <c r="AJ563" s="163">
        <v>9720</v>
      </c>
    </row>
    <row r="564" spans="1:36">
      <c r="A564" s="173">
        <v>44013</v>
      </c>
      <c r="B564" s="182" t="s">
        <v>130</v>
      </c>
      <c r="C564" s="163" t="s">
        <v>131</v>
      </c>
      <c r="D564" s="163">
        <v>2510542020</v>
      </c>
      <c r="E564" s="163" t="s">
        <v>132</v>
      </c>
      <c r="F564" s="163">
        <v>875</v>
      </c>
      <c r="G564" s="163" t="s">
        <v>146</v>
      </c>
      <c r="H564" s="163" t="s">
        <v>144</v>
      </c>
      <c r="I564" s="163" t="s">
        <v>197</v>
      </c>
      <c r="J564" s="163" t="s">
        <v>198</v>
      </c>
      <c r="K564" s="163" t="s">
        <v>135</v>
      </c>
      <c r="L564" s="163" t="s">
        <v>246</v>
      </c>
      <c r="M564" s="163" t="s">
        <v>125</v>
      </c>
      <c r="N564" s="164">
        <v>1058.03</v>
      </c>
      <c r="O564" s="163" t="s">
        <v>136</v>
      </c>
      <c r="P564" s="164">
        <v>1058.03</v>
      </c>
      <c r="Q564" s="163" t="s">
        <v>136</v>
      </c>
      <c r="R564" s="163" t="s">
        <v>126</v>
      </c>
      <c r="S564" s="163" t="s">
        <v>2</v>
      </c>
      <c r="T564" s="163" t="s">
        <v>2</v>
      </c>
      <c r="U564" s="163" t="s">
        <v>127</v>
      </c>
      <c r="V564" s="163" t="s">
        <v>198</v>
      </c>
      <c r="W564" s="163" t="s">
        <v>198</v>
      </c>
      <c r="X564" s="163" t="s">
        <v>127</v>
      </c>
      <c r="Y564" s="165">
        <v>44013</v>
      </c>
      <c r="Z564" s="165">
        <v>44008</v>
      </c>
      <c r="AA564" s="165">
        <v>44008</v>
      </c>
      <c r="AB564" s="163" t="s">
        <v>137</v>
      </c>
      <c r="AC564" s="165">
        <v>44013</v>
      </c>
      <c r="AD564" s="163" t="s">
        <v>247</v>
      </c>
      <c r="AE564" s="163">
        <v>875</v>
      </c>
      <c r="AF564" s="163" t="s">
        <v>138</v>
      </c>
      <c r="AH564" s="163" t="s">
        <v>129</v>
      </c>
      <c r="AI564" s="163">
        <v>1058.03</v>
      </c>
      <c r="AJ564" s="163">
        <v>1058.03</v>
      </c>
    </row>
    <row r="565" spans="1:36">
      <c r="A565" s="173">
        <v>44013</v>
      </c>
      <c r="B565" s="182" t="s">
        <v>130</v>
      </c>
      <c r="C565" s="163" t="s">
        <v>131</v>
      </c>
      <c r="D565" s="163">
        <v>3011302020</v>
      </c>
      <c r="E565" s="163" t="s">
        <v>132</v>
      </c>
      <c r="F565" s="163">
        <v>875</v>
      </c>
      <c r="G565" s="163" t="s">
        <v>176</v>
      </c>
      <c r="H565" s="163" t="s">
        <v>144</v>
      </c>
      <c r="I565" s="163" t="s">
        <v>197</v>
      </c>
      <c r="J565" s="163" t="s">
        <v>198</v>
      </c>
      <c r="K565" s="163" t="s">
        <v>135</v>
      </c>
      <c r="L565" s="163" t="s">
        <v>248</v>
      </c>
      <c r="M565" s="163" t="s">
        <v>125</v>
      </c>
      <c r="N565" s="164">
        <v>6561</v>
      </c>
      <c r="O565" s="163" t="s">
        <v>136</v>
      </c>
      <c r="P565" s="164">
        <v>6561</v>
      </c>
      <c r="Q565" s="163" t="s">
        <v>136</v>
      </c>
      <c r="R565" s="163" t="s">
        <v>126</v>
      </c>
      <c r="S565" s="163" t="s">
        <v>2</v>
      </c>
      <c r="T565" s="163" t="s">
        <v>2</v>
      </c>
      <c r="U565" s="163" t="s">
        <v>127</v>
      </c>
      <c r="V565" s="163" t="s">
        <v>198</v>
      </c>
      <c r="W565" s="163" t="s">
        <v>198</v>
      </c>
      <c r="X565" s="163" t="s">
        <v>127</v>
      </c>
      <c r="Y565" s="165">
        <v>44013</v>
      </c>
      <c r="Z565" s="165">
        <v>44008</v>
      </c>
      <c r="AA565" s="165">
        <v>44008</v>
      </c>
      <c r="AB565" s="163" t="s">
        <v>137</v>
      </c>
      <c r="AC565" s="165">
        <v>44013</v>
      </c>
      <c r="AD565" s="163" t="s">
        <v>187</v>
      </c>
      <c r="AE565" s="163">
        <v>875</v>
      </c>
      <c r="AF565" s="163" t="s">
        <v>138</v>
      </c>
      <c r="AH565" s="163" t="s">
        <v>129</v>
      </c>
      <c r="AI565" s="163">
        <v>6561</v>
      </c>
      <c r="AJ565" s="163">
        <v>6561</v>
      </c>
    </row>
    <row r="566" spans="1:36">
      <c r="A566" s="173">
        <v>44013</v>
      </c>
      <c r="B566" s="182" t="s">
        <v>130</v>
      </c>
      <c r="C566" s="163" t="s">
        <v>131</v>
      </c>
      <c r="D566" s="163">
        <v>2876382020</v>
      </c>
      <c r="E566" s="163" t="s">
        <v>132</v>
      </c>
      <c r="F566" s="163">
        <v>875</v>
      </c>
      <c r="G566" s="163" t="s">
        <v>178</v>
      </c>
      <c r="H566" s="163" t="s">
        <v>144</v>
      </c>
      <c r="I566" s="163" t="s">
        <v>197</v>
      </c>
      <c r="J566" s="163" t="s">
        <v>198</v>
      </c>
      <c r="K566" s="163" t="s">
        <v>135</v>
      </c>
      <c r="L566" s="163" t="s">
        <v>249</v>
      </c>
      <c r="M566" s="163" t="s">
        <v>125</v>
      </c>
      <c r="N566" s="164">
        <v>31.59</v>
      </c>
      <c r="O566" s="163" t="s">
        <v>136</v>
      </c>
      <c r="P566" s="164">
        <v>31.59</v>
      </c>
      <c r="Q566" s="163" t="s">
        <v>136</v>
      </c>
      <c r="R566" s="163" t="s">
        <v>126</v>
      </c>
      <c r="S566" s="163" t="s">
        <v>2</v>
      </c>
      <c r="T566" s="163" t="s">
        <v>2</v>
      </c>
      <c r="U566" s="163" t="s">
        <v>127</v>
      </c>
      <c r="V566" s="163" t="s">
        <v>198</v>
      </c>
      <c r="W566" s="163" t="s">
        <v>198</v>
      </c>
      <c r="X566" s="163" t="s">
        <v>127</v>
      </c>
      <c r="Y566" s="165">
        <v>44013</v>
      </c>
      <c r="Z566" s="165">
        <v>44008</v>
      </c>
      <c r="AA566" s="165">
        <v>44008</v>
      </c>
      <c r="AB566" s="163" t="s">
        <v>137</v>
      </c>
      <c r="AC566" s="165">
        <v>44013</v>
      </c>
      <c r="AD566" s="163" t="s">
        <v>183</v>
      </c>
      <c r="AE566" s="163">
        <v>875</v>
      </c>
      <c r="AF566" s="163" t="s">
        <v>138</v>
      </c>
      <c r="AH566" s="163" t="s">
        <v>129</v>
      </c>
      <c r="AI566" s="163">
        <v>31.59</v>
      </c>
      <c r="AJ566" s="163">
        <v>31.59</v>
      </c>
    </row>
    <row r="567" spans="1:36">
      <c r="A567" s="173">
        <v>44013</v>
      </c>
      <c r="B567" s="182" t="s">
        <v>130</v>
      </c>
      <c r="C567" s="163" t="s">
        <v>131</v>
      </c>
      <c r="D567" s="163">
        <v>2719032020</v>
      </c>
      <c r="E567" s="163" t="s">
        <v>132</v>
      </c>
      <c r="F567" s="163">
        <v>875</v>
      </c>
      <c r="G567" s="163" t="s">
        <v>250</v>
      </c>
      <c r="H567" s="163" t="s">
        <v>144</v>
      </c>
      <c r="I567" s="163" t="s">
        <v>197</v>
      </c>
      <c r="J567" s="163" t="s">
        <v>198</v>
      </c>
      <c r="K567" s="163" t="s">
        <v>135</v>
      </c>
      <c r="L567" s="163" t="s">
        <v>251</v>
      </c>
      <c r="M567" s="163" t="s">
        <v>125</v>
      </c>
      <c r="N567" s="164">
        <v>54000</v>
      </c>
      <c r="O567" s="163" t="s">
        <v>136</v>
      </c>
      <c r="P567" s="164">
        <v>54000</v>
      </c>
      <c r="Q567" s="163" t="s">
        <v>136</v>
      </c>
      <c r="R567" s="163" t="s">
        <v>126</v>
      </c>
      <c r="S567" s="163" t="s">
        <v>2</v>
      </c>
      <c r="T567" s="163" t="s">
        <v>2</v>
      </c>
      <c r="U567" s="163" t="s">
        <v>127</v>
      </c>
      <c r="V567" s="163" t="s">
        <v>198</v>
      </c>
      <c r="W567" s="163" t="s">
        <v>198</v>
      </c>
      <c r="X567" s="163" t="s">
        <v>127</v>
      </c>
      <c r="Y567" s="165">
        <v>44013</v>
      </c>
      <c r="Z567" s="165">
        <v>44008</v>
      </c>
      <c r="AA567" s="165">
        <v>44008</v>
      </c>
      <c r="AB567" s="163" t="s">
        <v>137</v>
      </c>
      <c r="AC567" s="165">
        <v>44013</v>
      </c>
      <c r="AD567" s="163" t="s">
        <v>252</v>
      </c>
      <c r="AE567" s="163">
        <v>875</v>
      </c>
      <c r="AF567" s="163" t="s">
        <v>138</v>
      </c>
      <c r="AH567" s="163" t="s">
        <v>129</v>
      </c>
      <c r="AI567" s="163">
        <v>54000</v>
      </c>
      <c r="AJ567" s="163">
        <v>54000</v>
      </c>
    </row>
    <row r="568" spans="1:36">
      <c r="A568" s="173">
        <v>44013</v>
      </c>
      <c r="B568" s="182" t="s">
        <v>130</v>
      </c>
      <c r="C568" s="163" t="s">
        <v>131</v>
      </c>
      <c r="D568" s="163">
        <v>2719042020</v>
      </c>
      <c r="E568" s="163" t="s">
        <v>132</v>
      </c>
      <c r="F568" s="163">
        <v>875</v>
      </c>
      <c r="G568" s="163" t="s">
        <v>253</v>
      </c>
      <c r="H568" s="163" t="s">
        <v>144</v>
      </c>
      <c r="I568" s="163" t="s">
        <v>197</v>
      </c>
      <c r="J568" s="163" t="s">
        <v>198</v>
      </c>
      <c r="K568" s="163" t="s">
        <v>135</v>
      </c>
      <c r="L568" s="163" t="s">
        <v>254</v>
      </c>
      <c r="M568" s="163" t="s">
        <v>125</v>
      </c>
      <c r="N568" s="164">
        <v>35100</v>
      </c>
      <c r="O568" s="163" t="s">
        <v>136</v>
      </c>
      <c r="P568" s="164">
        <v>35100</v>
      </c>
      <c r="Q568" s="163" t="s">
        <v>136</v>
      </c>
      <c r="R568" s="163" t="s">
        <v>126</v>
      </c>
      <c r="S568" s="163" t="s">
        <v>2</v>
      </c>
      <c r="T568" s="163" t="s">
        <v>2</v>
      </c>
      <c r="U568" s="163" t="s">
        <v>127</v>
      </c>
      <c r="V568" s="163" t="s">
        <v>198</v>
      </c>
      <c r="W568" s="163" t="s">
        <v>198</v>
      </c>
      <c r="X568" s="163" t="s">
        <v>127</v>
      </c>
      <c r="Y568" s="165">
        <v>44013</v>
      </c>
      <c r="Z568" s="165">
        <v>44008</v>
      </c>
      <c r="AA568" s="165">
        <v>44008</v>
      </c>
      <c r="AB568" s="163" t="s">
        <v>137</v>
      </c>
      <c r="AC568" s="165">
        <v>44013</v>
      </c>
      <c r="AD568" s="163" t="s">
        <v>255</v>
      </c>
      <c r="AE568" s="163">
        <v>875</v>
      </c>
      <c r="AF568" s="163" t="s">
        <v>138</v>
      </c>
      <c r="AH568" s="163" t="s">
        <v>129</v>
      </c>
      <c r="AI568" s="163">
        <v>35100</v>
      </c>
      <c r="AJ568" s="163">
        <v>35100</v>
      </c>
    </row>
    <row r="569" spans="1:36">
      <c r="A569" s="173">
        <v>44013</v>
      </c>
      <c r="B569" s="182" t="s">
        <v>130</v>
      </c>
      <c r="C569" s="163" t="s">
        <v>131</v>
      </c>
      <c r="D569" s="163">
        <v>2510532020</v>
      </c>
      <c r="E569" s="163" t="s">
        <v>132</v>
      </c>
      <c r="F569" s="163">
        <v>875</v>
      </c>
      <c r="G569" s="163" t="s">
        <v>146</v>
      </c>
      <c r="H569" s="163" t="s">
        <v>144</v>
      </c>
      <c r="I569" s="163" t="s">
        <v>197</v>
      </c>
      <c r="J569" s="163" t="s">
        <v>198</v>
      </c>
      <c r="K569" s="163" t="s">
        <v>135</v>
      </c>
      <c r="L569" s="163" t="s">
        <v>256</v>
      </c>
      <c r="M569" s="163" t="s">
        <v>125</v>
      </c>
      <c r="N569" s="164">
        <v>150.46</v>
      </c>
      <c r="O569" s="163" t="s">
        <v>136</v>
      </c>
      <c r="P569" s="164">
        <v>150.46</v>
      </c>
      <c r="Q569" s="163" t="s">
        <v>136</v>
      </c>
      <c r="R569" s="163" t="s">
        <v>126</v>
      </c>
      <c r="S569" s="163" t="s">
        <v>2</v>
      </c>
      <c r="T569" s="163" t="s">
        <v>2</v>
      </c>
      <c r="U569" s="163" t="s">
        <v>127</v>
      </c>
      <c r="V569" s="163" t="s">
        <v>198</v>
      </c>
      <c r="W569" s="163" t="s">
        <v>198</v>
      </c>
      <c r="X569" s="163" t="s">
        <v>127</v>
      </c>
      <c r="Y569" s="165">
        <v>44013</v>
      </c>
      <c r="Z569" s="165">
        <v>44008</v>
      </c>
      <c r="AA569" s="165">
        <v>44008</v>
      </c>
      <c r="AB569" s="163" t="s">
        <v>137</v>
      </c>
      <c r="AC569" s="165">
        <v>44013</v>
      </c>
      <c r="AD569" s="163" t="s">
        <v>257</v>
      </c>
      <c r="AE569" s="163">
        <v>875</v>
      </c>
      <c r="AF569" s="163" t="s">
        <v>138</v>
      </c>
      <c r="AH569" s="163" t="s">
        <v>129</v>
      </c>
      <c r="AI569" s="163">
        <v>150.46</v>
      </c>
      <c r="AJ569" s="163">
        <v>150.46</v>
      </c>
    </row>
    <row r="570" spans="1:36">
      <c r="A570" s="173">
        <v>44013</v>
      </c>
      <c r="B570" s="182" t="s">
        <v>130</v>
      </c>
      <c r="C570" s="163" t="s">
        <v>131</v>
      </c>
      <c r="D570" s="163">
        <v>2876382020</v>
      </c>
      <c r="E570" s="163" t="s">
        <v>132</v>
      </c>
      <c r="F570" s="163">
        <v>875</v>
      </c>
      <c r="G570" s="163" t="s">
        <v>178</v>
      </c>
      <c r="H570" s="163" t="s">
        <v>144</v>
      </c>
      <c r="I570" s="163" t="s">
        <v>197</v>
      </c>
      <c r="J570" s="163" t="s">
        <v>198</v>
      </c>
      <c r="K570" s="163" t="s">
        <v>135</v>
      </c>
      <c r="L570" s="163" t="s">
        <v>258</v>
      </c>
      <c r="M570" s="163" t="s">
        <v>125</v>
      </c>
      <c r="N570" s="164">
        <v>15907.91</v>
      </c>
      <c r="O570" s="163" t="s">
        <v>136</v>
      </c>
      <c r="P570" s="164">
        <v>15907.91</v>
      </c>
      <c r="Q570" s="163" t="s">
        <v>136</v>
      </c>
      <c r="R570" s="163" t="s">
        <v>126</v>
      </c>
      <c r="S570" s="163" t="s">
        <v>2</v>
      </c>
      <c r="T570" s="163" t="s">
        <v>2</v>
      </c>
      <c r="U570" s="163" t="s">
        <v>127</v>
      </c>
      <c r="V570" s="163" t="s">
        <v>198</v>
      </c>
      <c r="W570" s="163" t="s">
        <v>198</v>
      </c>
      <c r="X570" s="163" t="s">
        <v>127</v>
      </c>
      <c r="Y570" s="165">
        <v>44013</v>
      </c>
      <c r="Z570" s="165">
        <v>44008</v>
      </c>
      <c r="AA570" s="165">
        <v>44008</v>
      </c>
      <c r="AB570" s="163" t="s">
        <v>137</v>
      </c>
      <c r="AC570" s="165">
        <v>44013</v>
      </c>
      <c r="AD570" s="163" t="s">
        <v>186</v>
      </c>
      <c r="AE570" s="163">
        <v>875</v>
      </c>
      <c r="AF570" s="163" t="s">
        <v>138</v>
      </c>
      <c r="AH570" s="163" t="s">
        <v>129</v>
      </c>
      <c r="AI570" s="163">
        <v>15907.91</v>
      </c>
      <c r="AJ570" s="163">
        <v>15907.91</v>
      </c>
    </row>
    <row r="571" spans="1:36">
      <c r="A571" s="173">
        <v>44013</v>
      </c>
      <c r="B571" s="182" t="s">
        <v>130</v>
      </c>
      <c r="C571" s="163" t="s">
        <v>131</v>
      </c>
      <c r="D571" s="163">
        <v>2751322020</v>
      </c>
      <c r="E571" s="163" t="s">
        <v>132</v>
      </c>
      <c r="F571" s="163">
        <v>875</v>
      </c>
      <c r="G571" s="163" t="s">
        <v>152</v>
      </c>
      <c r="H571" s="163" t="s">
        <v>144</v>
      </c>
      <c r="I571" s="163" t="s">
        <v>197</v>
      </c>
      <c r="J571" s="163" t="s">
        <v>198</v>
      </c>
      <c r="K571" s="163" t="s">
        <v>135</v>
      </c>
      <c r="L571" s="163" t="s">
        <v>259</v>
      </c>
      <c r="M571" s="163" t="s">
        <v>125</v>
      </c>
      <c r="N571" s="164">
        <v>23739.5</v>
      </c>
      <c r="O571" s="163" t="s">
        <v>136</v>
      </c>
      <c r="P571" s="164">
        <v>23739.5</v>
      </c>
      <c r="Q571" s="163" t="s">
        <v>136</v>
      </c>
      <c r="R571" s="163" t="s">
        <v>126</v>
      </c>
      <c r="S571" s="163" t="s">
        <v>2</v>
      </c>
      <c r="T571" s="163" t="s">
        <v>2</v>
      </c>
      <c r="U571" s="163" t="s">
        <v>127</v>
      </c>
      <c r="V571" s="163" t="s">
        <v>198</v>
      </c>
      <c r="W571" s="163" t="s">
        <v>198</v>
      </c>
      <c r="X571" s="163" t="s">
        <v>127</v>
      </c>
      <c r="Y571" s="165">
        <v>44013</v>
      </c>
      <c r="Z571" s="165">
        <v>44008</v>
      </c>
      <c r="AA571" s="165">
        <v>44008</v>
      </c>
      <c r="AB571" s="163" t="s">
        <v>137</v>
      </c>
      <c r="AC571" s="165">
        <v>44013</v>
      </c>
      <c r="AD571" s="163" t="s">
        <v>153</v>
      </c>
      <c r="AE571" s="163">
        <v>875</v>
      </c>
      <c r="AF571" s="163" t="s">
        <v>138</v>
      </c>
      <c r="AH571" s="163" t="s">
        <v>129</v>
      </c>
      <c r="AI571" s="163">
        <v>23739.5</v>
      </c>
      <c r="AJ571" s="163">
        <v>23739.5</v>
      </c>
    </row>
    <row r="572" spans="1:36">
      <c r="A572" s="173">
        <v>44013</v>
      </c>
      <c r="B572" s="182" t="s">
        <v>130</v>
      </c>
      <c r="C572" s="163" t="s">
        <v>131</v>
      </c>
      <c r="D572" s="163">
        <v>2751322020</v>
      </c>
      <c r="E572" s="163" t="s">
        <v>132</v>
      </c>
      <c r="F572" s="163">
        <v>875</v>
      </c>
      <c r="G572" s="163" t="s">
        <v>152</v>
      </c>
      <c r="H572" s="163" t="s">
        <v>144</v>
      </c>
      <c r="I572" s="163" t="s">
        <v>197</v>
      </c>
      <c r="J572" s="163" t="s">
        <v>198</v>
      </c>
      <c r="K572" s="163" t="s">
        <v>135</v>
      </c>
      <c r="L572" s="163" t="s">
        <v>260</v>
      </c>
      <c r="M572" s="163" t="s">
        <v>125</v>
      </c>
      <c r="N572" s="164">
        <v>560.51</v>
      </c>
      <c r="O572" s="163" t="s">
        <v>136</v>
      </c>
      <c r="P572" s="164">
        <v>560.51</v>
      </c>
      <c r="Q572" s="163" t="s">
        <v>136</v>
      </c>
      <c r="R572" s="163" t="s">
        <v>126</v>
      </c>
      <c r="S572" s="163" t="s">
        <v>2</v>
      </c>
      <c r="T572" s="163" t="s">
        <v>2</v>
      </c>
      <c r="U572" s="163" t="s">
        <v>127</v>
      </c>
      <c r="V572" s="163" t="s">
        <v>198</v>
      </c>
      <c r="W572" s="163" t="s">
        <v>198</v>
      </c>
      <c r="X572" s="163" t="s">
        <v>127</v>
      </c>
      <c r="Y572" s="165">
        <v>44013</v>
      </c>
      <c r="Z572" s="165">
        <v>44008</v>
      </c>
      <c r="AA572" s="165">
        <v>44008</v>
      </c>
      <c r="AB572" s="163" t="s">
        <v>137</v>
      </c>
      <c r="AC572" s="165">
        <v>44013</v>
      </c>
      <c r="AD572" s="163" t="s">
        <v>261</v>
      </c>
      <c r="AE572" s="163">
        <v>875</v>
      </c>
      <c r="AF572" s="163" t="s">
        <v>138</v>
      </c>
      <c r="AH572" s="163" t="s">
        <v>129</v>
      </c>
      <c r="AI572" s="163">
        <v>560.51</v>
      </c>
      <c r="AJ572" s="163">
        <v>560.51</v>
      </c>
    </row>
    <row r="573" spans="1:36">
      <c r="A573" s="173">
        <v>44013</v>
      </c>
      <c r="B573" s="182" t="s">
        <v>130</v>
      </c>
      <c r="C573" s="163" t="s">
        <v>131</v>
      </c>
      <c r="D573" s="163">
        <v>2808872020</v>
      </c>
      <c r="E573" s="163" t="s">
        <v>132</v>
      </c>
      <c r="F573" s="163">
        <v>875</v>
      </c>
      <c r="G573" s="163" t="s">
        <v>146</v>
      </c>
      <c r="H573" s="163" t="s">
        <v>144</v>
      </c>
      <c r="I573" s="163" t="s">
        <v>197</v>
      </c>
      <c r="J573" s="163" t="s">
        <v>198</v>
      </c>
      <c r="K573" s="163" t="s">
        <v>135</v>
      </c>
      <c r="L573" s="163" t="s">
        <v>262</v>
      </c>
      <c r="M573" s="163" t="s">
        <v>125</v>
      </c>
      <c r="N573" s="164">
        <v>503.86</v>
      </c>
      <c r="O573" s="163" t="s">
        <v>136</v>
      </c>
      <c r="P573" s="164">
        <v>503.86</v>
      </c>
      <c r="Q573" s="163" t="s">
        <v>136</v>
      </c>
      <c r="R573" s="163" t="s">
        <v>126</v>
      </c>
      <c r="S573" s="163" t="s">
        <v>2</v>
      </c>
      <c r="T573" s="163" t="s">
        <v>2</v>
      </c>
      <c r="U573" s="163" t="s">
        <v>127</v>
      </c>
      <c r="V573" s="163" t="s">
        <v>198</v>
      </c>
      <c r="W573" s="163" t="s">
        <v>198</v>
      </c>
      <c r="X573" s="163" t="s">
        <v>127</v>
      </c>
      <c r="Y573" s="165">
        <v>44013</v>
      </c>
      <c r="Z573" s="165">
        <v>44008</v>
      </c>
      <c r="AA573" s="165">
        <v>44008</v>
      </c>
      <c r="AB573" s="163" t="s">
        <v>137</v>
      </c>
      <c r="AC573" s="165">
        <v>44013</v>
      </c>
      <c r="AD573" s="163" t="s">
        <v>263</v>
      </c>
      <c r="AE573" s="163">
        <v>875</v>
      </c>
      <c r="AF573" s="163" t="s">
        <v>138</v>
      </c>
      <c r="AH573" s="163" t="s">
        <v>129</v>
      </c>
      <c r="AI573" s="163">
        <v>503.86</v>
      </c>
      <c r="AJ573" s="163">
        <v>503.86</v>
      </c>
    </row>
    <row r="574" spans="1:36">
      <c r="A574" s="173">
        <v>44013</v>
      </c>
      <c r="B574" s="182" t="s">
        <v>130</v>
      </c>
      <c r="C574" s="163" t="s">
        <v>131</v>
      </c>
      <c r="D574" s="163">
        <v>2876382020</v>
      </c>
      <c r="E574" s="163" t="s">
        <v>132</v>
      </c>
      <c r="F574" s="163">
        <v>875</v>
      </c>
      <c r="G574" s="163" t="s">
        <v>178</v>
      </c>
      <c r="H574" s="163" t="s">
        <v>144</v>
      </c>
      <c r="I574" s="163" t="s">
        <v>197</v>
      </c>
      <c r="J574" s="163" t="s">
        <v>198</v>
      </c>
      <c r="K574" s="163" t="s">
        <v>135</v>
      </c>
      <c r="L574" s="163" t="s">
        <v>264</v>
      </c>
      <c r="M574" s="163" t="s">
        <v>125</v>
      </c>
      <c r="N574" s="164">
        <v>2169.2600000000002</v>
      </c>
      <c r="O574" s="163" t="s">
        <v>136</v>
      </c>
      <c r="P574" s="164">
        <v>2169.2600000000002</v>
      </c>
      <c r="Q574" s="163" t="s">
        <v>136</v>
      </c>
      <c r="R574" s="163" t="s">
        <v>126</v>
      </c>
      <c r="S574" s="163" t="s">
        <v>2</v>
      </c>
      <c r="T574" s="163" t="s">
        <v>2</v>
      </c>
      <c r="U574" s="163" t="s">
        <v>127</v>
      </c>
      <c r="V574" s="163" t="s">
        <v>198</v>
      </c>
      <c r="W574" s="163" t="s">
        <v>198</v>
      </c>
      <c r="X574" s="163" t="s">
        <v>127</v>
      </c>
      <c r="Y574" s="165">
        <v>44013</v>
      </c>
      <c r="Z574" s="165">
        <v>44008</v>
      </c>
      <c r="AA574" s="165">
        <v>44008</v>
      </c>
      <c r="AB574" s="163" t="s">
        <v>137</v>
      </c>
      <c r="AC574" s="165">
        <v>44013</v>
      </c>
      <c r="AD574" s="163" t="s">
        <v>185</v>
      </c>
      <c r="AE574" s="163">
        <v>875</v>
      </c>
      <c r="AF574" s="163" t="s">
        <v>138</v>
      </c>
      <c r="AH574" s="163" t="s">
        <v>129</v>
      </c>
      <c r="AI574" s="163">
        <v>2169.2600000000002</v>
      </c>
      <c r="AJ574" s="163">
        <v>2169.2600000000002</v>
      </c>
    </row>
    <row r="575" spans="1:36">
      <c r="A575" s="173">
        <v>44013</v>
      </c>
      <c r="B575" s="182" t="s">
        <v>130</v>
      </c>
      <c r="C575" s="163" t="s">
        <v>131</v>
      </c>
      <c r="D575" s="163">
        <v>2808872020</v>
      </c>
      <c r="E575" s="163" t="s">
        <v>132</v>
      </c>
      <c r="F575" s="163">
        <v>875</v>
      </c>
      <c r="G575" s="163" t="s">
        <v>146</v>
      </c>
      <c r="H575" s="163" t="s">
        <v>144</v>
      </c>
      <c r="I575" s="163" t="s">
        <v>197</v>
      </c>
      <c r="J575" s="163" t="s">
        <v>198</v>
      </c>
      <c r="K575" s="163" t="s">
        <v>135</v>
      </c>
      <c r="L575" s="163" t="s">
        <v>265</v>
      </c>
      <c r="M575" s="163" t="s">
        <v>125</v>
      </c>
      <c r="N575" s="164">
        <v>5422.41</v>
      </c>
      <c r="O575" s="163" t="s">
        <v>136</v>
      </c>
      <c r="P575" s="164">
        <v>5422.41</v>
      </c>
      <c r="Q575" s="163" t="s">
        <v>136</v>
      </c>
      <c r="R575" s="163" t="s">
        <v>126</v>
      </c>
      <c r="S575" s="163" t="s">
        <v>2</v>
      </c>
      <c r="T575" s="163" t="s">
        <v>2</v>
      </c>
      <c r="U575" s="163" t="s">
        <v>127</v>
      </c>
      <c r="V575" s="163" t="s">
        <v>198</v>
      </c>
      <c r="W575" s="163" t="s">
        <v>198</v>
      </c>
      <c r="X575" s="163" t="s">
        <v>127</v>
      </c>
      <c r="Y575" s="165">
        <v>44013</v>
      </c>
      <c r="Z575" s="165">
        <v>44008</v>
      </c>
      <c r="AA575" s="165">
        <v>44008</v>
      </c>
      <c r="AB575" s="163" t="s">
        <v>137</v>
      </c>
      <c r="AC575" s="165">
        <v>44013</v>
      </c>
      <c r="AD575" s="163" t="s">
        <v>199</v>
      </c>
      <c r="AE575" s="163">
        <v>875</v>
      </c>
      <c r="AF575" s="163" t="s">
        <v>138</v>
      </c>
      <c r="AH575" s="163" t="s">
        <v>129</v>
      </c>
      <c r="AI575" s="163">
        <v>5422.41</v>
      </c>
      <c r="AJ575" s="163">
        <v>5422.41</v>
      </c>
    </row>
    <row r="576" spans="1:36">
      <c r="A576" s="173">
        <v>44013</v>
      </c>
      <c r="B576" s="182" t="s">
        <v>130</v>
      </c>
      <c r="C576" s="163" t="s">
        <v>131</v>
      </c>
      <c r="D576" s="163">
        <v>3021542020</v>
      </c>
      <c r="E576" s="163" t="s">
        <v>132</v>
      </c>
      <c r="F576" s="163">
        <v>0</v>
      </c>
      <c r="G576" s="163" t="s">
        <v>169</v>
      </c>
      <c r="H576" s="163" t="s">
        <v>170</v>
      </c>
      <c r="I576" s="163" t="s">
        <v>197</v>
      </c>
      <c r="J576" s="163" t="s">
        <v>198</v>
      </c>
      <c r="K576" s="163" t="s">
        <v>135</v>
      </c>
      <c r="L576" s="163" t="s">
        <v>266</v>
      </c>
      <c r="M576" s="163" t="s">
        <v>125</v>
      </c>
      <c r="N576" s="164">
        <v>4149.83</v>
      </c>
      <c r="O576" s="163" t="s">
        <v>136</v>
      </c>
      <c r="P576" s="164">
        <v>4149.83</v>
      </c>
      <c r="Q576" s="163" t="s">
        <v>136</v>
      </c>
      <c r="R576" s="163" t="s">
        <v>126</v>
      </c>
      <c r="S576" s="163" t="s">
        <v>2</v>
      </c>
      <c r="T576" s="163" t="s">
        <v>2</v>
      </c>
      <c r="U576" s="163" t="s">
        <v>127</v>
      </c>
      <c r="V576" s="163" t="s">
        <v>198</v>
      </c>
      <c r="W576" s="163" t="s">
        <v>198</v>
      </c>
      <c r="X576" s="163" t="s">
        <v>127</v>
      </c>
      <c r="Y576" s="165">
        <v>44013</v>
      </c>
      <c r="Z576" s="165">
        <v>44008</v>
      </c>
      <c r="AA576" s="165">
        <v>44008</v>
      </c>
      <c r="AB576" s="163" t="s">
        <v>137</v>
      </c>
      <c r="AC576" s="165">
        <v>44013</v>
      </c>
      <c r="AD576" s="163" t="s">
        <v>141</v>
      </c>
      <c r="AE576" s="163">
        <v>1284</v>
      </c>
      <c r="AF576" s="163" t="s">
        <v>138</v>
      </c>
      <c r="AH576" s="163" t="s">
        <v>129</v>
      </c>
      <c r="AI576" s="163">
        <v>4149.83</v>
      </c>
      <c r="AJ576" s="163">
        <v>4149.83</v>
      </c>
    </row>
    <row r="577" spans="1:36">
      <c r="A577" s="173">
        <v>44013</v>
      </c>
      <c r="B577" s="182" t="s">
        <v>130</v>
      </c>
      <c r="C577" s="163" t="s">
        <v>131</v>
      </c>
      <c r="D577" s="163">
        <v>3021602020</v>
      </c>
      <c r="E577" s="163" t="s">
        <v>132</v>
      </c>
      <c r="F577" s="163">
        <v>0</v>
      </c>
      <c r="G577" s="163" t="s">
        <v>169</v>
      </c>
      <c r="H577" s="163" t="s">
        <v>170</v>
      </c>
      <c r="I577" s="163" t="s">
        <v>197</v>
      </c>
      <c r="J577" s="163" t="s">
        <v>198</v>
      </c>
      <c r="K577" s="163" t="s">
        <v>135</v>
      </c>
      <c r="L577" s="163" t="s">
        <v>267</v>
      </c>
      <c r="M577" s="163" t="s">
        <v>125</v>
      </c>
      <c r="N577" s="164">
        <v>1956.15</v>
      </c>
      <c r="O577" s="163" t="s">
        <v>136</v>
      </c>
      <c r="P577" s="164">
        <v>1956.15</v>
      </c>
      <c r="Q577" s="163" t="s">
        <v>136</v>
      </c>
      <c r="R577" s="163" t="s">
        <v>126</v>
      </c>
      <c r="S577" s="163" t="s">
        <v>2</v>
      </c>
      <c r="T577" s="163" t="s">
        <v>2</v>
      </c>
      <c r="U577" s="163" t="s">
        <v>127</v>
      </c>
      <c r="V577" s="163" t="s">
        <v>198</v>
      </c>
      <c r="W577" s="163" t="s">
        <v>198</v>
      </c>
      <c r="X577" s="163" t="s">
        <v>127</v>
      </c>
      <c r="Y577" s="165">
        <v>44013</v>
      </c>
      <c r="Z577" s="165">
        <v>44008</v>
      </c>
      <c r="AA577" s="165">
        <v>44008</v>
      </c>
      <c r="AB577" s="163" t="s">
        <v>137</v>
      </c>
      <c r="AC577" s="165">
        <v>44013</v>
      </c>
      <c r="AD577" s="163" t="s">
        <v>175</v>
      </c>
      <c r="AE577" s="163">
        <v>1284</v>
      </c>
      <c r="AF577" s="163" t="s">
        <v>138</v>
      </c>
      <c r="AH577" s="163" t="s">
        <v>129</v>
      </c>
      <c r="AI577" s="163">
        <v>1956.15</v>
      </c>
      <c r="AJ577" s="163">
        <v>1956.15</v>
      </c>
    </row>
    <row r="578" spans="1:36">
      <c r="A578" s="173">
        <v>44013</v>
      </c>
      <c r="B578" s="182" t="s">
        <v>130</v>
      </c>
      <c r="C578" s="163" t="s">
        <v>131</v>
      </c>
      <c r="D578" s="163">
        <v>3021572020</v>
      </c>
      <c r="E578" s="163" t="s">
        <v>132</v>
      </c>
      <c r="F578" s="163">
        <v>0</v>
      </c>
      <c r="G578" s="163" t="s">
        <v>169</v>
      </c>
      <c r="H578" s="163" t="s">
        <v>170</v>
      </c>
      <c r="I578" s="163" t="s">
        <v>197</v>
      </c>
      <c r="J578" s="163" t="s">
        <v>198</v>
      </c>
      <c r="K578" s="163" t="s">
        <v>135</v>
      </c>
      <c r="L578" s="163" t="s">
        <v>268</v>
      </c>
      <c r="M578" s="163" t="s">
        <v>125</v>
      </c>
      <c r="N578" s="164">
        <v>3032.03</v>
      </c>
      <c r="O578" s="163" t="s">
        <v>136</v>
      </c>
      <c r="P578" s="164">
        <v>3032.03</v>
      </c>
      <c r="Q578" s="163" t="s">
        <v>136</v>
      </c>
      <c r="R578" s="163" t="s">
        <v>126</v>
      </c>
      <c r="S578" s="163" t="s">
        <v>2</v>
      </c>
      <c r="T578" s="163" t="s">
        <v>2</v>
      </c>
      <c r="U578" s="163" t="s">
        <v>127</v>
      </c>
      <c r="V578" s="163" t="s">
        <v>198</v>
      </c>
      <c r="W578" s="163" t="s">
        <v>198</v>
      </c>
      <c r="X578" s="163" t="s">
        <v>127</v>
      </c>
      <c r="Y578" s="165">
        <v>44013</v>
      </c>
      <c r="Z578" s="165">
        <v>44008</v>
      </c>
      <c r="AA578" s="165">
        <v>44008</v>
      </c>
      <c r="AB578" s="163" t="s">
        <v>137</v>
      </c>
      <c r="AC578" s="165">
        <v>44013</v>
      </c>
      <c r="AD578" s="163" t="s">
        <v>142</v>
      </c>
      <c r="AE578" s="163">
        <v>1284</v>
      </c>
      <c r="AF578" s="163" t="s">
        <v>138</v>
      </c>
      <c r="AH578" s="163" t="s">
        <v>129</v>
      </c>
      <c r="AI578" s="163">
        <v>3032.03</v>
      </c>
      <c r="AJ578" s="163">
        <v>3032.03</v>
      </c>
    </row>
    <row r="579" spans="1:36">
      <c r="A579" s="173">
        <v>44013</v>
      </c>
      <c r="B579" s="182" t="s">
        <v>130</v>
      </c>
      <c r="C579" s="163" t="s">
        <v>131</v>
      </c>
      <c r="D579" s="163">
        <v>3021592020</v>
      </c>
      <c r="E579" s="163" t="s">
        <v>132</v>
      </c>
      <c r="F579" s="163">
        <v>0</v>
      </c>
      <c r="G579" s="163" t="s">
        <v>169</v>
      </c>
      <c r="H579" s="163" t="s">
        <v>170</v>
      </c>
      <c r="I579" s="163" t="s">
        <v>197</v>
      </c>
      <c r="J579" s="163" t="s">
        <v>198</v>
      </c>
      <c r="K579" s="163" t="s">
        <v>135</v>
      </c>
      <c r="L579" s="163" t="s">
        <v>269</v>
      </c>
      <c r="M579" s="163" t="s">
        <v>125</v>
      </c>
      <c r="N579" s="164">
        <v>1956.15</v>
      </c>
      <c r="O579" s="163" t="s">
        <v>136</v>
      </c>
      <c r="P579" s="164">
        <v>1956.15</v>
      </c>
      <c r="Q579" s="163" t="s">
        <v>136</v>
      </c>
      <c r="R579" s="163" t="s">
        <v>126</v>
      </c>
      <c r="S579" s="163" t="s">
        <v>2</v>
      </c>
      <c r="T579" s="163" t="s">
        <v>2</v>
      </c>
      <c r="U579" s="163" t="s">
        <v>127</v>
      </c>
      <c r="V579" s="163" t="s">
        <v>198</v>
      </c>
      <c r="W579" s="163" t="s">
        <v>198</v>
      </c>
      <c r="X579" s="163" t="s">
        <v>127</v>
      </c>
      <c r="Y579" s="165">
        <v>44013</v>
      </c>
      <c r="Z579" s="165">
        <v>44008</v>
      </c>
      <c r="AA579" s="165">
        <v>44008</v>
      </c>
      <c r="AB579" s="163" t="s">
        <v>137</v>
      </c>
      <c r="AC579" s="165">
        <v>44013</v>
      </c>
      <c r="AD579" s="163" t="s">
        <v>174</v>
      </c>
      <c r="AE579" s="163">
        <v>1284</v>
      </c>
      <c r="AF579" s="163" t="s">
        <v>138</v>
      </c>
      <c r="AH579" s="163" t="s">
        <v>129</v>
      </c>
      <c r="AI579" s="163">
        <v>1956.15</v>
      </c>
      <c r="AJ579" s="163">
        <v>1956.15</v>
      </c>
    </row>
    <row r="580" spans="1:36">
      <c r="A580" s="173">
        <v>44013</v>
      </c>
      <c r="B580" s="182" t="s">
        <v>130</v>
      </c>
      <c r="C580" s="163" t="s">
        <v>131</v>
      </c>
      <c r="D580" s="163">
        <v>3021562020</v>
      </c>
      <c r="E580" s="163" t="s">
        <v>132</v>
      </c>
      <c r="F580" s="163">
        <v>0</v>
      </c>
      <c r="G580" s="163" t="s">
        <v>169</v>
      </c>
      <c r="H580" s="163" t="s">
        <v>170</v>
      </c>
      <c r="I580" s="163" t="s">
        <v>197</v>
      </c>
      <c r="J580" s="163" t="s">
        <v>198</v>
      </c>
      <c r="K580" s="163" t="s">
        <v>135</v>
      </c>
      <c r="L580" s="163" t="s">
        <v>270</v>
      </c>
      <c r="M580" s="163" t="s">
        <v>125</v>
      </c>
      <c r="N580" s="164">
        <v>3032.03</v>
      </c>
      <c r="O580" s="163" t="s">
        <v>136</v>
      </c>
      <c r="P580" s="164">
        <v>3032.03</v>
      </c>
      <c r="Q580" s="163" t="s">
        <v>136</v>
      </c>
      <c r="R580" s="163" t="s">
        <v>126</v>
      </c>
      <c r="S580" s="163" t="s">
        <v>2</v>
      </c>
      <c r="T580" s="163" t="s">
        <v>2</v>
      </c>
      <c r="U580" s="163" t="s">
        <v>127</v>
      </c>
      <c r="V580" s="163" t="s">
        <v>198</v>
      </c>
      <c r="W580" s="163" t="s">
        <v>198</v>
      </c>
      <c r="X580" s="163" t="s">
        <v>127</v>
      </c>
      <c r="Y580" s="165">
        <v>44013</v>
      </c>
      <c r="Z580" s="165">
        <v>44008</v>
      </c>
      <c r="AA580" s="165">
        <v>44008</v>
      </c>
      <c r="AB580" s="163" t="s">
        <v>137</v>
      </c>
      <c r="AC580" s="165">
        <v>44013</v>
      </c>
      <c r="AD580" s="163" t="s">
        <v>148</v>
      </c>
      <c r="AE580" s="163">
        <v>1284</v>
      </c>
      <c r="AF580" s="163" t="s">
        <v>138</v>
      </c>
      <c r="AH580" s="163" t="s">
        <v>129</v>
      </c>
      <c r="AI580" s="163">
        <v>3032.03</v>
      </c>
      <c r="AJ580" s="163">
        <v>3032.03</v>
      </c>
    </row>
    <row r="581" spans="1:36">
      <c r="A581" s="173">
        <v>44013</v>
      </c>
      <c r="B581" s="182" t="s">
        <v>130</v>
      </c>
      <c r="C581" s="163" t="s">
        <v>131</v>
      </c>
      <c r="D581" s="163">
        <v>3021532020</v>
      </c>
      <c r="E581" s="163" t="s">
        <v>132</v>
      </c>
      <c r="F581" s="163">
        <v>0</v>
      </c>
      <c r="G581" s="163" t="s">
        <v>169</v>
      </c>
      <c r="H581" s="163" t="s">
        <v>170</v>
      </c>
      <c r="I581" s="163" t="s">
        <v>197</v>
      </c>
      <c r="J581" s="163" t="s">
        <v>198</v>
      </c>
      <c r="K581" s="163" t="s">
        <v>135</v>
      </c>
      <c r="L581" s="163" t="s">
        <v>271</v>
      </c>
      <c r="M581" s="163" t="s">
        <v>125</v>
      </c>
      <c r="N581" s="164">
        <v>3558.33</v>
      </c>
      <c r="O581" s="163" t="s">
        <v>136</v>
      </c>
      <c r="P581" s="164">
        <v>3558.33</v>
      </c>
      <c r="Q581" s="163" t="s">
        <v>136</v>
      </c>
      <c r="R581" s="163" t="s">
        <v>126</v>
      </c>
      <c r="S581" s="163" t="s">
        <v>2</v>
      </c>
      <c r="T581" s="163" t="s">
        <v>2</v>
      </c>
      <c r="U581" s="163" t="s">
        <v>127</v>
      </c>
      <c r="V581" s="163" t="s">
        <v>198</v>
      </c>
      <c r="W581" s="163" t="s">
        <v>198</v>
      </c>
      <c r="X581" s="163" t="s">
        <v>127</v>
      </c>
      <c r="Y581" s="165">
        <v>44013</v>
      </c>
      <c r="Z581" s="165">
        <v>44008</v>
      </c>
      <c r="AA581" s="165">
        <v>44008</v>
      </c>
      <c r="AB581" s="163" t="s">
        <v>137</v>
      </c>
      <c r="AC581" s="165">
        <v>44013</v>
      </c>
      <c r="AD581" s="163" t="s">
        <v>151</v>
      </c>
      <c r="AE581" s="163">
        <v>1284</v>
      </c>
      <c r="AF581" s="163" t="s">
        <v>138</v>
      </c>
      <c r="AH581" s="163" t="s">
        <v>129</v>
      </c>
      <c r="AI581" s="163">
        <v>3558.33</v>
      </c>
      <c r="AJ581" s="163">
        <v>3558.33</v>
      </c>
    </row>
    <row r="582" spans="1:36">
      <c r="A582" s="173">
        <v>44013</v>
      </c>
      <c r="B582" s="182" t="s">
        <v>130</v>
      </c>
      <c r="C582" s="163" t="s">
        <v>131</v>
      </c>
      <c r="D582" s="163">
        <v>3021632020</v>
      </c>
      <c r="E582" s="163" t="s">
        <v>132</v>
      </c>
      <c r="F582" s="163">
        <v>0</v>
      </c>
      <c r="G582" s="163" t="s">
        <v>169</v>
      </c>
      <c r="H582" s="163" t="s">
        <v>170</v>
      </c>
      <c r="I582" s="163" t="s">
        <v>197</v>
      </c>
      <c r="J582" s="163" t="s">
        <v>198</v>
      </c>
      <c r="K582" s="163" t="s">
        <v>135</v>
      </c>
      <c r="L582" s="163" t="s">
        <v>272</v>
      </c>
      <c r="M582" s="163" t="s">
        <v>125</v>
      </c>
      <c r="N582" s="164">
        <v>3423.26</v>
      </c>
      <c r="O582" s="163" t="s">
        <v>136</v>
      </c>
      <c r="P582" s="164">
        <v>3423.26</v>
      </c>
      <c r="Q582" s="163" t="s">
        <v>136</v>
      </c>
      <c r="R582" s="163" t="s">
        <v>126</v>
      </c>
      <c r="S582" s="163" t="s">
        <v>2</v>
      </c>
      <c r="T582" s="163" t="s">
        <v>2</v>
      </c>
      <c r="U582" s="163" t="s">
        <v>127</v>
      </c>
      <c r="V582" s="163" t="s">
        <v>198</v>
      </c>
      <c r="W582" s="163" t="s">
        <v>198</v>
      </c>
      <c r="X582" s="163" t="s">
        <v>127</v>
      </c>
      <c r="Y582" s="165">
        <v>44013</v>
      </c>
      <c r="Z582" s="165">
        <v>44008</v>
      </c>
      <c r="AA582" s="165">
        <v>44008</v>
      </c>
      <c r="AB582" s="163" t="s">
        <v>137</v>
      </c>
      <c r="AC582" s="165">
        <v>44013</v>
      </c>
      <c r="AD582" s="163" t="s">
        <v>273</v>
      </c>
      <c r="AE582" s="163">
        <v>1284</v>
      </c>
      <c r="AF582" s="163" t="s">
        <v>138</v>
      </c>
      <c r="AH582" s="163" t="s">
        <v>129</v>
      </c>
      <c r="AI582" s="163">
        <v>3423.26</v>
      </c>
      <c r="AJ582" s="163">
        <v>3423.26</v>
      </c>
    </row>
    <row r="583" spans="1:36">
      <c r="A583" s="173">
        <v>44013</v>
      </c>
      <c r="B583" s="182" t="s">
        <v>130</v>
      </c>
      <c r="C583" s="163" t="s">
        <v>131</v>
      </c>
      <c r="D583" s="163">
        <v>3021622020</v>
      </c>
      <c r="E583" s="163" t="s">
        <v>132</v>
      </c>
      <c r="F583" s="163">
        <v>0</v>
      </c>
      <c r="G583" s="163" t="s">
        <v>169</v>
      </c>
      <c r="H583" s="163" t="s">
        <v>170</v>
      </c>
      <c r="I583" s="163" t="s">
        <v>197</v>
      </c>
      <c r="J583" s="163" t="s">
        <v>198</v>
      </c>
      <c r="K583" s="163" t="s">
        <v>135</v>
      </c>
      <c r="L583" s="163" t="s">
        <v>274</v>
      </c>
      <c r="M583" s="163" t="s">
        <v>125</v>
      </c>
      <c r="N583" s="164">
        <v>5132.5600000000004</v>
      </c>
      <c r="O583" s="163" t="s">
        <v>136</v>
      </c>
      <c r="P583" s="164">
        <v>5132.5600000000004</v>
      </c>
      <c r="Q583" s="163" t="s">
        <v>136</v>
      </c>
      <c r="R583" s="163" t="s">
        <v>126</v>
      </c>
      <c r="S583" s="163" t="s">
        <v>2</v>
      </c>
      <c r="T583" s="163" t="s">
        <v>2</v>
      </c>
      <c r="U583" s="163" t="s">
        <v>127</v>
      </c>
      <c r="V583" s="163" t="s">
        <v>198</v>
      </c>
      <c r="W583" s="163" t="s">
        <v>198</v>
      </c>
      <c r="X583" s="163" t="s">
        <v>127</v>
      </c>
      <c r="Y583" s="165">
        <v>44013</v>
      </c>
      <c r="Z583" s="165">
        <v>44008</v>
      </c>
      <c r="AA583" s="165">
        <v>44008</v>
      </c>
      <c r="AB583" s="163" t="s">
        <v>137</v>
      </c>
      <c r="AC583" s="165">
        <v>44013</v>
      </c>
      <c r="AD583" s="163" t="s">
        <v>275</v>
      </c>
      <c r="AE583" s="163">
        <v>1284</v>
      </c>
      <c r="AF583" s="163" t="s">
        <v>138</v>
      </c>
      <c r="AH583" s="163" t="s">
        <v>129</v>
      </c>
      <c r="AI583" s="163">
        <v>5132.5600000000004</v>
      </c>
      <c r="AJ583" s="163">
        <v>5132.5600000000004</v>
      </c>
    </row>
    <row r="584" spans="1:36">
      <c r="A584" s="173">
        <v>44013</v>
      </c>
      <c r="B584" s="182" t="s">
        <v>130</v>
      </c>
      <c r="C584" s="163" t="s">
        <v>131</v>
      </c>
      <c r="D584" s="163">
        <v>3021612020</v>
      </c>
      <c r="E584" s="163" t="s">
        <v>132</v>
      </c>
      <c r="F584" s="163">
        <v>0</v>
      </c>
      <c r="G584" s="163" t="s">
        <v>169</v>
      </c>
      <c r="H584" s="163" t="s">
        <v>170</v>
      </c>
      <c r="I584" s="163" t="s">
        <v>197</v>
      </c>
      <c r="J584" s="163" t="s">
        <v>198</v>
      </c>
      <c r="K584" s="163" t="s">
        <v>135</v>
      </c>
      <c r="L584" s="163" t="s">
        <v>276</v>
      </c>
      <c r="M584" s="163" t="s">
        <v>125</v>
      </c>
      <c r="N584" s="164">
        <v>978.07</v>
      </c>
      <c r="O584" s="163" t="s">
        <v>136</v>
      </c>
      <c r="P584" s="164">
        <v>978.07</v>
      </c>
      <c r="Q584" s="163" t="s">
        <v>136</v>
      </c>
      <c r="R584" s="163" t="s">
        <v>126</v>
      </c>
      <c r="S584" s="163" t="s">
        <v>2</v>
      </c>
      <c r="T584" s="163" t="s">
        <v>2</v>
      </c>
      <c r="U584" s="163" t="s">
        <v>127</v>
      </c>
      <c r="V584" s="163" t="s">
        <v>198</v>
      </c>
      <c r="W584" s="163" t="s">
        <v>198</v>
      </c>
      <c r="X584" s="163" t="s">
        <v>127</v>
      </c>
      <c r="Y584" s="165">
        <v>44013</v>
      </c>
      <c r="Z584" s="165">
        <v>44008</v>
      </c>
      <c r="AA584" s="165">
        <v>44008</v>
      </c>
      <c r="AB584" s="163" t="s">
        <v>137</v>
      </c>
      <c r="AC584" s="165">
        <v>44013</v>
      </c>
      <c r="AD584" s="163" t="s">
        <v>277</v>
      </c>
      <c r="AE584" s="163">
        <v>1284</v>
      </c>
      <c r="AF584" s="163" t="s">
        <v>138</v>
      </c>
      <c r="AH584" s="163" t="s">
        <v>129</v>
      </c>
      <c r="AI584" s="163">
        <v>978.07</v>
      </c>
      <c r="AJ584" s="163">
        <v>978.07</v>
      </c>
    </row>
    <row r="585" spans="1:36">
      <c r="A585" s="173">
        <v>44013</v>
      </c>
      <c r="B585" s="182" t="s">
        <v>130</v>
      </c>
      <c r="C585" s="163" t="s">
        <v>131</v>
      </c>
      <c r="D585" s="163">
        <v>3021582020</v>
      </c>
      <c r="E585" s="163" t="s">
        <v>132</v>
      </c>
      <c r="F585" s="163">
        <v>0</v>
      </c>
      <c r="G585" s="163" t="s">
        <v>169</v>
      </c>
      <c r="H585" s="163" t="s">
        <v>170</v>
      </c>
      <c r="I585" s="163" t="s">
        <v>197</v>
      </c>
      <c r="J585" s="163" t="s">
        <v>198</v>
      </c>
      <c r="K585" s="163" t="s">
        <v>135</v>
      </c>
      <c r="L585" s="163" t="s">
        <v>278</v>
      </c>
      <c r="M585" s="163" t="s">
        <v>125</v>
      </c>
      <c r="N585" s="164">
        <v>1518.34</v>
      </c>
      <c r="O585" s="163" t="s">
        <v>136</v>
      </c>
      <c r="P585" s="164">
        <v>1518.34</v>
      </c>
      <c r="Q585" s="163" t="s">
        <v>136</v>
      </c>
      <c r="R585" s="163" t="s">
        <v>126</v>
      </c>
      <c r="S585" s="163" t="s">
        <v>2</v>
      </c>
      <c r="T585" s="163" t="s">
        <v>2</v>
      </c>
      <c r="U585" s="163" t="s">
        <v>127</v>
      </c>
      <c r="V585" s="163" t="s">
        <v>198</v>
      </c>
      <c r="W585" s="163" t="s">
        <v>198</v>
      </c>
      <c r="X585" s="163" t="s">
        <v>127</v>
      </c>
      <c r="Y585" s="165">
        <v>44013</v>
      </c>
      <c r="Z585" s="165">
        <v>44008</v>
      </c>
      <c r="AA585" s="165">
        <v>44008</v>
      </c>
      <c r="AB585" s="163" t="s">
        <v>137</v>
      </c>
      <c r="AC585" s="165">
        <v>44013</v>
      </c>
      <c r="AD585" s="163" t="s">
        <v>279</v>
      </c>
      <c r="AE585" s="163">
        <v>1284</v>
      </c>
      <c r="AF585" s="163" t="s">
        <v>138</v>
      </c>
      <c r="AH585" s="163" t="s">
        <v>129</v>
      </c>
      <c r="AI585" s="163">
        <v>1518.34</v>
      </c>
      <c r="AJ585" s="163">
        <v>1518.34</v>
      </c>
    </row>
    <row r="586" spans="1:36">
      <c r="A586" s="173">
        <v>44013</v>
      </c>
      <c r="B586" s="182" t="s">
        <v>130</v>
      </c>
      <c r="C586" s="163" t="s">
        <v>131</v>
      </c>
      <c r="D586" s="163">
        <v>3021552020</v>
      </c>
      <c r="E586" s="163" t="s">
        <v>132</v>
      </c>
      <c r="F586" s="163">
        <v>0</v>
      </c>
      <c r="G586" s="163" t="s">
        <v>169</v>
      </c>
      <c r="H586" s="163" t="s">
        <v>170</v>
      </c>
      <c r="I586" s="163" t="s">
        <v>197</v>
      </c>
      <c r="J586" s="163" t="s">
        <v>198</v>
      </c>
      <c r="K586" s="163" t="s">
        <v>135</v>
      </c>
      <c r="L586" s="163" t="s">
        <v>280</v>
      </c>
      <c r="M586" s="163" t="s">
        <v>125</v>
      </c>
      <c r="N586" s="164">
        <v>4149.83</v>
      </c>
      <c r="O586" s="163" t="s">
        <v>136</v>
      </c>
      <c r="P586" s="164">
        <v>4149.83</v>
      </c>
      <c r="Q586" s="163" t="s">
        <v>136</v>
      </c>
      <c r="R586" s="163" t="s">
        <v>126</v>
      </c>
      <c r="S586" s="163" t="s">
        <v>2</v>
      </c>
      <c r="T586" s="163" t="s">
        <v>2</v>
      </c>
      <c r="U586" s="163" t="s">
        <v>127</v>
      </c>
      <c r="V586" s="163" t="s">
        <v>198</v>
      </c>
      <c r="W586" s="163" t="s">
        <v>198</v>
      </c>
      <c r="X586" s="163" t="s">
        <v>127</v>
      </c>
      <c r="Y586" s="165">
        <v>44013</v>
      </c>
      <c r="Z586" s="165">
        <v>44008</v>
      </c>
      <c r="AA586" s="165">
        <v>44008</v>
      </c>
      <c r="AB586" s="163" t="s">
        <v>137</v>
      </c>
      <c r="AC586" s="165">
        <v>44013</v>
      </c>
      <c r="AD586" s="163" t="s">
        <v>150</v>
      </c>
      <c r="AE586" s="163">
        <v>1284</v>
      </c>
      <c r="AF586" s="163" t="s">
        <v>138</v>
      </c>
      <c r="AH586" s="163" t="s">
        <v>129</v>
      </c>
      <c r="AI586" s="163">
        <v>4149.83</v>
      </c>
      <c r="AJ586" s="163">
        <v>4149.83</v>
      </c>
    </row>
    <row r="587" spans="1:36">
      <c r="A587" s="173">
        <v>44013</v>
      </c>
      <c r="B587" s="182" t="s">
        <v>130</v>
      </c>
      <c r="C587" s="163" t="s">
        <v>131</v>
      </c>
      <c r="D587" s="163">
        <v>2890632020</v>
      </c>
      <c r="E587" s="163" t="s">
        <v>132</v>
      </c>
      <c r="F587" s="163">
        <v>775</v>
      </c>
      <c r="G587" s="163" t="s">
        <v>281</v>
      </c>
      <c r="H587" s="163" t="s">
        <v>139</v>
      </c>
      <c r="I587" s="163" t="s">
        <v>282</v>
      </c>
      <c r="J587" s="163" t="s">
        <v>282</v>
      </c>
      <c r="K587" s="163" t="s">
        <v>135</v>
      </c>
      <c r="L587" s="163" t="s">
        <v>283</v>
      </c>
      <c r="M587" s="163" t="s">
        <v>125</v>
      </c>
      <c r="N587" s="164">
        <v>1074.72</v>
      </c>
      <c r="O587" s="163" t="s">
        <v>136</v>
      </c>
      <c r="P587" s="164">
        <v>1074.72</v>
      </c>
      <c r="Q587" s="163" t="s">
        <v>136</v>
      </c>
      <c r="R587" s="163" t="s">
        <v>126</v>
      </c>
      <c r="S587" s="163" t="s">
        <v>2</v>
      </c>
      <c r="T587" s="163" t="s">
        <v>2</v>
      </c>
      <c r="U587" s="163" t="s">
        <v>127</v>
      </c>
      <c r="V587" s="163" t="s">
        <v>282</v>
      </c>
      <c r="W587" s="163" t="s">
        <v>282</v>
      </c>
      <c r="X587" s="163" t="s">
        <v>127</v>
      </c>
      <c r="Y587" s="165">
        <v>44013</v>
      </c>
      <c r="Z587" s="165">
        <v>44008</v>
      </c>
      <c r="AA587" s="165">
        <v>44008</v>
      </c>
      <c r="AB587" s="163" t="s">
        <v>137</v>
      </c>
      <c r="AC587" s="165">
        <v>44013</v>
      </c>
      <c r="AD587" s="163">
        <v>182813540001</v>
      </c>
      <c r="AE587" s="163">
        <v>775</v>
      </c>
      <c r="AF587" s="163" t="s">
        <v>138</v>
      </c>
      <c r="AH587" s="163" t="s">
        <v>129</v>
      </c>
      <c r="AI587" s="163">
        <v>1074.72</v>
      </c>
      <c r="AJ587" s="163">
        <v>1074.72</v>
      </c>
    </row>
    <row r="588" spans="1:36">
      <c r="A588" s="173">
        <v>44013</v>
      </c>
      <c r="B588" s="182" t="s">
        <v>130</v>
      </c>
      <c r="C588" s="163" t="s">
        <v>131</v>
      </c>
      <c r="D588" s="163">
        <v>2890642020</v>
      </c>
      <c r="E588" s="163" t="s">
        <v>132</v>
      </c>
      <c r="F588" s="163">
        <v>775</v>
      </c>
      <c r="G588" s="163" t="s">
        <v>281</v>
      </c>
      <c r="H588" s="163" t="s">
        <v>139</v>
      </c>
      <c r="I588" s="163" t="s">
        <v>282</v>
      </c>
      <c r="J588" s="163" t="s">
        <v>282</v>
      </c>
      <c r="K588" s="163" t="s">
        <v>135</v>
      </c>
      <c r="L588" s="163" t="s">
        <v>284</v>
      </c>
      <c r="M588" s="163" t="s">
        <v>125</v>
      </c>
      <c r="N588" s="164">
        <v>1083.75</v>
      </c>
      <c r="O588" s="163" t="s">
        <v>136</v>
      </c>
      <c r="P588" s="164">
        <v>1083.75</v>
      </c>
      <c r="Q588" s="163" t="s">
        <v>136</v>
      </c>
      <c r="R588" s="163" t="s">
        <v>126</v>
      </c>
      <c r="S588" s="163" t="s">
        <v>2</v>
      </c>
      <c r="T588" s="163" t="s">
        <v>2</v>
      </c>
      <c r="U588" s="163" t="s">
        <v>127</v>
      </c>
      <c r="V588" s="163" t="s">
        <v>282</v>
      </c>
      <c r="W588" s="163" t="s">
        <v>282</v>
      </c>
      <c r="X588" s="163" t="s">
        <v>127</v>
      </c>
      <c r="Y588" s="165">
        <v>44013</v>
      </c>
      <c r="Z588" s="165">
        <v>44008</v>
      </c>
      <c r="AA588" s="165">
        <v>44008</v>
      </c>
      <c r="AB588" s="163" t="s">
        <v>137</v>
      </c>
      <c r="AC588" s="165">
        <v>44013</v>
      </c>
      <c r="AD588" s="163">
        <v>182813540006</v>
      </c>
      <c r="AE588" s="163">
        <v>775</v>
      </c>
      <c r="AF588" s="163" t="s">
        <v>138</v>
      </c>
      <c r="AH588" s="163" t="s">
        <v>129</v>
      </c>
      <c r="AI588" s="163">
        <v>1083.75</v>
      </c>
      <c r="AJ588" s="163">
        <v>1083.75</v>
      </c>
    </row>
    <row r="589" spans="1:36">
      <c r="A589" s="173">
        <v>44013</v>
      </c>
      <c r="B589" s="182" t="s">
        <v>130</v>
      </c>
      <c r="C589" s="163" t="s">
        <v>131</v>
      </c>
      <c r="D589" s="163">
        <v>2890652020</v>
      </c>
      <c r="E589" s="163" t="s">
        <v>132</v>
      </c>
      <c r="F589" s="163">
        <v>775</v>
      </c>
      <c r="G589" s="163" t="s">
        <v>281</v>
      </c>
      <c r="H589" s="163" t="s">
        <v>139</v>
      </c>
      <c r="I589" s="163" t="s">
        <v>282</v>
      </c>
      <c r="J589" s="163" t="s">
        <v>282</v>
      </c>
      <c r="K589" s="163" t="s">
        <v>135</v>
      </c>
      <c r="L589" s="163" t="s">
        <v>285</v>
      </c>
      <c r="M589" s="163" t="s">
        <v>125</v>
      </c>
      <c r="N589" s="164">
        <v>903.13</v>
      </c>
      <c r="O589" s="163" t="s">
        <v>136</v>
      </c>
      <c r="P589" s="164">
        <v>903.13</v>
      </c>
      <c r="Q589" s="163" t="s">
        <v>136</v>
      </c>
      <c r="R589" s="163" t="s">
        <v>126</v>
      </c>
      <c r="S589" s="163" t="s">
        <v>2</v>
      </c>
      <c r="T589" s="163" t="s">
        <v>2</v>
      </c>
      <c r="U589" s="163" t="s">
        <v>127</v>
      </c>
      <c r="V589" s="163" t="s">
        <v>282</v>
      </c>
      <c r="W589" s="163" t="s">
        <v>282</v>
      </c>
      <c r="X589" s="163" t="s">
        <v>127</v>
      </c>
      <c r="Y589" s="165">
        <v>44013</v>
      </c>
      <c r="Z589" s="165">
        <v>44008</v>
      </c>
      <c r="AA589" s="165">
        <v>44008</v>
      </c>
      <c r="AB589" s="163" t="s">
        <v>137</v>
      </c>
      <c r="AC589" s="165">
        <v>44013</v>
      </c>
      <c r="AD589" s="163">
        <v>182813540009</v>
      </c>
      <c r="AE589" s="163">
        <v>775</v>
      </c>
      <c r="AF589" s="163" t="s">
        <v>138</v>
      </c>
      <c r="AH589" s="163" t="s">
        <v>129</v>
      </c>
      <c r="AI589" s="163">
        <v>903.13</v>
      </c>
      <c r="AJ589" s="163">
        <v>903.13</v>
      </c>
    </row>
    <row r="590" spans="1:36">
      <c r="A590" s="173">
        <v>44013</v>
      </c>
      <c r="B590" s="182" t="s">
        <v>130</v>
      </c>
      <c r="C590" s="163" t="s">
        <v>286</v>
      </c>
      <c r="D590" s="163" t="s">
        <v>287</v>
      </c>
      <c r="E590" s="163" t="s">
        <v>132</v>
      </c>
      <c r="F590" s="163">
        <v>0</v>
      </c>
      <c r="G590" s="163" t="s">
        <v>288</v>
      </c>
      <c r="H590" s="163" t="s">
        <v>289</v>
      </c>
      <c r="I590" s="163" t="s">
        <v>133</v>
      </c>
      <c r="J590" s="163" t="s">
        <v>134</v>
      </c>
      <c r="K590" s="163" t="s">
        <v>135</v>
      </c>
      <c r="L590" s="163" t="s">
        <v>290</v>
      </c>
      <c r="M590" s="163" t="s">
        <v>125</v>
      </c>
      <c r="N590" s="164">
        <v>60203.35</v>
      </c>
      <c r="O590" s="163" t="s">
        <v>136</v>
      </c>
      <c r="P590" s="164">
        <v>60203.35</v>
      </c>
      <c r="Q590" s="163" t="s">
        <v>136</v>
      </c>
      <c r="R590" s="163" t="s">
        <v>2</v>
      </c>
      <c r="S590" s="163" t="s">
        <v>2</v>
      </c>
      <c r="T590" s="163" t="s">
        <v>2</v>
      </c>
      <c r="U590" s="163" t="s">
        <v>127</v>
      </c>
      <c r="V590" s="163" t="s">
        <v>134</v>
      </c>
      <c r="W590" s="163" t="s">
        <v>134</v>
      </c>
      <c r="X590" s="163" t="s">
        <v>127</v>
      </c>
      <c r="Y590" s="165">
        <v>44014</v>
      </c>
      <c r="Z590" s="165">
        <v>44008</v>
      </c>
      <c r="AA590" s="165">
        <v>44008</v>
      </c>
      <c r="AB590" s="163" t="s">
        <v>137</v>
      </c>
      <c r="AC590" s="165">
        <v>43784</v>
      </c>
      <c r="AD590" s="163" t="s">
        <v>291</v>
      </c>
      <c r="AE590" s="163">
        <v>1263</v>
      </c>
      <c r="AF590" s="163" t="s">
        <v>292</v>
      </c>
      <c r="AH590" s="163" t="s">
        <v>129</v>
      </c>
      <c r="AI590" s="163">
        <v>60203.35</v>
      </c>
      <c r="AJ590" s="163">
        <v>60203.35</v>
      </c>
    </row>
    <row r="591" spans="1:36">
      <c r="A591" s="173">
        <v>44013</v>
      </c>
      <c r="B591" s="182" t="s">
        <v>130</v>
      </c>
      <c r="C591" s="163" t="s">
        <v>286</v>
      </c>
      <c r="D591" s="163" t="s">
        <v>293</v>
      </c>
      <c r="E591" s="163" t="s">
        <v>132</v>
      </c>
      <c r="F591" s="163">
        <v>801</v>
      </c>
      <c r="G591" s="163" t="s">
        <v>294</v>
      </c>
      <c r="H591" s="163" t="s">
        <v>140</v>
      </c>
      <c r="I591" s="163" t="s">
        <v>147</v>
      </c>
      <c r="J591" s="163" t="s">
        <v>147</v>
      </c>
      <c r="K591" s="163" t="s">
        <v>135</v>
      </c>
      <c r="L591" s="163" t="s">
        <v>295</v>
      </c>
      <c r="M591" s="163" t="s">
        <v>296</v>
      </c>
      <c r="N591" s="164">
        <v>0</v>
      </c>
      <c r="O591" s="163" t="s">
        <v>136</v>
      </c>
      <c r="P591" s="164">
        <v>0</v>
      </c>
      <c r="Q591" s="163" t="s">
        <v>136</v>
      </c>
      <c r="R591" s="163" t="s">
        <v>2</v>
      </c>
      <c r="S591" s="163" t="s">
        <v>2</v>
      </c>
      <c r="T591" s="163" t="s">
        <v>2</v>
      </c>
      <c r="U591" s="163" t="s">
        <v>127</v>
      </c>
      <c r="V591" s="163" t="s">
        <v>147</v>
      </c>
      <c r="W591" s="163" t="s">
        <v>147</v>
      </c>
      <c r="X591" s="163" t="s">
        <v>127</v>
      </c>
      <c r="Y591" s="165">
        <v>44013</v>
      </c>
      <c r="Z591" s="165">
        <v>44008</v>
      </c>
      <c r="AA591" s="165">
        <v>44008</v>
      </c>
      <c r="AB591" s="163" t="s">
        <v>137</v>
      </c>
      <c r="AC591" s="165">
        <v>44005</v>
      </c>
      <c r="AD591" s="163" t="s">
        <v>297</v>
      </c>
      <c r="AE591" s="163">
        <v>801</v>
      </c>
      <c r="AF591" s="163" t="s">
        <v>292</v>
      </c>
      <c r="AH591" s="163" t="s">
        <v>173</v>
      </c>
      <c r="AI591" s="163">
        <v>0</v>
      </c>
      <c r="AJ591" s="163">
        <v>0</v>
      </c>
    </row>
    <row r="592" spans="1:36">
      <c r="A592" s="173">
        <v>44013</v>
      </c>
      <c r="B592" s="182" t="s">
        <v>130</v>
      </c>
      <c r="C592" s="163" t="s">
        <v>286</v>
      </c>
      <c r="D592" s="163" t="s">
        <v>298</v>
      </c>
      <c r="E592" s="163" t="s">
        <v>132</v>
      </c>
      <c r="F592" s="163">
        <v>621</v>
      </c>
      <c r="G592" s="163" t="s">
        <v>299</v>
      </c>
      <c r="H592" s="163" t="s">
        <v>300</v>
      </c>
      <c r="I592" s="163" t="s">
        <v>171</v>
      </c>
      <c r="J592" s="163" t="s">
        <v>172</v>
      </c>
      <c r="K592" s="163" t="s">
        <v>135</v>
      </c>
      <c r="L592" s="163" t="s">
        <v>301</v>
      </c>
      <c r="M592" s="163" t="s">
        <v>302</v>
      </c>
      <c r="N592" s="164">
        <v>444.72</v>
      </c>
      <c r="O592" s="163" t="s">
        <v>149</v>
      </c>
      <c r="P592" s="164">
        <v>444.72</v>
      </c>
      <c r="Q592" s="163" t="s">
        <v>149</v>
      </c>
      <c r="R592" s="163" t="s">
        <v>2</v>
      </c>
      <c r="S592" s="163" t="s">
        <v>2</v>
      </c>
      <c r="T592" s="163" t="s">
        <v>2</v>
      </c>
      <c r="U592" s="163" t="s">
        <v>127</v>
      </c>
      <c r="V592" s="163" t="s">
        <v>172</v>
      </c>
      <c r="W592" s="163" t="s">
        <v>172</v>
      </c>
      <c r="X592" s="163" t="s">
        <v>127</v>
      </c>
      <c r="Y592" s="165">
        <v>44013</v>
      </c>
      <c r="Z592" s="165">
        <v>44008</v>
      </c>
      <c r="AA592" s="165">
        <v>44008</v>
      </c>
      <c r="AB592" s="163" t="s">
        <v>137</v>
      </c>
      <c r="AD592" s="163" t="s">
        <v>303</v>
      </c>
      <c r="AE592" s="163">
        <v>621</v>
      </c>
      <c r="AF592" s="163" t="s">
        <v>292</v>
      </c>
      <c r="AH592" s="163" t="s">
        <v>173</v>
      </c>
      <c r="AI592" s="163">
        <v>-444.72</v>
      </c>
      <c r="AJ592" s="163">
        <v>-444.72</v>
      </c>
    </row>
    <row r="593" spans="1:36">
      <c r="A593" s="173">
        <v>44013</v>
      </c>
      <c r="B593" s="182" t="s">
        <v>130</v>
      </c>
      <c r="C593" s="163" t="s">
        <v>286</v>
      </c>
      <c r="D593" s="163" t="s">
        <v>304</v>
      </c>
      <c r="E593" s="163" t="s">
        <v>132</v>
      </c>
      <c r="F593" s="163">
        <v>222</v>
      </c>
      <c r="G593" s="163">
        <v>48826</v>
      </c>
      <c r="H593" s="163" t="s">
        <v>305</v>
      </c>
      <c r="I593" s="163" t="s">
        <v>197</v>
      </c>
      <c r="J593" s="163" t="s">
        <v>198</v>
      </c>
      <c r="K593" s="163" t="s">
        <v>135</v>
      </c>
      <c r="L593" s="163" t="s">
        <v>306</v>
      </c>
      <c r="M593" s="163" t="s">
        <v>302</v>
      </c>
      <c r="N593" s="164">
        <v>823.36</v>
      </c>
      <c r="O593" s="163" t="s">
        <v>149</v>
      </c>
      <c r="P593" s="164">
        <v>823.36</v>
      </c>
      <c r="Q593" s="163" t="s">
        <v>149</v>
      </c>
      <c r="R593" s="163" t="s">
        <v>2</v>
      </c>
      <c r="S593" s="163" t="s">
        <v>2</v>
      </c>
      <c r="T593" s="163" t="s">
        <v>2</v>
      </c>
      <c r="U593" s="163" t="s">
        <v>127</v>
      </c>
      <c r="V593" s="163" t="s">
        <v>198</v>
      </c>
      <c r="W593" s="163" t="s">
        <v>198</v>
      </c>
      <c r="X593" s="163" t="s">
        <v>127</v>
      </c>
      <c r="Y593" s="165">
        <v>44013</v>
      </c>
      <c r="Z593" s="165">
        <v>44008</v>
      </c>
      <c r="AA593" s="165">
        <v>44008</v>
      </c>
      <c r="AB593" s="163" t="s">
        <v>137</v>
      </c>
      <c r="AD593" s="163">
        <v>328383</v>
      </c>
      <c r="AE593" s="163">
        <v>222</v>
      </c>
      <c r="AF593" s="163" t="s">
        <v>292</v>
      </c>
      <c r="AH593" s="163" t="s">
        <v>173</v>
      </c>
      <c r="AI593" s="163">
        <v>-823.36</v>
      </c>
      <c r="AJ593" s="163">
        <v>-823.36</v>
      </c>
    </row>
    <row r="594" spans="1:36">
      <c r="A594" s="173">
        <v>44013</v>
      </c>
      <c r="B594" s="182" t="s">
        <v>130</v>
      </c>
      <c r="C594" s="163" t="s">
        <v>286</v>
      </c>
      <c r="D594" s="163" t="s">
        <v>298</v>
      </c>
      <c r="E594" s="163" t="s">
        <v>132</v>
      </c>
      <c r="F594" s="163">
        <v>621</v>
      </c>
      <c r="G594" s="163" t="s">
        <v>299</v>
      </c>
      <c r="H594" s="163" t="s">
        <v>300</v>
      </c>
      <c r="I594" s="163" t="s">
        <v>197</v>
      </c>
      <c r="J594" s="163" t="s">
        <v>198</v>
      </c>
      <c r="K594" s="163" t="s">
        <v>135</v>
      </c>
      <c r="L594" s="163" t="s">
        <v>307</v>
      </c>
      <c r="M594" s="163" t="s">
        <v>302</v>
      </c>
      <c r="N594" s="164">
        <v>32457.26</v>
      </c>
      <c r="O594" s="163" t="s">
        <v>149</v>
      </c>
      <c r="P594" s="164">
        <v>8914.3799999999992</v>
      </c>
      <c r="Q594" s="163" t="s">
        <v>149</v>
      </c>
      <c r="R594" s="163" t="s">
        <v>2</v>
      </c>
      <c r="S594" s="163" t="s">
        <v>2</v>
      </c>
      <c r="T594" s="163" t="s">
        <v>2</v>
      </c>
      <c r="U594" s="163" t="s">
        <v>128</v>
      </c>
      <c r="V594" s="163" t="s">
        <v>308</v>
      </c>
      <c r="W594" s="163" t="s">
        <v>308</v>
      </c>
      <c r="X594" s="163" t="s">
        <v>127</v>
      </c>
      <c r="Y594" s="165">
        <v>44013</v>
      </c>
      <c r="Z594" s="165">
        <v>44008</v>
      </c>
      <c r="AA594" s="165">
        <v>44008</v>
      </c>
      <c r="AB594" s="163" t="s">
        <v>137</v>
      </c>
      <c r="AD594" s="163" t="s">
        <v>303</v>
      </c>
      <c r="AE594" s="163">
        <v>621</v>
      </c>
      <c r="AF594" s="163" t="s">
        <v>292</v>
      </c>
      <c r="AH594" s="163" t="s">
        <v>173</v>
      </c>
      <c r="AI594" s="163">
        <v>-32457.26</v>
      </c>
      <c r="AJ594" s="163">
        <v>-8914.3799999999992</v>
      </c>
    </row>
    <row r="595" spans="1:36">
      <c r="A595" s="173">
        <v>44013</v>
      </c>
      <c r="B595" s="182" t="s">
        <v>130</v>
      </c>
      <c r="C595" s="163" t="s">
        <v>286</v>
      </c>
      <c r="D595" s="163" t="s">
        <v>309</v>
      </c>
      <c r="E595" s="163" t="s">
        <v>132</v>
      </c>
      <c r="F595" s="163">
        <v>793</v>
      </c>
      <c r="G595" s="163" t="s">
        <v>310</v>
      </c>
      <c r="H595" s="163" t="s">
        <v>311</v>
      </c>
      <c r="I595" s="163" t="s">
        <v>197</v>
      </c>
      <c r="J595" s="163" t="s">
        <v>198</v>
      </c>
      <c r="K595" s="163" t="s">
        <v>135</v>
      </c>
      <c r="L595" s="163" t="s">
        <v>312</v>
      </c>
      <c r="M595" s="163" t="s">
        <v>125</v>
      </c>
      <c r="N595" s="164">
        <v>62819.99</v>
      </c>
      <c r="O595" s="163" t="s">
        <v>136</v>
      </c>
      <c r="P595" s="164">
        <v>16619.09</v>
      </c>
      <c r="Q595" s="163" t="s">
        <v>136</v>
      </c>
      <c r="R595" s="163" t="s">
        <v>2</v>
      </c>
      <c r="S595" s="163" t="s">
        <v>2</v>
      </c>
      <c r="T595" s="163" t="s">
        <v>2</v>
      </c>
      <c r="U595" s="163" t="s">
        <v>128</v>
      </c>
      <c r="V595" s="163" t="s">
        <v>313</v>
      </c>
      <c r="W595" s="163" t="s">
        <v>313</v>
      </c>
      <c r="X595" s="163" t="s">
        <v>127</v>
      </c>
      <c r="Y595" s="165">
        <v>44013</v>
      </c>
      <c r="Z595" s="165">
        <v>44008</v>
      </c>
      <c r="AA595" s="165">
        <v>44008</v>
      </c>
      <c r="AB595" s="163" t="s">
        <v>137</v>
      </c>
      <c r="AC595" s="165">
        <v>44012</v>
      </c>
      <c r="AD595" s="163" t="s">
        <v>291</v>
      </c>
      <c r="AE595" s="163">
        <v>793</v>
      </c>
      <c r="AF595" s="163" t="s">
        <v>292</v>
      </c>
      <c r="AH595" s="163" t="s">
        <v>129</v>
      </c>
      <c r="AI595" s="163">
        <v>62819.99</v>
      </c>
      <c r="AJ595" s="163">
        <v>16619.09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Y1" zoomScale="115" zoomScaleNormal="115" workbookViewId="0">
      <selection activeCell="AI10" sqref="AI10"/>
    </sheetView>
  </sheetViews>
  <sheetFormatPr defaultColWidth="11.42578125" defaultRowHeight="14.4"/>
  <cols>
    <col min="1" max="2" width="11.85546875" style="64" bestFit="1" customWidth="1"/>
    <col min="3" max="3" width="22.140625" style="64" bestFit="1" customWidth="1"/>
    <col min="4" max="4" width="65.140625" style="64" bestFit="1" customWidth="1"/>
    <col min="5" max="5" width="12.7109375" style="64" bestFit="1" customWidth="1"/>
    <col min="6" max="6" width="31.42578125" style="64" bestFit="1" customWidth="1"/>
    <col min="7" max="7" width="11.85546875" style="64" bestFit="1" customWidth="1"/>
    <col min="8" max="8" width="13.140625" style="64" bestFit="1" customWidth="1"/>
    <col min="9" max="13" width="11.85546875" style="64" bestFit="1" customWidth="1"/>
    <col min="14" max="14" width="33.42578125" style="64" bestFit="1" customWidth="1"/>
    <col min="15" max="15" width="14.42578125" style="64" bestFit="1" customWidth="1"/>
    <col min="16" max="16" width="15.5703125" style="64" bestFit="1" customWidth="1"/>
    <col min="17" max="19" width="11.85546875" style="64" bestFit="1" customWidth="1"/>
    <col min="20" max="20" width="21.42578125" style="64" bestFit="1" customWidth="1"/>
    <col min="21" max="21" width="14.7109375" style="64" bestFit="1" customWidth="1"/>
    <col min="22" max="23" width="11.85546875" style="64" bestFit="1" customWidth="1"/>
    <col min="24" max="24" width="85.5703125" style="64" bestFit="1" customWidth="1"/>
    <col min="25" max="28" width="11.85546875" style="64" bestFit="1" customWidth="1"/>
    <col min="29" max="29" width="11.85546875" style="68" bestFit="1" customWidth="1"/>
    <col min="30" max="30" width="11.85546875" style="69" bestFit="1" customWidth="1"/>
    <col min="31" max="32" width="11.85546875" style="68" bestFit="1" customWidth="1"/>
    <col min="33" max="33" width="16" style="64" bestFit="1" customWidth="1"/>
    <col min="34" max="35" width="11.85546875" style="64" bestFit="1" customWidth="1"/>
    <col min="36" max="39" width="11.42578125" style="64"/>
    <col min="40" max="40" width="10.28515625" style="64" customWidth="1"/>
    <col min="41" max="41" width="9.8554687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42578125" style="64" hidden="1" customWidth="1"/>
    <col min="48" max="50" width="0" style="64" hidden="1" customWidth="1"/>
    <col min="51" max="51" width="9.85546875" style="64" hidden="1" customWidth="1"/>
    <col min="52" max="52" width="0" style="64" hidden="1" customWidth="1"/>
    <col min="53" max="53" width="11.42578125" style="64"/>
    <col min="54" max="54" width="7.7109375" style="64" customWidth="1"/>
    <col min="55" max="55" width="8.42578125" style="64" customWidth="1"/>
    <col min="56" max="56" width="7.28515625" style="64" customWidth="1"/>
    <col min="57" max="57" width="8.42578125" style="64" hidden="1" customWidth="1"/>
    <col min="58" max="60" width="11.42578125" style="64"/>
    <col min="61" max="61" width="11.42578125" style="70"/>
    <col min="62" max="62" width="11.42578125" style="64" hidden="1" customWidth="1"/>
    <col min="63" max="16384" width="11.42578125" style="64"/>
  </cols>
  <sheetData>
    <row r="2" spans="1:62" ht="18.600000000000001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8.600000000000001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8.600000000000001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8.600000000000001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8.600000000000001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4999999999999" customHeight="1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27.6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8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27.6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6.8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6.8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6.8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6.8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6.8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6.8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6.8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6.8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6.8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6.8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6.8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6.8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6.8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6.8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6.8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 activeCell="B12" sqref="B12"/>
    </sheetView>
  </sheetViews>
  <sheetFormatPr defaultColWidth="9" defaultRowHeight="12"/>
  <cols>
    <col min="1" max="1" width="30.85546875" style="14" customWidth="1"/>
    <col min="2" max="2" width="30.85546875" customWidth="1"/>
    <col min="3" max="4" width="30.85546875" style="43" customWidth="1"/>
    <col min="5" max="5" width="55.28515625" style="15" customWidth="1"/>
  </cols>
  <sheetData>
    <row r="1" spans="1:5" ht="63.9" customHeight="1">
      <c r="A1" s="16"/>
      <c r="C1" s="41"/>
      <c r="D1" s="41"/>
      <c r="E1" s="16"/>
    </row>
    <row r="2" spans="1:5" ht="32.1" customHeight="1">
      <c r="A2" s="3" t="str">
        <f>"Exceptions " &amp;COUNTA(A4:A9985)</f>
        <v>Exceptions 0</v>
      </c>
      <c r="C2" s="3"/>
      <c r="D2" s="3"/>
      <c r="E2" s="19"/>
    </row>
    <row r="3" spans="1:5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>
      <c r="B4" s="44"/>
    </row>
    <row r="5" spans="1:5">
      <c r="B5" s="44"/>
    </row>
    <row r="6" spans="1:5">
      <c r="B6" s="44"/>
    </row>
    <row r="7" spans="1:5">
      <c r="B7" s="44"/>
    </row>
    <row r="8" spans="1:5">
      <c r="B8" s="44"/>
    </row>
    <row r="9" spans="1:5">
      <c r="B9" s="44"/>
    </row>
    <row r="10" spans="1:5">
      <c r="B10" s="44"/>
    </row>
    <row r="11" spans="1:5">
      <c r="B11" s="44"/>
    </row>
    <row r="12" spans="1:5">
      <c r="B12" s="44"/>
    </row>
    <row r="13" spans="1:5">
      <c r="B13" s="44"/>
    </row>
    <row r="14" spans="1:5">
      <c r="B14" s="44"/>
    </row>
    <row r="15" spans="1:5">
      <c r="B15" s="44"/>
    </row>
    <row r="16" spans="1:5">
      <c r="B16" s="44"/>
    </row>
    <row r="17" spans="2:2">
      <c r="B17" s="44"/>
    </row>
    <row r="18" spans="2:2">
      <c r="B18" s="44"/>
    </row>
    <row r="19" spans="2:2">
      <c r="B19" s="44"/>
    </row>
    <row r="20" spans="2:2">
      <c r="B20" s="44"/>
    </row>
    <row r="21" spans="2:2">
      <c r="B21" s="44"/>
    </row>
    <row r="22" spans="2:2">
      <c r="B22" s="44"/>
    </row>
    <row r="23" spans="2:2">
      <c r="B23" s="44"/>
    </row>
    <row r="24" spans="2:2">
      <c r="B24" s="44"/>
    </row>
    <row r="25" spans="2:2">
      <c r="B25" s="44"/>
    </row>
    <row r="26" spans="2:2">
      <c r="B26" s="44"/>
    </row>
    <row r="27" spans="2:2">
      <c r="B27" s="44"/>
    </row>
    <row r="28" spans="2:2">
      <c r="B28" s="44"/>
    </row>
    <row r="29" spans="2:2">
      <c r="B29" s="44"/>
    </row>
    <row r="30" spans="2:2">
      <c r="B30" s="44"/>
    </row>
    <row r="31" spans="2:2">
      <c r="B31" s="44"/>
    </row>
    <row r="32" spans="2:2">
      <c r="B32" s="44"/>
    </row>
    <row r="33" spans="2:2">
      <c r="B33" s="44"/>
    </row>
    <row r="34" spans="2:2">
      <c r="B34" s="44"/>
    </row>
    <row r="35" spans="2:2">
      <c r="B35" s="44"/>
    </row>
    <row r="36" spans="2:2">
      <c r="B36" s="44"/>
    </row>
    <row r="37" spans="2:2">
      <c r="B37" s="44"/>
    </row>
    <row r="38" spans="2:2">
      <c r="B38" s="44"/>
    </row>
    <row r="39" spans="2:2">
      <c r="B39" s="44"/>
    </row>
    <row r="40" spans="2:2">
      <c r="B40" s="44"/>
    </row>
    <row r="41" spans="2:2">
      <c r="B41" s="44"/>
    </row>
    <row r="42" spans="2:2">
      <c r="B42" s="44"/>
    </row>
    <row r="43" spans="2:2">
      <c r="B43" s="44"/>
    </row>
    <row r="44" spans="2:2">
      <c r="B44" s="44"/>
    </row>
    <row r="45" spans="2:2">
      <c r="B45" s="44"/>
    </row>
    <row r="46" spans="2:2">
      <c r="B46" s="44"/>
    </row>
    <row r="47" spans="2:2">
      <c r="B47" s="44"/>
    </row>
    <row r="48" spans="2:2">
      <c r="B48" s="44"/>
    </row>
    <row r="49" spans="2:2">
      <c r="B49" s="44"/>
    </row>
    <row r="50" spans="2:2">
      <c r="B50" s="44"/>
    </row>
    <row r="51" spans="2:2">
      <c r="B51" s="44"/>
    </row>
    <row r="52" spans="2:2">
      <c r="B52" s="44"/>
    </row>
    <row r="53" spans="2:2">
      <c r="B53" s="44"/>
    </row>
    <row r="54" spans="2:2">
      <c r="B54" s="44"/>
    </row>
    <row r="55" spans="2:2">
      <c r="B55" s="44"/>
    </row>
    <row r="56" spans="2:2">
      <c r="B56" s="44"/>
    </row>
    <row r="57" spans="2:2">
      <c r="B57" s="44"/>
    </row>
    <row r="58" spans="2:2">
      <c r="B58" s="44"/>
    </row>
    <row r="59" spans="2:2">
      <c r="B59" s="44"/>
    </row>
    <row r="60" spans="2:2">
      <c r="B60" s="44"/>
    </row>
    <row r="61" spans="2:2">
      <c r="B61" s="44"/>
    </row>
    <row r="62" spans="2:2">
      <c r="B62" s="44"/>
    </row>
    <row r="63" spans="2:2">
      <c r="B63" s="44"/>
    </row>
    <row r="64" spans="2:2">
      <c r="B64" s="44"/>
    </row>
    <row r="65" spans="2:2">
      <c r="B65" s="44"/>
    </row>
    <row r="66" spans="2:2">
      <c r="B66" s="44"/>
    </row>
    <row r="67" spans="2:2">
      <c r="B67" s="44"/>
    </row>
    <row r="68" spans="2:2">
      <c r="B68" s="44"/>
    </row>
    <row r="69" spans="2:2">
      <c r="B69" s="44"/>
    </row>
    <row r="70" spans="2:2">
      <c r="B70" s="44"/>
    </row>
    <row r="71" spans="2:2">
      <c r="B71" s="44"/>
    </row>
    <row r="72" spans="2:2">
      <c r="B72" s="44"/>
    </row>
    <row r="73" spans="2:2">
      <c r="B73" s="44"/>
    </row>
    <row r="74" spans="2:2">
      <c r="B74" s="44"/>
    </row>
    <row r="75" spans="2:2">
      <c r="B75" s="44"/>
    </row>
    <row r="76" spans="2:2">
      <c r="B76" s="44"/>
    </row>
    <row r="77" spans="2:2">
      <c r="B77" s="44"/>
    </row>
    <row r="78" spans="2:2">
      <c r="B78" s="44"/>
    </row>
    <row r="79" spans="2:2">
      <c r="B79" s="44"/>
    </row>
    <row r="80" spans="2:2">
      <c r="B80" s="44"/>
    </row>
    <row r="81" spans="2:2">
      <c r="B81" s="44"/>
    </row>
    <row r="82" spans="2:2">
      <c r="B82" s="44"/>
    </row>
    <row r="83" spans="2:2">
      <c r="B83" s="44"/>
    </row>
    <row r="84" spans="2:2">
      <c r="B84" s="44"/>
    </row>
    <row r="85" spans="2:2">
      <c r="B85" s="44"/>
    </row>
    <row r="86" spans="2:2">
      <c r="B86" s="44"/>
    </row>
    <row r="87" spans="2:2">
      <c r="B87" s="44"/>
    </row>
    <row r="88" spans="2:2">
      <c r="B88" s="44"/>
    </row>
    <row r="89" spans="2:2">
      <c r="B89" s="44"/>
    </row>
    <row r="90" spans="2:2">
      <c r="B90" s="44"/>
    </row>
    <row r="91" spans="2:2">
      <c r="B91" s="44"/>
    </row>
    <row r="92" spans="2:2">
      <c r="B92" s="44"/>
    </row>
    <row r="93" spans="2:2">
      <c r="B93" s="44"/>
    </row>
    <row r="94" spans="2:2">
      <c r="B94" s="44"/>
    </row>
    <row r="95" spans="2:2">
      <c r="B95" s="44"/>
    </row>
    <row r="96" spans="2:2">
      <c r="B96" s="44"/>
    </row>
    <row r="97" spans="2:2">
      <c r="B97" s="44"/>
    </row>
    <row r="98" spans="2:2">
      <c r="B98" s="44"/>
    </row>
    <row r="99" spans="2:2">
      <c r="B99" s="44"/>
    </row>
    <row r="100" spans="2:2">
      <c r="B100" s="44"/>
    </row>
    <row r="101" spans="2:2">
      <c r="B101" s="44"/>
    </row>
    <row r="102" spans="2:2">
      <c r="B102" s="44"/>
    </row>
    <row r="103" spans="2:2">
      <c r="B103" s="44"/>
    </row>
    <row r="200" spans="1:5" s="9" customFormat="1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8"/>
  <sheetViews>
    <sheetView showGridLines="0" workbookViewId="0">
      <pane ySplit="3" topLeftCell="A4" activePane="bottomLeft" state="frozen"/>
      <selection pane="bottomLeft"/>
    </sheetView>
  </sheetViews>
  <sheetFormatPr defaultColWidth="9" defaultRowHeight="12"/>
  <cols>
    <col min="1" max="1" width="37.85546875" bestFit="1" customWidth="1"/>
  </cols>
  <sheetData>
    <row r="1" spans="1:13" ht="63.9" customHeight="1"/>
    <row r="2" spans="1:13" s="5" customFormat="1" ht="32.1" customHeight="1">
      <c r="A2" s="23" t="str">
        <f>oeFilename &amp; " v" &amp;TEXT(oeReleaseNumber,"0.00")</f>
        <v>Redwills v0.01</v>
      </c>
      <c r="B2" s="4"/>
      <c r="M2" s="27"/>
    </row>
    <row r="3" spans="1:13" ht="14.4">
      <c r="A3" s="1" t="s">
        <v>14</v>
      </c>
      <c r="B3" s="2" t="s">
        <v>15</v>
      </c>
      <c r="M3" s="28"/>
    </row>
    <row r="4" spans="1:13" ht="14.4">
      <c r="A4" s="6" t="s">
        <v>123</v>
      </c>
      <c r="B4" s="7" t="s">
        <v>124</v>
      </c>
      <c r="M4" s="28"/>
    </row>
    <row r="5" spans="1:13" ht="14.4">
      <c r="A5" s="6" t="s">
        <v>0</v>
      </c>
      <c r="B5" s="7" t="s">
        <v>122</v>
      </c>
      <c r="M5" s="28"/>
    </row>
    <row r="6" spans="1:13" ht="14.4">
      <c r="A6" s="6"/>
      <c r="B6" s="7"/>
      <c r="M6" s="28"/>
    </row>
    <row r="7" spans="1:13" ht="14.4">
      <c r="A7" s="6"/>
      <c r="B7" s="10"/>
      <c r="M7" s="28"/>
    </row>
    <row r="8" spans="1:13" ht="14.4">
      <c r="A8" s="6"/>
      <c r="B8" s="7"/>
      <c r="M8" s="28"/>
    </row>
    <row r="9" spans="1:13" ht="14.4">
      <c r="A9" s="6"/>
      <c r="B9" s="10"/>
      <c r="M9" s="28"/>
    </row>
    <row r="10" spans="1:13" ht="14.4">
      <c r="A10" s="6"/>
      <c r="B10" s="10"/>
      <c r="M10" s="28"/>
    </row>
    <row r="11" spans="1:13" ht="14.4">
      <c r="A11" s="6"/>
      <c r="B11" s="7"/>
      <c r="M11" s="28"/>
    </row>
    <row r="12" spans="1:13" ht="14.4">
      <c r="A12" s="6"/>
      <c r="B12" s="10"/>
      <c r="M12" s="28"/>
    </row>
    <row r="13" spans="1:13" ht="14.4">
      <c r="A13" s="6"/>
      <c r="B13" s="7"/>
      <c r="M13" s="28"/>
    </row>
    <row r="14" spans="1:13" ht="14.4">
      <c r="A14" s="6"/>
      <c r="B14" s="10"/>
      <c r="M14" s="28"/>
    </row>
    <row r="15" spans="1:13" ht="14.4">
      <c r="A15" s="6"/>
      <c r="B15" s="7"/>
      <c r="M15" s="28"/>
    </row>
    <row r="16" spans="1:13" ht="14.4">
      <c r="A16" s="6"/>
      <c r="B16" s="10"/>
      <c r="M16" s="28"/>
    </row>
    <row r="17" spans="1:13" ht="14.4">
      <c r="A17" s="6"/>
      <c r="B17" s="10"/>
      <c r="M17" s="28"/>
    </row>
    <row r="18" spans="1:13" ht="14.4">
      <c r="A18" s="6"/>
      <c r="B18" s="7"/>
      <c r="M18" s="28"/>
    </row>
    <row r="19" spans="1:13" ht="14.4">
      <c r="A19" s="6"/>
      <c r="B19" s="10"/>
      <c r="M19" s="28"/>
    </row>
    <row r="20" spans="1:13" ht="14.4">
      <c r="A20" s="6"/>
      <c r="B20" s="10"/>
      <c r="M20" s="28"/>
    </row>
    <row r="21" spans="1:13" ht="14.4">
      <c r="A21" s="6"/>
      <c r="B21" s="7"/>
      <c r="M21" s="28"/>
    </row>
    <row r="22" spans="1:13" ht="14.4">
      <c r="A22" s="6"/>
      <c r="B22" s="10"/>
      <c r="M22" s="28"/>
    </row>
    <row r="23" spans="1:13" ht="14.4">
      <c r="A23" s="6"/>
      <c r="B23" s="7"/>
      <c r="M23" s="28"/>
    </row>
    <row r="24" spans="1:13" ht="14.4">
      <c r="A24" s="6"/>
      <c r="B24" s="10"/>
      <c r="M24" s="28"/>
    </row>
    <row r="25" spans="1:13" ht="14.4">
      <c r="A25" s="6"/>
      <c r="B25" s="10"/>
      <c r="M25" s="28"/>
    </row>
    <row r="26" spans="1:13" ht="14.4">
      <c r="A26" s="6"/>
      <c r="B26" s="7"/>
      <c r="M26" s="28"/>
    </row>
    <row r="27" spans="1:13" ht="14.4">
      <c r="A27" s="6"/>
      <c r="B27" s="10"/>
      <c r="M27" s="28"/>
    </row>
    <row r="28" spans="1:13" ht="14.4">
      <c r="A28" s="11"/>
      <c r="B28" s="12"/>
      <c r="M28" s="28"/>
    </row>
    <row r="29" spans="1:13" ht="14.4">
      <c r="A29" s="6"/>
      <c r="B29" s="7"/>
      <c r="M29" s="28"/>
    </row>
    <row r="30" spans="1:13" ht="14.4">
      <c r="A30" s="6"/>
      <c r="B30" s="10" t="s">
        <v>13</v>
      </c>
      <c r="M30" s="28"/>
    </row>
    <row r="31" spans="1:13" ht="14.4">
      <c r="A31" s="11"/>
      <c r="B31" s="12"/>
      <c r="M31" s="28"/>
    </row>
    <row r="32" spans="1:13" ht="14.4">
      <c r="A32" s="6"/>
      <c r="B32" s="7"/>
      <c r="M32" s="28"/>
    </row>
    <row r="33" spans="1:13" ht="14.4">
      <c r="A33" s="6"/>
      <c r="B33" s="7"/>
      <c r="M33" s="28"/>
    </row>
    <row r="34" spans="1:13" ht="14.4">
      <c r="A34" s="6"/>
      <c r="B34" s="10"/>
      <c r="M34" s="28"/>
    </row>
    <row r="35" spans="1:13" ht="14.4">
      <c r="A35" s="6"/>
      <c r="B35" s="7"/>
      <c r="M35" s="28"/>
    </row>
    <row r="36" spans="1:13" ht="14.4">
      <c r="A36" s="6"/>
      <c r="B36" s="7"/>
      <c r="M36" s="28"/>
    </row>
    <row r="37" spans="1:13" ht="14.4">
      <c r="A37" s="6"/>
      <c r="B37" s="10"/>
      <c r="M37" s="28"/>
    </row>
    <row r="38" spans="1:13" ht="14.4">
      <c r="A38" s="6"/>
      <c r="B38" s="10"/>
      <c r="M38" s="28"/>
    </row>
    <row r="39" spans="1:13" ht="14.4">
      <c r="A39" s="6"/>
      <c r="B39" s="7"/>
      <c r="M39" s="28"/>
    </row>
    <row r="40" spans="1:13" ht="14.4">
      <c r="A40" s="6"/>
      <c r="B40" s="7"/>
      <c r="M40" s="28"/>
    </row>
    <row r="41" spans="1:13" ht="14.4">
      <c r="A41" s="6"/>
      <c r="B41" s="7"/>
      <c r="M41" s="28"/>
    </row>
    <row r="42" spans="1:13" ht="14.4">
      <c r="A42" s="6"/>
      <c r="B42" s="7"/>
      <c r="M42" s="28"/>
    </row>
    <row r="43" spans="1:13" ht="14.4">
      <c r="A43" s="6"/>
      <c r="B43" s="7"/>
      <c r="M43" s="28"/>
    </row>
    <row r="44" spans="1:13" ht="14.4">
      <c r="A44" s="6"/>
      <c r="B44" s="7"/>
      <c r="M44" s="28"/>
    </row>
    <row r="45" spans="1:13" ht="14.4">
      <c r="A45" s="6"/>
      <c r="B45" s="7"/>
      <c r="M45" s="28"/>
    </row>
    <row r="46" spans="1:13" ht="14.4">
      <c r="A46" s="6"/>
      <c r="B46" s="7"/>
      <c r="M46" s="28"/>
    </row>
    <row r="47" spans="1:13" ht="14.4">
      <c r="A47" s="6"/>
      <c r="B47" s="10"/>
      <c r="M47" s="28"/>
    </row>
    <row r="48" spans="1:13" ht="14.4">
      <c r="A48" s="6"/>
      <c r="B48" s="7"/>
      <c r="M48" s="28"/>
    </row>
    <row r="49" spans="1:13" ht="14.4">
      <c r="A49" s="6"/>
      <c r="B49" s="7"/>
      <c r="M49" s="28"/>
    </row>
    <row r="50" spans="1:13" ht="14.4">
      <c r="A50" s="6"/>
      <c r="B50" s="7"/>
      <c r="M50" s="28"/>
    </row>
    <row r="51" spans="1:13" ht="14.4">
      <c r="A51" s="6"/>
      <c r="B51" s="7"/>
      <c r="M51" s="28"/>
    </row>
    <row r="52" spans="1:13" ht="14.4">
      <c r="A52" s="6"/>
      <c r="B52" s="7"/>
      <c r="M52" s="28"/>
    </row>
    <row r="53" spans="1:13" ht="14.4">
      <c r="A53" s="6"/>
      <c r="B53" s="10"/>
      <c r="M53" s="28"/>
    </row>
    <row r="54" spans="1:13" ht="14.4">
      <c r="A54" s="6"/>
      <c r="B54" s="7"/>
      <c r="M54" s="28"/>
    </row>
    <row r="55" spans="1:13" ht="14.4">
      <c r="A55" s="6"/>
      <c r="B55" s="10"/>
      <c r="M55" s="28"/>
    </row>
    <row r="56" spans="1:13" ht="14.4">
      <c r="A56" s="6"/>
      <c r="B56" s="7"/>
      <c r="M56" s="28"/>
    </row>
    <row r="57" spans="1:13" ht="14.4">
      <c r="A57" s="6"/>
      <c r="B57" s="10"/>
      <c r="M57" s="28"/>
    </row>
    <row r="58" spans="1:13" ht="14.4">
      <c r="A58" s="11"/>
      <c r="B58" s="12"/>
      <c r="M58" s="28"/>
    </row>
    <row r="59" spans="1:13" ht="14.4">
      <c r="A59" s="11"/>
      <c r="B59" s="10"/>
      <c r="M59" s="28"/>
    </row>
    <row r="60" spans="1:13" ht="14.4">
      <c r="A60" s="6"/>
      <c r="B60" s="7"/>
      <c r="M60" s="28"/>
    </row>
    <row r="61" spans="1:13" ht="14.4">
      <c r="A61" s="6"/>
      <c r="B61" s="10"/>
      <c r="M61" s="28"/>
    </row>
    <row r="62" spans="1:13" ht="14.4">
      <c r="A62" s="6"/>
      <c r="B62" s="7"/>
      <c r="M62" s="28"/>
    </row>
    <row r="63" spans="1:13" ht="14.4">
      <c r="A63" s="6"/>
      <c r="B63" s="10"/>
      <c r="M63" s="28"/>
    </row>
    <row r="64" spans="1:13" ht="14.4">
      <c r="A64" s="6"/>
      <c r="B64" s="7"/>
      <c r="M64" s="28"/>
    </row>
    <row r="65" spans="1:13" ht="14.4">
      <c r="A65" s="6"/>
      <c r="B65" s="10"/>
      <c r="M65" s="28"/>
    </row>
    <row r="66" spans="1:13" ht="14.4">
      <c r="A66" s="11"/>
      <c r="B66" s="12"/>
      <c r="M66" s="28"/>
    </row>
    <row r="67" spans="1:13" ht="14.4">
      <c r="A67" s="11"/>
      <c r="B67" s="10"/>
    </row>
    <row r="68" spans="1:13" ht="14.4">
      <c r="A68" s="11"/>
      <c r="B68" s="10"/>
    </row>
    <row r="69" spans="1:13" ht="14.4">
      <c r="A69" s="11"/>
      <c r="B69" s="10"/>
    </row>
    <row r="70" spans="1:13" ht="14.4">
      <c r="A70" s="11"/>
      <c r="B70" s="10"/>
    </row>
    <row r="71" spans="1:13" ht="14.4">
      <c r="A71" s="11"/>
      <c r="B71" s="10"/>
    </row>
    <row r="72" spans="1:13" ht="14.4">
      <c r="A72" s="11"/>
      <c r="B72" s="10"/>
    </row>
    <row r="73" spans="1:13" ht="14.4">
      <c r="A73" s="6"/>
      <c r="B73" s="7"/>
    </row>
    <row r="74" spans="1:13" ht="14.4">
      <c r="A74" s="6"/>
      <c r="B74" s="7"/>
    </row>
    <row r="75" spans="1:13" ht="14.4">
      <c r="A75" s="6"/>
      <c r="B75" s="10"/>
    </row>
    <row r="76" spans="1:13" ht="14.4">
      <c r="A76" s="6"/>
      <c r="B76" s="7"/>
    </row>
    <row r="77" spans="1:13" ht="14.4">
      <c r="A77" s="6"/>
      <c r="B77" s="7"/>
    </row>
    <row r="78" spans="1:13" ht="14.4">
      <c r="A78" s="6"/>
      <c r="B78" s="7"/>
    </row>
    <row r="79" spans="1:13" ht="14.4">
      <c r="A79" s="6"/>
      <c r="B79" s="10"/>
    </row>
    <row r="80" spans="1:13" ht="14.4">
      <c r="A80" s="6"/>
      <c r="B80" s="7"/>
    </row>
    <row r="81" spans="1:2" ht="14.4">
      <c r="A81" s="11"/>
      <c r="B81" s="12"/>
    </row>
    <row r="82" spans="1:2" ht="14.4">
      <c r="A82" s="11"/>
      <c r="B82" s="10"/>
    </row>
    <row r="83" spans="1:2" ht="14.4">
      <c r="A83" s="6"/>
      <c r="B83" s="7"/>
    </row>
    <row r="84" spans="1:2" ht="14.4">
      <c r="A84" s="11"/>
      <c r="B84" s="12"/>
    </row>
    <row r="85" spans="1:2" ht="14.4">
      <c r="A85" s="11"/>
      <c r="B85" s="10"/>
    </row>
    <row r="86" spans="1:2" ht="14.4">
      <c r="A86" s="6"/>
      <c r="B86" s="7"/>
    </row>
    <row r="87" spans="1:2" ht="14.4">
      <c r="A87" s="6"/>
      <c r="B87" s="7"/>
    </row>
    <row r="88" spans="1:2" ht="14.4">
      <c r="A88" s="6"/>
      <c r="B88" s="10"/>
    </row>
    <row r="89" spans="1:2" ht="14.4">
      <c r="A89" s="11"/>
      <c r="B89" s="12"/>
    </row>
    <row r="90" spans="1:2" ht="14.4">
      <c r="A90" s="11"/>
      <c r="B90" s="7"/>
    </row>
    <row r="91" spans="1:2" ht="14.4">
      <c r="A91" s="6"/>
      <c r="B91" s="7"/>
    </row>
    <row r="92" spans="1:2" ht="14.4">
      <c r="A92" s="6"/>
      <c r="B92" s="10"/>
    </row>
    <row r="93" spans="1:2" ht="14.4">
      <c r="A93" s="6"/>
      <c r="B93" s="7"/>
    </row>
    <row r="94" spans="1:2" ht="14.4">
      <c r="A94" s="6"/>
      <c r="B94" s="10"/>
    </row>
    <row r="95" spans="1:2" ht="14.4">
      <c r="A95" s="6"/>
      <c r="B95" s="7"/>
    </row>
    <row r="96" spans="1:2" ht="14.4">
      <c r="A96" s="6"/>
      <c r="B96" s="10"/>
    </row>
    <row r="97" spans="1:2" ht="14.4">
      <c r="A97" s="6"/>
      <c r="B97" s="7"/>
    </row>
    <row r="98" spans="1:2" ht="14.4">
      <c r="A98" s="6"/>
      <c r="B98" s="10"/>
    </row>
    <row r="99" spans="1:2" ht="14.4">
      <c r="A99" s="6"/>
      <c r="B99" s="7"/>
    </row>
    <row r="100" spans="1:2" ht="14.4">
      <c r="A100" s="6"/>
      <c r="B100" s="10"/>
    </row>
    <row r="101" spans="1:2" ht="14.4">
      <c r="A101" s="6"/>
      <c r="B101" s="7"/>
    </row>
    <row r="102" spans="1:2" ht="14.4">
      <c r="A102" s="6"/>
      <c r="B102" s="10"/>
    </row>
    <row r="103" spans="1:2" ht="14.4">
      <c r="A103" s="6"/>
      <c r="B103" s="7"/>
    </row>
    <row r="104" spans="1:2" ht="14.4">
      <c r="A104" s="6"/>
      <c r="B104" s="10"/>
    </row>
    <row r="105" spans="1:2" ht="14.4">
      <c r="A105" s="6"/>
      <c r="B105" s="7"/>
    </row>
    <row r="106" spans="1:2" ht="14.4">
      <c r="A106" s="6"/>
      <c r="B106" s="10"/>
    </row>
    <row r="107" spans="1:2" ht="14.4">
      <c r="A107" s="6"/>
      <c r="B107" s="7"/>
    </row>
    <row r="108" spans="1:2" ht="14.4">
      <c r="A108" s="6"/>
      <c r="B108" s="10"/>
    </row>
    <row r="109" spans="1:2" ht="14.4">
      <c r="A109" s="6"/>
      <c r="B109" s="7"/>
    </row>
    <row r="110" spans="1:2" ht="14.4">
      <c r="A110" s="6"/>
      <c r="B110" s="10"/>
    </row>
    <row r="111" spans="1:2" ht="14.4">
      <c r="A111" s="6"/>
      <c r="B111" s="7"/>
    </row>
    <row r="112" spans="1:2" ht="14.4">
      <c r="A112" s="6"/>
      <c r="B112" s="10"/>
    </row>
    <row r="113" spans="1:2" ht="14.4">
      <c r="A113" s="11"/>
      <c r="B113" s="12"/>
    </row>
    <row r="114" spans="1:2" ht="14.4">
      <c r="A114" s="11"/>
      <c r="B114" s="10"/>
    </row>
    <row r="115" spans="1:2" ht="14.4">
      <c r="A115" s="6"/>
      <c r="B115" s="7"/>
    </row>
    <row r="116" spans="1:2" ht="14.4">
      <c r="A116" s="6"/>
      <c r="B116" s="10"/>
    </row>
    <row r="117" spans="1:2" ht="14.4">
      <c r="A117" s="6"/>
      <c r="B117" s="7"/>
    </row>
    <row r="118" spans="1:2" ht="14.4">
      <c r="A118" s="6"/>
      <c r="B118" s="10"/>
    </row>
    <row r="119" spans="1:2" ht="14.4">
      <c r="A119" s="6"/>
      <c r="B119" s="7"/>
    </row>
    <row r="120" spans="1:2" ht="14.4">
      <c r="A120" s="6"/>
      <c r="B120" s="7"/>
    </row>
    <row r="121" spans="1:2" ht="14.4">
      <c r="A121" s="6"/>
      <c r="B121" s="10"/>
    </row>
    <row r="122" spans="1:2" ht="14.4">
      <c r="A122" s="6"/>
      <c r="B122" s="7"/>
    </row>
    <row r="123" spans="1:2" ht="14.4">
      <c r="A123" s="6"/>
      <c r="B123" s="10"/>
    </row>
    <row r="124" spans="1:2" ht="14.4">
      <c r="A124" s="11"/>
      <c r="B124" s="12"/>
    </row>
    <row r="125" spans="1:2" ht="14.4">
      <c r="A125" s="11"/>
      <c r="B125" s="10"/>
    </row>
    <row r="126" spans="1:2" ht="14.4">
      <c r="A126" s="11"/>
      <c r="B126" s="10"/>
    </row>
    <row r="127" spans="1:2" ht="14.4">
      <c r="A127" s="6"/>
      <c r="B127" s="7"/>
    </row>
    <row r="128" spans="1:2" ht="14.4">
      <c r="A128" s="6"/>
      <c r="B128" s="10"/>
    </row>
    <row r="129" spans="1:2" ht="14.4">
      <c r="A129" s="6"/>
      <c r="B129" s="7"/>
    </row>
    <row r="130" spans="1:2" ht="14.4">
      <c r="A130" s="6"/>
      <c r="B130" s="10"/>
    </row>
    <row r="131" spans="1:2" ht="14.4">
      <c r="A131" s="6"/>
      <c r="B131" s="7"/>
    </row>
    <row r="132" spans="1:2" ht="14.4">
      <c r="A132" s="6"/>
      <c r="B132" s="10"/>
    </row>
    <row r="133" spans="1:2" ht="14.4">
      <c r="A133" s="6"/>
      <c r="B133" s="7"/>
    </row>
    <row r="134" spans="1:2" ht="14.4">
      <c r="A134" s="6"/>
      <c r="B134" s="10"/>
    </row>
    <row r="135" spans="1:2" ht="14.4">
      <c r="A135" s="6"/>
      <c r="B135" s="7"/>
    </row>
    <row r="136" spans="1:2" ht="14.4">
      <c r="A136" s="6"/>
      <c r="B136" s="10"/>
    </row>
    <row r="137" spans="1:2" ht="14.4">
      <c r="A137" s="6"/>
      <c r="B137" s="7"/>
    </row>
    <row r="138" spans="1:2" ht="14.4">
      <c r="A138" s="6"/>
      <c r="B138" s="10"/>
    </row>
    <row r="139" spans="1:2" ht="14.4">
      <c r="A139" s="6"/>
      <c r="B139" s="7"/>
    </row>
    <row r="140" spans="1:2" ht="14.4">
      <c r="A140" s="6"/>
      <c r="B140" s="10"/>
    </row>
    <row r="141" spans="1:2" ht="14.4">
      <c r="A141" s="11"/>
      <c r="B141" s="12"/>
    </row>
    <row r="142" spans="1:2" ht="14.4">
      <c r="A142" s="11"/>
      <c r="B142" s="10"/>
    </row>
    <row r="143" spans="1:2" ht="14.4">
      <c r="A143" s="11"/>
      <c r="B143" s="12"/>
    </row>
    <row r="144" spans="1:2" ht="14.4">
      <c r="A144" s="11"/>
      <c r="B144" s="10"/>
    </row>
    <row r="145" spans="1:2" ht="14.4">
      <c r="A145" s="6"/>
      <c r="B145" s="7"/>
    </row>
    <row r="146" spans="1:2" ht="14.4">
      <c r="A146" s="6"/>
      <c r="B146" s="7"/>
    </row>
    <row r="147" spans="1:2" ht="14.4">
      <c r="A147" s="6"/>
      <c r="B147" s="7"/>
    </row>
    <row r="148" spans="1:2" ht="14.4">
      <c r="A148" s="6"/>
      <c r="B148" s="10"/>
    </row>
    <row r="149" spans="1:2" ht="14.4">
      <c r="A149" s="6"/>
      <c r="B149" s="10"/>
    </row>
    <row r="150" spans="1:2" ht="14.4">
      <c r="A150" s="6"/>
      <c r="B150" s="7"/>
    </row>
    <row r="151" spans="1:2" ht="14.4">
      <c r="A151" s="6"/>
      <c r="B151" s="10"/>
    </row>
    <row r="152" spans="1:2" ht="14.4">
      <c r="A152" s="6"/>
      <c r="B152" s="7"/>
    </row>
    <row r="153" spans="1:2" ht="14.4">
      <c r="A153" s="6"/>
      <c r="B153" s="10"/>
    </row>
    <row r="154" spans="1:2" ht="14.4">
      <c r="A154" s="6"/>
      <c r="B154" s="7"/>
    </row>
    <row r="155" spans="1:2" ht="14.4">
      <c r="A155" s="6"/>
      <c r="B155" s="10"/>
    </row>
    <row r="156" spans="1:2" ht="14.4">
      <c r="A156" s="6"/>
      <c r="B156" s="7"/>
    </row>
    <row r="157" spans="1:2" ht="14.4">
      <c r="A157" s="6"/>
      <c r="B157" s="10"/>
    </row>
    <row r="158" spans="1:2" ht="14.4">
      <c r="A158" s="11"/>
      <c r="B158" s="12"/>
    </row>
    <row r="159" spans="1:2" ht="14.4">
      <c r="A159" s="11"/>
      <c r="B159" s="10"/>
    </row>
    <row r="160" spans="1:2" ht="14.4">
      <c r="A160" s="6"/>
      <c r="B160" s="7"/>
    </row>
    <row r="161" spans="1:2" ht="14.4">
      <c r="A161" s="6"/>
      <c r="B161" s="10"/>
    </row>
    <row r="162" spans="1:2" ht="14.4">
      <c r="A162" s="6"/>
      <c r="B162" s="10"/>
    </row>
    <row r="163" spans="1:2" ht="14.4">
      <c r="A163" s="6"/>
      <c r="B163" s="10"/>
    </row>
    <row r="164" spans="1:2" ht="14.4">
      <c r="A164" s="6"/>
      <c r="B164" s="7"/>
    </row>
    <row r="165" spans="1:2" ht="14.4">
      <c r="A165" s="6"/>
      <c r="B165" s="10"/>
    </row>
    <row r="166" spans="1:2" ht="14.4">
      <c r="A166" s="6"/>
      <c r="B166" s="7"/>
    </row>
    <row r="167" spans="1:2" ht="14.4">
      <c r="A167" s="6"/>
      <c r="B167" s="7"/>
    </row>
    <row r="168" spans="1:2" ht="14.4">
      <c r="A168" s="6"/>
      <c r="B168" s="10"/>
    </row>
    <row r="169" spans="1:2" ht="14.4">
      <c r="A169" s="6"/>
      <c r="B169" s="10"/>
    </row>
    <row r="170" spans="1:2" ht="14.4">
      <c r="A170" s="11"/>
      <c r="B170" s="12"/>
    </row>
    <row r="171" spans="1:2" ht="14.4">
      <c r="A171" s="11"/>
      <c r="B171" s="10"/>
    </row>
    <row r="172" spans="1:2" ht="14.4">
      <c r="A172" s="6"/>
      <c r="B172" s="7"/>
    </row>
    <row r="173" spans="1:2" ht="14.4">
      <c r="A173" s="6"/>
      <c r="B173" s="10"/>
    </row>
    <row r="174" spans="1:2" ht="14.4">
      <c r="A174" s="6"/>
      <c r="B174" s="7"/>
    </row>
    <row r="175" spans="1:2" ht="14.4">
      <c r="A175" s="6"/>
      <c r="B175" s="10"/>
    </row>
    <row r="176" spans="1:2" ht="14.4">
      <c r="A176" s="6"/>
      <c r="B176" s="7"/>
    </row>
    <row r="177" spans="1:2" ht="14.4">
      <c r="A177" s="6"/>
      <c r="B177" s="10"/>
    </row>
    <row r="178" spans="1:2" ht="14.4">
      <c r="A178" s="6"/>
      <c r="B178" s="10"/>
    </row>
    <row r="179" spans="1:2" ht="14.4">
      <c r="A179" s="6"/>
      <c r="B179" s="10"/>
    </row>
    <row r="180" spans="1:2" ht="14.4">
      <c r="A180" s="6"/>
      <c r="B180" s="10"/>
    </row>
    <row r="181" spans="1:2" ht="14.4">
      <c r="A181" s="6"/>
      <c r="B181" s="7"/>
    </row>
    <row r="182" spans="1:2" ht="14.4">
      <c r="A182" s="6"/>
      <c r="B182" s="10"/>
    </row>
    <row r="183" spans="1:2" ht="14.4">
      <c r="A183" s="6"/>
      <c r="B183" s="7"/>
    </row>
    <row r="184" spans="1:2" ht="14.4">
      <c r="A184" s="6"/>
      <c r="B184" s="10"/>
    </row>
    <row r="185" spans="1:2" ht="14.4">
      <c r="A185" s="6"/>
      <c r="B185" s="7"/>
    </row>
    <row r="186" spans="1:2" ht="14.4">
      <c r="A186" s="6"/>
      <c r="B186" s="10"/>
    </row>
    <row r="187" spans="1:2" ht="14.4">
      <c r="A187" s="6"/>
      <c r="B187" s="10"/>
    </row>
    <row r="188" spans="1:2" ht="14.4">
      <c r="A188" s="6"/>
      <c r="B188" s="10"/>
    </row>
    <row r="189" spans="1:2" ht="14.4">
      <c r="A189" s="6"/>
      <c r="B189" s="7"/>
    </row>
    <row r="190" spans="1:2" ht="14.4">
      <c r="A190" s="6"/>
      <c r="B190" s="10"/>
    </row>
    <row r="191" spans="1:2" ht="14.4">
      <c r="A191" s="6"/>
      <c r="B191" s="7"/>
    </row>
    <row r="192" spans="1:2" ht="14.4">
      <c r="A192" s="6"/>
      <c r="B192" s="10"/>
    </row>
    <row r="193" spans="1:2" ht="14.4">
      <c r="A193" s="6"/>
      <c r="B193" s="7"/>
    </row>
    <row r="194" spans="1:2" ht="14.4">
      <c r="A194" s="6"/>
      <c r="B194" s="10"/>
    </row>
    <row r="195" spans="1:2" ht="14.4">
      <c r="A195" s="6"/>
      <c r="B195" s="10"/>
    </row>
    <row r="196" spans="1:2" ht="14.4">
      <c r="A196" s="6"/>
      <c r="B196" s="7"/>
    </row>
    <row r="197" spans="1:2" ht="14.4">
      <c r="A197" s="6"/>
      <c r="B197" s="10"/>
    </row>
    <row r="198" spans="1:2" ht="14.4">
      <c r="A198" s="6"/>
      <c r="B198" s="10"/>
    </row>
    <row r="199" spans="1:2" ht="14.4">
      <c r="A199" s="6"/>
      <c r="B199" s="10"/>
    </row>
    <row r="200" spans="1:2" ht="14.4">
      <c r="A200" s="6"/>
      <c r="B200" s="7"/>
    </row>
    <row r="201" spans="1:2" ht="14.4">
      <c r="A201" s="6"/>
      <c r="B201" s="10"/>
    </row>
    <row r="202" spans="1:2" ht="14.4">
      <c r="A202" s="6"/>
      <c r="B202" s="7"/>
    </row>
    <row r="203" spans="1:2" ht="14.4">
      <c r="A203" s="6"/>
      <c r="B203" s="10"/>
    </row>
    <row r="204" spans="1:2" ht="14.4">
      <c r="A204" s="6"/>
      <c r="B204" s="7"/>
    </row>
    <row r="205" spans="1:2" ht="14.4">
      <c r="A205" s="6"/>
      <c r="B205" s="7"/>
    </row>
    <row r="206" spans="1:2" ht="14.4">
      <c r="A206" s="6"/>
      <c r="B206" s="7"/>
    </row>
    <row r="207" spans="1:2" ht="14.4">
      <c r="A207" s="6"/>
      <c r="B207" s="7"/>
    </row>
    <row r="208" spans="1:2" ht="14.4">
      <c r="A208" s="6"/>
      <c r="B208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I199"/>
  <sheetViews>
    <sheetView showGridLines="0" zoomScaleNormal="100" workbookViewId="0">
      <pane ySplit="2" topLeftCell="A3" activePane="bottomLeft" state="frozen"/>
      <selection pane="bottomLeft" activeCell="M6" sqref="M6"/>
    </sheetView>
  </sheetViews>
  <sheetFormatPr defaultColWidth="9" defaultRowHeight="12"/>
  <cols>
    <col min="1" max="1" width="13.28515625" style="14" bestFit="1" customWidth="1"/>
    <col min="2" max="2" width="3.7109375" customWidth="1"/>
    <col min="3" max="3" width="26.7109375" style="43" bestFit="1" customWidth="1"/>
    <col min="4" max="4" width="3.7109375" style="43" customWidth="1"/>
    <col min="5" max="5" width="17.28515625" style="15" bestFit="1" customWidth="1"/>
    <col min="6" max="6" width="3.5703125" customWidth="1"/>
    <col min="7" max="7" width="11.140625" bestFit="1" customWidth="1"/>
    <col min="8" max="8" width="3.5703125" customWidth="1"/>
    <col min="9" max="9" width="14.28515625" customWidth="1"/>
  </cols>
  <sheetData>
    <row r="1" spans="1:9" ht="63.9" customHeight="1">
      <c r="A1" s="16"/>
      <c r="C1" s="41"/>
      <c r="D1" s="41"/>
      <c r="E1" s="16"/>
    </row>
    <row r="2" spans="1:9" ht="32.1" customHeight="1">
      <c r="A2" s="3" t="s">
        <v>314</v>
      </c>
      <c r="C2" s="3"/>
      <c r="D2" s="3"/>
      <c r="E2" s="19"/>
    </row>
    <row r="3" spans="1:9">
      <c r="A3" s="14" t="s">
        <v>28</v>
      </c>
      <c r="B3" s="44"/>
      <c r="C3" s="166" t="s">
        <v>315</v>
      </c>
      <c r="E3" s="167" t="s">
        <v>40</v>
      </c>
      <c r="G3" t="s">
        <v>46</v>
      </c>
      <c r="I3" t="s">
        <v>319</v>
      </c>
    </row>
    <row r="4" spans="1:9">
      <c r="A4" s="14" t="s">
        <v>92</v>
      </c>
      <c r="B4" s="44"/>
      <c r="C4" s="14" t="s">
        <v>95</v>
      </c>
      <c r="E4" s="167" t="s">
        <v>96</v>
      </c>
      <c r="G4" t="s">
        <v>316</v>
      </c>
      <c r="I4" t="s">
        <v>320</v>
      </c>
    </row>
    <row r="5" spans="1:9">
      <c r="A5" s="14" t="s">
        <v>94</v>
      </c>
      <c r="B5" s="44"/>
      <c r="C5" s="14" t="s">
        <v>98</v>
      </c>
      <c r="E5" s="167" t="s">
        <v>99</v>
      </c>
      <c r="G5" t="s">
        <v>317</v>
      </c>
      <c r="I5" t="s">
        <v>321</v>
      </c>
    </row>
    <row r="6" spans="1:9">
      <c r="A6" s="14" t="s">
        <v>97</v>
      </c>
      <c r="B6" s="44"/>
      <c r="G6" t="s">
        <v>318</v>
      </c>
    </row>
    <row r="7" spans="1:9">
      <c r="B7" s="44"/>
    </row>
    <row r="8" spans="1:9">
      <c r="B8" s="44"/>
    </row>
    <row r="9" spans="1:9">
      <c r="B9" s="44"/>
    </row>
    <row r="10" spans="1:9">
      <c r="B10" s="44"/>
    </row>
    <row r="11" spans="1:9">
      <c r="B11" s="44"/>
    </row>
    <row r="12" spans="1:9">
      <c r="B12" s="44"/>
    </row>
    <row r="13" spans="1:9">
      <c r="B13" s="44"/>
    </row>
    <row r="14" spans="1:9">
      <c r="B14" s="44"/>
    </row>
    <row r="15" spans="1:9">
      <c r="B15" s="44"/>
    </row>
    <row r="16" spans="1:9" s="43" customFormat="1">
      <c r="A16" s="14"/>
      <c r="B16" s="44"/>
      <c r="E16" s="15"/>
    </row>
    <row r="17" spans="1:5" s="43" customFormat="1">
      <c r="A17" s="14"/>
      <c r="B17" s="44"/>
      <c r="E17" s="15"/>
    </row>
    <row r="18" spans="1:5" s="43" customFormat="1">
      <c r="A18" s="14"/>
      <c r="B18" s="44"/>
      <c r="E18" s="15"/>
    </row>
    <row r="19" spans="1:5" s="43" customFormat="1">
      <c r="A19" s="14"/>
      <c r="B19" s="44"/>
      <c r="E19" s="15"/>
    </row>
    <row r="20" spans="1:5" s="43" customFormat="1">
      <c r="A20" s="14"/>
      <c r="B20" s="44"/>
      <c r="E20" s="15"/>
    </row>
    <row r="21" spans="1:5" s="43" customFormat="1">
      <c r="A21" s="14"/>
      <c r="B21" s="44"/>
      <c r="E21" s="15"/>
    </row>
    <row r="22" spans="1:5" s="43" customFormat="1">
      <c r="A22" s="14"/>
      <c r="B22" s="44"/>
      <c r="E22" s="15"/>
    </row>
    <row r="23" spans="1:5" s="43" customFormat="1">
      <c r="A23" s="14"/>
      <c r="B23" s="44"/>
      <c r="E23" s="15"/>
    </row>
    <row r="24" spans="1:5" s="43" customFormat="1">
      <c r="A24" s="14"/>
      <c r="B24" s="44"/>
      <c r="E24" s="15"/>
    </row>
    <row r="25" spans="1:5" s="43" customFormat="1">
      <c r="A25" s="14"/>
      <c r="B25" s="44"/>
      <c r="E25" s="15"/>
    </row>
    <row r="26" spans="1:5" s="43" customFormat="1">
      <c r="A26" s="14"/>
      <c r="B26" s="44"/>
      <c r="E26" s="15"/>
    </row>
    <row r="27" spans="1:5" s="43" customFormat="1">
      <c r="A27" s="14"/>
      <c r="B27" s="44"/>
      <c r="E27" s="15"/>
    </row>
    <row r="28" spans="1:5" s="43" customFormat="1">
      <c r="A28" s="14"/>
      <c r="B28" s="44"/>
      <c r="E28" s="15"/>
    </row>
    <row r="29" spans="1:5" s="43" customFormat="1">
      <c r="A29" s="14"/>
      <c r="B29" s="44"/>
      <c r="E29" s="15"/>
    </row>
    <row r="30" spans="1:5" s="43" customFormat="1">
      <c r="A30" s="14"/>
      <c r="B30" s="44"/>
      <c r="E30" s="15"/>
    </row>
    <row r="31" spans="1:5" s="43" customFormat="1">
      <c r="A31" s="14"/>
      <c r="B31" s="44"/>
      <c r="E31" s="15"/>
    </row>
    <row r="32" spans="1:5" s="43" customFormat="1">
      <c r="A32" s="14"/>
      <c r="B32" s="44"/>
      <c r="E32" s="15"/>
    </row>
    <row r="33" spans="1:5" s="43" customFormat="1">
      <c r="A33" s="14"/>
      <c r="B33" s="44"/>
      <c r="E33" s="15"/>
    </row>
    <row r="34" spans="1:5" s="43" customFormat="1">
      <c r="A34" s="14"/>
      <c r="B34" s="44"/>
      <c r="E34" s="15"/>
    </row>
    <row r="35" spans="1:5" s="43" customFormat="1">
      <c r="A35" s="14"/>
      <c r="B35" s="44"/>
      <c r="E35" s="15"/>
    </row>
    <row r="36" spans="1:5" s="43" customFormat="1">
      <c r="A36" s="14"/>
      <c r="B36" s="44"/>
      <c r="E36" s="15"/>
    </row>
    <row r="37" spans="1:5" s="43" customFormat="1">
      <c r="A37" s="14"/>
      <c r="B37" s="44"/>
      <c r="E37" s="15"/>
    </row>
    <row r="38" spans="1:5" s="43" customFormat="1">
      <c r="A38" s="14"/>
      <c r="B38" s="44"/>
      <c r="E38" s="15"/>
    </row>
    <row r="39" spans="1:5" s="43" customFormat="1">
      <c r="A39" s="14"/>
      <c r="B39" s="44"/>
      <c r="E39" s="15"/>
    </row>
    <row r="40" spans="1:5" s="43" customFormat="1">
      <c r="A40" s="14"/>
      <c r="B40" s="44"/>
      <c r="E40" s="15"/>
    </row>
    <row r="41" spans="1:5" s="43" customFormat="1">
      <c r="A41" s="14"/>
      <c r="B41" s="44"/>
      <c r="E41" s="15"/>
    </row>
    <row r="42" spans="1:5" s="43" customFormat="1">
      <c r="A42" s="14"/>
      <c r="B42" s="44"/>
      <c r="E42" s="15"/>
    </row>
    <row r="43" spans="1:5" s="43" customFormat="1">
      <c r="A43" s="14"/>
      <c r="B43" s="44"/>
      <c r="E43" s="15"/>
    </row>
    <row r="44" spans="1:5" s="43" customFormat="1">
      <c r="A44" s="14"/>
      <c r="B44" s="44"/>
      <c r="E44" s="15"/>
    </row>
    <row r="45" spans="1:5" s="43" customFormat="1">
      <c r="A45" s="14"/>
      <c r="B45" s="44"/>
      <c r="E45" s="15"/>
    </row>
    <row r="46" spans="1:5" s="43" customFormat="1">
      <c r="A46" s="14"/>
      <c r="B46" s="44"/>
      <c r="E46" s="15"/>
    </row>
    <row r="47" spans="1:5" s="43" customFormat="1">
      <c r="A47" s="14"/>
      <c r="B47" s="44"/>
      <c r="E47" s="15"/>
    </row>
    <row r="48" spans="1:5" s="43" customFormat="1">
      <c r="A48" s="14"/>
      <c r="B48" s="44"/>
      <c r="E48" s="15"/>
    </row>
    <row r="49" spans="1:5" s="43" customFormat="1">
      <c r="A49" s="14"/>
      <c r="B49" s="44"/>
      <c r="E49" s="15"/>
    </row>
    <row r="50" spans="1:5" s="43" customFormat="1">
      <c r="A50" s="14"/>
      <c r="B50" s="44"/>
      <c r="E50" s="15"/>
    </row>
    <row r="51" spans="1:5" s="43" customFormat="1">
      <c r="A51" s="14"/>
      <c r="B51" s="44"/>
      <c r="E51" s="15"/>
    </row>
    <row r="52" spans="1:5" s="43" customFormat="1">
      <c r="A52" s="14"/>
      <c r="B52" s="44"/>
      <c r="E52" s="15"/>
    </row>
    <row r="53" spans="1:5" s="43" customFormat="1">
      <c r="A53" s="14"/>
      <c r="B53" s="44"/>
      <c r="E53" s="15"/>
    </row>
    <row r="54" spans="1:5" s="43" customFormat="1">
      <c r="A54" s="14"/>
      <c r="B54" s="44"/>
      <c r="E54" s="15"/>
    </row>
    <row r="55" spans="1:5" s="43" customFormat="1">
      <c r="A55" s="14"/>
      <c r="B55" s="44"/>
      <c r="E55" s="15"/>
    </row>
    <row r="56" spans="1:5" s="43" customFormat="1">
      <c r="A56" s="14"/>
      <c r="B56" s="44"/>
      <c r="E56" s="15"/>
    </row>
    <row r="57" spans="1:5" s="43" customFormat="1">
      <c r="A57" s="14"/>
      <c r="B57" s="44"/>
      <c r="E57" s="15"/>
    </row>
    <row r="58" spans="1:5" s="43" customFormat="1">
      <c r="A58" s="14"/>
      <c r="B58" s="44"/>
      <c r="E58" s="15"/>
    </row>
    <row r="59" spans="1:5" s="43" customFormat="1">
      <c r="A59" s="14"/>
      <c r="B59" s="44"/>
      <c r="E59" s="15"/>
    </row>
    <row r="60" spans="1:5" s="43" customFormat="1">
      <c r="A60" s="14"/>
      <c r="B60" s="44"/>
      <c r="E60" s="15"/>
    </row>
    <row r="61" spans="1:5" s="43" customFormat="1">
      <c r="A61" s="14"/>
      <c r="B61" s="44"/>
      <c r="E61" s="15"/>
    </row>
    <row r="62" spans="1:5" s="43" customFormat="1">
      <c r="A62" s="14"/>
      <c r="B62" s="44"/>
      <c r="E62" s="15"/>
    </row>
    <row r="63" spans="1:5" s="43" customFormat="1">
      <c r="A63" s="14"/>
      <c r="B63" s="44"/>
      <c r="E63" s="15"/>
    </row>
    <row r="64" spans="1:5" s="43" customFormat="1">
      <c r="A64" s="14"/>
      <c r="B64" s="44"/>
      <c r="E64" s="15"/>
    </row>
    <row r="65" spans="1:5" s="43" customFormat="1">
      <c r="A65" s="14"/>
      <c r="B65" s="44"/>
      <c r="E65" s="15"/>
    </row>
    <row r="66" spans="1:5" s="43" customFormat="1">
      <c r="A66" s="14"/>
      <c r="B66" s="44"/>
      <c r="E66" s="15"/>
    </row>
    <row r="67" spans="1:5" s="43" customFormat="1">
      <c r="A67" s="14"/>
      <c r="B67" s="44"/>
      <c r="E67" s="15"/>
    </row>
    <row r="68" spans="1:5" s="43" customFormat="1">
      <c r="A68" s="14"/>
      <c r="B68" s="44"/>
      <c r="E68" s="15"/>
    </row>
    <row r="69" spans="1:5" s="43" customFormat="1">
      <c r="A69" s="14"/>
      <c r="B69" s="44"/>
      <c r="E69" s="15"/>
    </row>
    <row r="70" spans="1:5" s="43" customFormat="1">
      <c r="A70" s="14"/>
      <c r="B70" s="44"/>
      <c r="E70" s="15"/>
    </row>
    <row r="71" spans="1:5" s="43" customFormat="1">
      <c r="A71" s="14"/>
      <c r="B71" s="44"/>
      <c r="E71" s="15"/>
    </row>
    <row r="72" spans="1:5" s="43" customFormat="1">
      <c r="A72" s="14"/>
      <c r="B72" s="44"/>
      <c r="E72" s="15"/>
    </row>
    <row r="73" spans="1:5" s="43" customFormat="1">
      <c r="A73" s="14"/>
      <c r="B73" s="44"/>
      <c r="E73" s="15"/>
    </row>
    <row r="74" spans="1:5" s="43" customFormat="1">
      <c r="A74" s="14"/>
      <c r="B74" s="44"/>
      <c r="E74" s="15"/>
    </row>
    <row r="75" spans="1:5" s="43" customFormat="1">
      <c r="A75" s="14"/>
      <c r="B75" s="44"/>
      <c r="E75" s="15"/>
    </row>
    <row r="76" spans="1:5" s="43" customFormat="1">
      <c r="A76" s="14"/>
      <c r="B76" s="44"/>
      <c r="E76" s="15"/>
    </row>
    <row r="77" spans="1:5" s="43" customFormat="1">
      <c r="A77" s="14"/>
      <c r="B77" s="44"/>
      <c r="E77" s="15"/>
    </row>
    <row r="78" spans="1:5" s="43" customFormat="1">
      <c r="A78" s="14"/>
      <c r="B78" s="44"/>
      <c r="E78" s="15"/>
    </row>
    <row r="79" spans="1:5" s="43" customFormat="1">
      <c r="A79" s="14"/>
      <c r="B79" s="44"/>
      <c r="E79" s="15"/>
    </row>
    <row r="80" spans="1:5" s="43" customFormat="1">
      <c r="A80" s="14"/>
      <c r="B80" s="44"/>
      <c r="E80" s="15"/>
    </row>
    <row r="81" spans="1:5" s="43" customFormat="1">
      <c r="A81" s="14"/>
      <c r="B81" s="44"/>
      <c r="E81" s="15"/>
    </row>
    <row r="82" spans="1:5" s="43" customFormat="1">
      <c r="A82" s="14"/>
      <c r="B82" s="44"/>
      <c r="E82" s="15"/>
    </row>
    <row r="83" spans="1:5" s="43" customFormat="1">
      <c r="A83" s="14"/>
      <c r="B83" s="44"/>
      <c r="E83" s="15"/>
    </row>
    <row r="84" spans="1:5" s="43" customFormat="1">
      <c r="A84" s="14"/>
      <c r="B84" s="44"/>
      <c r="E84" s="15"/>
    </row>
    <row r="85" spans="1:5" s="43" customFormat="1">
      <c r="A85" s="14"/>
      <c r="B85" s="44"/>
      <c r="E85" s="15"/>
    </row>
    <row r="86" spans="1:5" s="43" customFormat="1">
      <c r="A86" s="14"/>
      <c r="B86" s="44"/>
      <c r="E86" s="15"/>
    </row>
    <row r="87" spans="1:5" s="43" customFormat="1">
      <c r="A87" s="14"/>
      <c r="B87" s="44"/>
      <c r="E87" s="15"/>
    </row>
    <row r="88" spans="1:5" s="43" customFormat="1">
      <c r="A88" s="14"/>
      <c r="B88" s="44"/>
      <c r="E88" s="15"/>
    </row>
    <row r="89" spans="1:5" s="43" customFormat="1">
      <c r="A89" s="14"/>
      <c r="B89" s="44"/>
      <c r="E89" s="15"/>
    </row>
    <row r="90" spans="1:5" s="43" customFormat="1">
      <c r="A90" s="14"/>
      <c r="B90" s="44"/>
      <c r="E90" s="15"/>
    </row>
    <row r="91" spans="1:5" s="43" customFormat="1">
      <c r="A91" s="14"/>
      <c r="B91" s="44"/>
      <c r="E91" s="15"/>
    </row>
    <row r="92" spans="1:5" s="43" customFormat="1">
      <c r="A92" s="14"/>
      <c r="B92" s="44"/>
      <c r="E92" s="15"/>
    </row>
    <row r="93" spans="1:5" s="43" customFormat="1">
      <c r="A93" s="14"/>
      <c r="B93" s="44"/>
      <c r="E93" s="15"/>
    </row>
    <row r="94" spans="1:5" s="43" customFormat="1">
      <c r="A94" s="14"/>
      <c r="B94" s="44"/>
      <c r="E94" s="15"/>
    </row>
    <row r="95" spans="1:5" s="43" customFormat="1">
      <c r="A95" s="14"/>
      <c r="B95" s="44"/>
      <c r="E95" s="15"/>
    </row>
    <row r="96" spans="1:5" s="43" customFormat="1">
      <c r="A96" s="14"/>
      <c r="B96" s="44"/>
      <c r="E96" s="15"/>
    </row>
    <row r="97" spans="1:5" s="43" customFormat="1">
      <c r="A97" s="14"/>
      <c r="B97" s="44"/>
      <c r="E97" s="15"/>
    </row>
    <row r="98" spans="1:5" s="43" customFormat="1">
      <c r="A98" s="14"/>
      <c r="B98" s="44"/>
      <c r="E98" s="15"/>
    </row>
    <row r="99" spans="1:5" s="43" customFormat="1">
      <c r="A99" s="14"/>
      <c r="B99" s="44"/>
      <c r="E99" s="15"/>
    </row>
    <row r="100" spans="1:5" s="43" customFormat="1">
      <c r="A100" s="14"/>
      <c r="B100" s="44"/>
      <c r="E100" s="15"/>
    </row>
    <row r="101" spans="1:5" s="43" customFormat="1">
      <c r="A101" s="14"/>
      <c r="B101" s="44"/>
      <c r="E101" s="15"/>
    </row>
    <row r="102" spans="1:5" s="43" customFormat="1">
      <c r="A102" s="14"/>
      <c r="B102" s="44"/>
      <c r="E102" s="15"/>
    </row>
    <row r="199" spans="1:5" s="9" customFormat="1">
      <c r="A199" s="14"/>
      <c r="B199"/>
      <c r="C199" s="43"/>
      <c r="D199" s="43"/>
      <c r="E199" s="15"/>
    </row>
  </sheetData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A27"/>
  <sheetViews>
    <sheetView tabSelected="1" workbookViewId="0">
      <selection activeCell="A21" sqref="A21"/>
    </sheetView>
  </sheetViews>
  <sheetFormatPr defaultRowHeight="12"/>
  <cols>
    <col min="1" max="1" width="109.5703125" customWidth="1"/>
  </cols>
  <sheetData>
    <row r="1" spans="1:1">
      <c r="A1" t="s">
        <v>346</v>
      </c>
    </row>
    <row r="2" spans="1:1">
      <c r="A2" t="s">
        <v>356</v>
      </c>
    </row>
    <row r="3" spans="1:1">
      <c r="A3" t="s">
        <v>337</v>
      </c>
    </row>
    <row r="4" spans="1:1">
      <c r="A4" t="s">
        <v>338</v>
      </c>
    </row>
    <row r="5" spans="1:1">
      <c r="A5" t="s">
        <v>339</v>
      </c>
    </row>
    <row r="6" spans="1:1">
      <c r="A6" t="s">
        <v>340</v>
      </c>
    </row>
    <row r="7" spans="1:1">
      <c r="A7" t="s">
        <v>341</v>
      </c>
    </row>
    <row r="8" spans="1:1">
      <c r="A8" t="s">
        <v>342</v>
      </c>
    </row>
    <row r="9" spans="1:1">
      <c r="A9" t="s">
        <v>343</v>
      </c>
    </row>
    <row r="10" spans="1:1">
      <c r="A10" t="s">
        <v>344</v>
      </c>
    </row>
    <row r="11" spans="1:1">
      <c r="A11" t="s">
        <v>359</v>
      </c>
    </row>
    <row r="12" spans="1:1">
      <c r="A12" t="s">
        <v>360</v>
      </c>
    </row>
    <row r="14" spans="1:1">
      <c r="A14" t="s">
        <v>345</v>
      </c>
    </row>
    <row r="15" spans="1:1">
      <c r="A15" t="s">
        <v>347</v>
      </c>
    </row>
    <row r="16" spans="1:1">
      <c r="A16" t="s">
        <v>348</v>
      </c>
    </row>
    <row r="17" spans="1:1">
      <c r="A17" t="s">
        <v>349</v>
      </c>
    </row>
    <row r="19" spans="1:1">
      <c r="A19" t="s">
        <v>352</v>
      </c>
    </row>
    <row r="21" spans="1:1">
      <c r="A21" t="s">
        <v>350</v>
      </c>
    </row>
    <row r="22" spans="1:1">
      <c r="A22" t="s">
        <v>351</v>
      </c>
    </row>
    <row r="23" spans="1:1">
      <c r="A23" t="s">
        <v>353</v>
      </c>
    </row>
    <row r="24" spans="1:1">
      <c r="A24" t="s">
        <v>355</v>
      </c>
    </row>
    <row r="26" spans="1:1">
      <c r="A26" t="s">
        <v>358</v>
      </c>
    </row>
    <row r="27" spans="1:1">
      <c r="A27" t="s">
        <v>357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lkDoorColour</vt:lpstr>
      <vt:lpstr>lkDoorsetLayout</vt:lpstr>
      <vt:lpstr>lkFireRating</vt:lpstr>
      <vt:lpstr>lkHanding</vt:lpstr>
      <vt:lpstr>lkInstrumentStrip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Paula.Joynson</cp:lastModifiedBy>
  <cp:lastPrinted>2019-12-11T12:18:45Z</cp:lastPrinted>
  <dcterms:created xsi:type="dcterms:W3CDTF">2019-05-16T09:51:05Z</dcterms:created>
  <dcterms:modified xsi:type="dcterms:W3CDTF">2020-09-11T16:44:31Z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